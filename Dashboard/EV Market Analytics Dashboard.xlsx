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tables/table1.xml" ContentType="application/vnd.openxmlformats-officedocument.spreadsheetml.table+xml"/>
  <Override PartName="/xl/pivotTables/pivotTable6.xml" ContentType="application/vnd.openxmlformats-officedocument.spreadsheetml.pivotTable+xml"/>
  <Override PartName="/xl/drawings/drawing2.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3.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4.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5.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14.xml" ContentType="application/vnd.openxmlformats-officedocument.spreadsheetml.pivotTable+xml"/>
  <Override PartName="/xl/drawings/drawing6.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166925"/>
  <mc:AlternateContent xmlns:mc="http://schemas.openxmlformats.org/markup-compatibility/2006">
    <mc:Choice Requires="x15">
      <x15ac:absPath xmlns:x15ac="http://schemas.microsoft.com/office/spreadsheetml/2010/11/ac" url="C:\Users\pandi\OneDrive\Desktop\Final Github Project Upload\Project 03 - EV Market Analytics Dataset\Dashboard\"/>
    </mc:Choice>
  </mc:AlternateContent>
  <xr:revisionPtr revIDLastSave="0" documentId="13_ncr:1_{429C00C0-0C6B-441B-9DA6-DFE7244E824B}" xr6:coauthVersionLast="47" xr6:coauthVersionMax="47" xr10:uidLastSave="{00000000-0000-0000-0000-000000000000}"/>
  <bookViews>
    <workbookView xWindow="-108" yWindow="-108" windowWidth="23256" windowHeight="13896" xr2:uid="{AA6E7D6B-4D31-4F6F-BE74-65FF5153AB24}"/>
  </bookViews>
  <sheets>
    <sheet name="Dashboard " sheetId="3" r:id="rId1"/>
    <sheet name="Pivot Table " sheetId="2" r:id="rId2"/>
    <sheet name="EV Market 2026 Dataset" sheetId="1" r:id="rId3"/>
    <sheet name="Performance Type Distribution" sheetId="10" state="hidden" r:id="rId4"/>
    <sheet name="Average Rating" sheetId="16" state="hidden" r:id="rId5"/>
    <sheet name="Country Wise Sales" sheetId="11" state="hidden" r:id="rId6"/>
    <sheet name="Average Battery" sheetId="15" state="hidden" r:id="rId7"/>
    <sheet name="Average Range" sheetId="14" state="hidden" r:id="rId8"/>
    <sheet name="Efficiency By Brand " sheetId="7" state="hidden" r:id="rId9"/>
    <sheet name="Average Price " sheetId="12" state="hidden" r:id="rId10"/>
    <sheet name="Market Segment Distribution" sheetId="6" state="hidden" r:id="rId11"/>
    <sheet name="Top 10 Brand vs Total Sales" sheetId="5" state="hidden" r:id="rId12"/>
  </sheets>
  <definedNames>
    <definedName name="Slicer_brand">#N/A</definedName>
    <definedName name="Slicer_country_of_origin">#N/A</definedName>
    <definedName name="Slicer_Performance_Type">#N/A</definedName>
    <definedName name="Slicer_Price_Category">#N/A</definedName>
    <definedName name="Slicer_year">#N/A</definedName>
  </definedNames>
  <calcPr calcId="191029"/>
  <pivotCaches>
    <pivotCache cacheId="0" r:id="rId13"/>
  </pivotCaches>
  <extLst>
    <ext xmlns:x14="http://schemas.microsoft.com/office/spreadsheetml/2009/9/main" uri="{BBE1A952-AA13-448e-AADC-164F8A28A991}">
      <x14:slicerCaches>
        <x14:slicerCache r:id="rId14"/>
        <x14:slicerCache r:id="rId15"/>
        <x14:slicerCache r:id="rId16"/>
        <x14:slicerCache r:id="rId17"/>
        <x14:slicerCache r:id="rId1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7" i="10" l="1"/>
  <c r="C4" i="15"/>
  <c r="C4" i="14"/>
  <c r="C4" i="12"/>
</calcChain>
</file>

<file path=xl/sharedStrings.xml><?xml version="1.0" encoding="utf-8"?>
<sst xmlns="http://schemas.openxmlformats.org/spreadsheetml/2006/main" count="18127" uniqueCount="169">
  <si>
    <t>brand</t>
  </si>
  <si>
    <t>model</t>
  </si>
  <si>
    <t>year</t>
  </si>
  <si>
    <t>variant</t>
  </si>
  <si>
    <t>Price USD</t>
  </si>
  <si>
    <t>Battery Capacity (kwh)</t>
  </si>
  <si>
    <t>range_miles</t>
  </si>
  <si>
    <t>charging_speed_kw</t>
  </si>
  <si>
    <t>Acceleration 0-60 MPH</t>
  </si>
  <si>
    <t>top_speed_mph</t>
  </si>
  <si>
    <t>horsepower</t>
  </si>
  <si>
    <t>torque_nm</t>
  </si>
  <si>
    <t>drive_type</t>
  </si>
  <si>
    <t>seating_capacity</t>
  </si>
  <si>
    <t>body_type</t>
  </si>
  <si>
    <t>cargo_volume_cubic_ft</t>
  </si>
  <si>
    <t>weight_kg</t>
  </si>
  <si>
    <t>safety_rating</t>
  </si>
  <si>
    <t>autopilot_level</t>
  </si>
  <si>
    <t>country_of_origin</t>
  </si>
  <si>
    <t xml:space="preserve">Price Category </t>
  </si>
  <si>
    <t>annual_sales_units</t>
  </si>
  <si>
    <t>customer_rating</t>
  </si>
  <si>
    <t>warranty_years</t>
  </si>
  <si>
    <t>Performance Type</t>
  </si>
  <si>
    <t>Efficiency</t>
  </si>
  <si>
    <t xml:space="preserve">Sales Category </t>
  </si>
  <si>
    <t>Volkswagen</t>
  </si>
  <si>
    <t>ID. Buzz</t>
  </si>
  <si>
    <t>Performance</t>
  </si>
  <si>
    <t>AWD</t>
  </si>
  <si>
    <t>Truck</t>
  </si>
  <si>
    <t>Germany</t>
  </si>
  <si>
    <t>Luxury</t>
  </si>
  <si>
    <t>High Performance</t>
  </si>
  <si>
    <t>High</t>
  </si>
  <si>
    <t>Toyota</t>
  </si>
  <si>
    <t>bZ Compact SUV</t>
  </si>
  <si>
    <t>Premium</t>
  </si>
  <si>
    <t>FWD</t>
  </si>
  <si>
    <t>SUV</t>
  </si>
  <si>
    <t>Japan</t>
  </si>
  <si>
    <t>Mid-range</t>
  </si>
  <si>
    <t>Medium</t>
  </si>
  <si>
    <t>GM/Chevrolet</t>
  </si>
  <si>
    <t>Bolt EV</t>
  </si>
  <si>
    <t>Van</t>
  </si>
  <si>
    <t>US</t>
  </si>
  <si>
    <t>Kia</t>
  </si>
  <si>
    <t>Sportage EV</t>
  </si>
  <si>
    <t>Long Range</t>
  </si>
  <si>
    <t>South Korea</t>
  </si>
  <si>
    <t>Tesla</t>
  </si>
  <si>
    <t>Model 3</t>
  </si>
  <si>
    <t>RWD</t>
  </si>
  <si>
    <t>Model Y</t>
  </si>
  <si>
    <t>Hatchback</t>
  </si>
  <si>
    <t>Coupe</t>
  </si>
  <si>
    <t>Mercedes</t>
  </si>
  <si>
    <t>EQS</t>
  </si>
  <si>
    <t>Niro EV</t>
  </si>
  <si>
    <t>Normal</t>
  </si>
  <si>
    <t>Blazer EV</t>
  </si>
  <si>
    <t>Base</t>
  </si>
  <si>
    <t>Model S</t>
  </si>
  <si>
    <t>Sedan</t>
  </si>
  <si>
    <t>Fisker</t>
  </si>
  <si>
    <t>Ronin</t>
  </si>
  <si>
    <t>Standard</t>
  </si>
  <si>
    <t>Low</t>
  </si>
  <si>
    <t>EQG</t>
  </si>
  <si>
    <t>BYD</t>
  </si>
  <si>
    <t>Seagull</t>
  </si>
  <si>
    <t>China</t>
  </si>
  <si>
    <t>Budget</t>
  </si>
  <si>
    <t>Atto 3</t>
  </si>
  <si>
    <t>Hyundai</t>
  </si>
  <si>
    <t>Kona Electric</t>
  </si>
  <si>
    <t>ID.4</t>
  </si>
  <si>
    <t>Picanto EV</t>
  </si>
  <si>
    <t>Cybertruck</t>
  </si>
  <si>
    <t>Yuan Plus</t>
  </si>
  <si>
    <t>ID.5</t>
  </si>
  <si>
    <t>ID. Aero</t>
  </si>
  <si>
    <t>Ford</t>
  </si>
  <si>
    <t>Mustang Mach-E</t>
  </si>
  <si>
    <t>Model X</t>
  </si>
  <si>
    <t>Ioniq 6</t>
  </si>
  <si>
    <t>EV9</t>
  </si>
  <si>
    <t>E-Transit</t>
  </si>
  <si>
    <t>Leaf 50X</t>
  </si>
  <si>
    <t>BMW</t>
  </si>
  <si>
    <t>i7</t>
  </si>
  <si>
    <t>ID.3</t>
  </si>
  <si>
    <t>Audi</t>
  </si>
  <si>
    <t>e-tron GT</t>
  </si>
  <si>
    <t>Max</t>
  </si>
  <si>
    <t>i3</t>
  </si>
  <si>
    <t>Ioniq</t>
  </si>
  <si>
    <t>F-150 Lightning</t>
  </si>
  <si>
    <t>NIO</t>
  </si>
  <si>
    <t>ET6</t>
  </si>
  <si>
    <t>Rivian</t>
  </si>
  <si>
    <t>R3</t>
  </si>
  <si>
    <t>Dolphin</t>
  </si>
  <si>
    <t>EQC</t>
  </si>
  <si>
    <t>Explorer EV</t>
  </si>
  <si>
    <t>Porsche</t>
  </si>
  <si>
    <t>Macan Electric</t>
  </si>
  <si>
    <t>Bolt EUV</t>
  </si>
  <si>
    <t>Equinox EV</t>
  </si>
  <si>
    <t>GLE EV</t>
  </si>
  <si>
    <t>iX</t>
  </si>
  <si>
    <t>Q6 e-tron</t>
  </si>
  <si>
    <t>Ioniq 5</t>
  </si>
  <si>
    <t>Qin</t>
  </si>
  <si>
    <t>e-tron</t>
  </si>
  <si>
    <t>i30</t>
  </si>
  <si>
    <t>EL8</t>
  </si>
  <si>
    <t>Ocean</t>
  </si>
  <si>
    <t>bZ4X</t>
  </si>
  <si>
    <t>Taycan</t>
  </si>
  <si>
    <t>i5</t>
  </si>
  <si>
    <t>EV6</t>
  </si>
  <si>
    <t>i4</t>
  </si>
  <si>
    <t>Q4 e-tron</t>
  </si>
  <si>
    <t>Silverado EV</t>
  </si>
  <si>
    <t>EL6</t>
  </si>
  <si>
    <t>R2</t>
  </si>
  <si>
    <t>Volvo</t>
  </si>
  <si>
    <t>XC90 Recharge</t>
  </si>
  <si>
    <t>Sweden</t>
  </si>
  <si>
    <t>Lucid</t>
  </si>
  <si>
    <t>Air</t>
  </si>
  <si>
    <t>EQE</t>
  </si>
  <si>
    <t>EC6</t>
  </si>
  <si>
    <t>R1S</t>
  </si>
  <si>
    <t>Honda</t>
  </si>
  <si>
    <t>e:Ny1</t>
  </si>
  <si>
    <t>Xiaomi</t>
  </si>
  <si>
    <t>SU7</t>
  </si>
  <si>
    <t>R1T</t>
  </si>
  <si>
    <t>Polestar</t>
  </si>
  <si>
    <t>C40 Recharge</t>
  </si>
  <si>
    <t>ET5</t>
  </si>
  <si>
    <t>XC40 Recharge</t>
  </si>
  <si>
    <t>e</t>
  </si>
  <si>
    <t>Gravity</t>
  </si>
  <si>
    <t>Row Labels</t>
  </si>
  <si>
    <t>Brand</t>
  </si>
  <si>
    <t>Total Sales</t>
  </si>
  <si>
    <t>Top 10 Brand vs Total Sales</t>
  </si>
  <si>
    <t>Market Segment</t>
  </si>
  <si>
    <t>Total Vehicles</t>
  </si>
  <si>
    <t>Market Segment Distribution</t>
  </si>
  <si>
    <t>Average of Efficiency</t>
  </si>
  <si>
    <t>Efficiency By Brand</t>
  </si>
  <si>
    <t>Grand Total</t>
  </si>
  <si>
    <t xml:space="preserve">Performance Type </t>
  </si>
  <si>
    <t xml:space="preserve">Vehicle Performance Distribution </t>
  </si>
  <si>
    <t xml:space="preserve">Annual Sales </t>
  </si>
  <si>
    <t xml:space="preserve">Country </t>
  </si>
  <si>
    <t xml:space="preserve">Country Wise Sales </t>
  </si>
  <si>
    <t>Average of Price USD</t>
  </si>
  <si>
    <t>Average of range_miles</t>
  </si>
  <si>
    <t>Average of Battery Capacity (kwh)</t>
  </si>
  <si>
    <t>Average of customer_rating</t>
  </si>
  <si>
    <t xml:space="preserve">Created By: Sangeet Pandit </t>
  </si>
  <si>
    <t>EV Market Analysis Dashboard ( 2020 - 2026)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</si>
</sst>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quot;M&quot;"/>
    <numFmt numFmtId="165" formatCode="&quot;$&quot;#,##0"/>
    <numFmt numFmtId="166" formatCode="&quot;$&quot;###0"/>
    <numFmt numFmtId="167" formatCode="0.0"/>
  </numFmts>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8"/>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B050"/>
        <bgColor indexed="64"/>
      </patternFill>
    </fill>
  </fills>
  <borders count="1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6">
    <xf numFmtId="0" fontId="0" fillId="0" borderId="0" xfId="0"/>
    <xf numFmtId="0" fontId="0" fillId="0" borderId="0" xfId="0" pivotButton="1"/>
    <xf numFmtId="0" fontId="0" fillId="0" borderId="0" xfId="0" applyAlignment="1">
      <alignment horizontal="left"/>
    </xf>
    <xf numFmtId="164" fontId="0" fillId="0" borderId="0" xfId="0" applyNumberFormat="1"/>
    <xf numFmtId="2" fontId="0" fillId="0" borderId="0" xfId="0" applyNumberFormat="1"/>
    <xf numFmtId="165" fontId="0" fillId="0" borderId="0" xfId="0" applyNumberFormat="1"/>
    <xf numFmtId="166" fontId="0" fillId="0" borderId="0" xfId="0" applyNumberFormat="1"/>
    <xf numFmtId="167" fontId="0" fillId="0" borderId="0" xfId="0" applyNumberFormat="1"/>
    <xf numFmtId="0" fontId="13" fillId="0" borderId="0" xfId="0" applyFont="1"/>
    <xf numFmtId="0" fontId="13" fillId="33" borderId="11" xfId="0" applyFont="1" applyFill="1" applyBorder="1"/>
    <xf numFmtId="0" fontId="18" fillId="33" borderId="10" xfId="0" applyFont="1" applyFill="1" applyBorder="1" applyAlignment="1">
      <alignment horizontal="center"/>
    </xf>
    <xf numFmtId="0" fontId="18" fillId="33" borderId="12" xfId="0" applyFont="1" applyFill="1" applyBorder="1" applyAlignment="1">
      <alignment horizontal="center"/>
    </xf>
    <xf numFmtId="0" fontId="18" fillId="33" borderId="11" xfId="0" applyFont="1" applyFill="1" applyBorder="1" applyAlignment="1">
      <alignment horizontal="center"/>
    </xf>
    <xf numFmtId="0" fontId="13" fillId="33" borderId="10" xfId="0" applyFont="1" applyFill="1" applyBorder="1" applyAlignment="1">
      <alignment horizontal="center"/>
    </xf>
    <xf numFmtId="0" fontId="13" fillId="33" borderId="12" xfId="0" applyFont="1" applyFill="1" applyBorder="1" applyAlignment="1">
      <alignment horizontal="center"/>
    </xf>
    <xf numFmtId="0" fontId="13" fillId="33" borderId="11" xfId="0" applyFont="1" applyFill="1" applyBorder="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7">
    <dxf>
      <numFmt numFmtId="166" formatCode="&quot;$&quot;###0"/>
    </dxf>
    <dxf>
      <numFmt numFmtId="1" formatCode="0"/>
    </dxf>
    <dxf>
      <numFmt numFmtId="165" formatCode="&quot;$&quot;#,##0"/>
    </dxf>
    <dxf>
      <numFmt numFmtId="164" formatCode="0.0,,&quot;M&quot;"/>
    </dxf>
    <dxf>
      <numFmt numFmtId="164" formatCode="0.0,,&quot;M&quot;"/>
    </dxf>
    <dxf>
      <numFmt numFmtId="164" formatCode="0.0,,&quot;M&quot;"/>
    </dxf>
    <dxf>
      <numFmt numFmtId="164" formatCode="0.0,,&quot;M&quot;"/>
    </dxf>
  </dxfs>
  <tableStyles count="0" defaultTableStyle="TableStyleMedium2" defaultPivotStyle="PivotStyleLight16"/>
  <colors>
    <mruColors>
      <color rgb="FF00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microsoft.com/office/2007/relationships/slicerCache" Target="slicerCaches/slicerCache5.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4.xml"/><Relationship Id="rId2" Type="http://schemas.openxmlformats.org/officeDocument/2006/relationships/worksheet" Target="worksheets/sheet2.xml"/><Relationship Id="rId16" Type="http://schemas.microsoft.com/office/2007/relationships/slicerCache" Target="slicerCaches/slicerCache3.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2.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rgbClr val="00B050"/>
                </a:solidFill>
                <a:latin typeface="+mn-lt"/>
                <a:ea typeface="+mn-ea"/>
                <a:cs typeface="+mn-cs"/>
              </a:defRPr>
            </a:pPr>
            <a:r>
              <a:rPr lang="en-US" b="1" baseline="0">
                <a:solidFill>
                  <a:srgbClr val="00B050"/>
                </a:solidFill>
              </a:rPr>
              <a:t>EV Price and Range Analysis</a:t>
            </a: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00B050"/>
              </a:solidFill>
              <a:latin typeface="+mn-lt"/>
              <a:ea typeface="+mn-ea"/>
              <a:cs typeface="+mn-cs"/>
            </a:defRPr>
          </a:pPr>
          <a:endParaRPr lang="en-US"/>
        </a:p>
      </c:txPr>
    </c:title>
    <c:autoTitleDeleted val="0"/>
    <c:plotArea>
      <c:layout/>
      <c:scatterChart>
        <c:scatterStyle val="lineMarker"/>
        <c:varyColors val="0"/>
        <c:ser>
          <c:idx val="0"/>
          <c:order val="0"/>
          <c:spPr>
            <a:ln w="19050" cap="rnd">
              <a:noFill/>
              <a:round/>
            </a:ln>
            <a:effectLst/>
          </c:spPr>
          <c:marker>
            <c:symbol val="circle"/>
            <c:size val="5"/>
            <c:spPr>
              <a:solidFill>
                <a:srgbClr val="00B050"/>
              </a:solidFill>
              <a:ln w="9525">
                <a:solidFill>
                  <a:schemeClr val="accent1"/>
                </a:solidFill>
              </a:ln>
              <a:effectLst/>
            </c:spPr>
          </c:marker>
          <c:trendline>
            <c:spPr>
              <a:ln w="19050" cap="rnd">
                <a:solidFill>
                  <a:srgbClr val="FF0000"/>
                </a:solidFill>
                <a:prstDash val="sysDot"/>
              </a:ln>
              <a:effectLst/>
            </c:spPr>
            <c:trendlineType val="linear"/>
            <c:dispRSqr val="0"/>
            <c:dispEq val="0"/>
          </c:trendline>
          <c:xVal>
            <c:numRef>
              <c:f>'EV Market 2026 Dataset'!$E$2:$E$2001</c:f>
              <c:numCache>
                <c:formatCode>General</c:formatCode>
                <c:ptCount val="2000"/>
                <c:pt idx="0">
                  <c:v>104880.8</c:v>
                </c:pt>
                <c:pt idx="1">
                  <c:v>48217.41</c:v>
                </c:pt>
                <c:pt idx="2">
                  <c:v>49651.12</c:v>
                </c:pt>
                <c:pt idx="3">
                  <c:v>38131.56</c:v>
                </c:pt>
                <c:pt idx="4">
                  <c:v>144079.87</c:v>
                </c:pt>
                <c:pt idx="5">
                  <c:v>119590.27</c:v>
                </c:pt>
                <c:pt idx="6">
                  <c:v>128427.66</c:v>
                </c:pt>
                <c:pt idx="7">
                  <c:v>131074.23000000001</c:v>
                </c:pt>
                <c:pt idx="8">
                  <c:v>80530.570000000007</c:v>
                </c:pt>
                <c:pt idx="9">
                  <c:v>56944.53</c:v>
                </c:pt>
                <c:pt idx="10">
                  <c:v>134165.81</c:v>
                </c:pt>
                <c:pt idx="11">
                  <c:v>88914.19</c:v>
                </c:pt>
                <c:pt idx="12">
                  <c:v>210811.92</c:v>
                </c:pt>
                <c:pt idx="13">
                  <c:v>16394.330000000002</c:v>
                </c:pt>
                <c:pt idx="14">
                  <c:v>95912.83</c:v>
                </c:pt>
                <c:pt idx="15">
                  <c:v>134964.13</c:v>
                </c:pt>
                <c:pt idx="16">
                  <c:v>64427.02</c:v>
                </c:pt>
                <c:pt idx="17">
                  <c:v>63139.95</c:v>
                </c:pt>
                <c:pt idx="18">
                  <c:v>77030</c:v>
                </c:pt>
                <c:pt idx="19">
                  <c:v>72336.67</c:v>
                </c:pt>
                <c:pt idx="20">
                  <c:v>106848.2</c:v>
                </c:pt>
                <c:pt idx="21">
                  <c:v>70531.960000000006</c:v>
                </c:pt>
                <c:pt idx="22">
                  <c:v>114839.62</c:v>
                </c:pt>
                <c:pt idx="23">
                  <c:v>51142.17</c:v>
                </c:pt>
                <c:pt idx="24">
                  <c:v>59824.88</c:v>
                </c:pt>
                <c:pt idx="25">
                  <c:v>96527.54</c:v>
                </c:pt>
                <c:pt idx="26">
                  <c:v>67772.81</c:v>
                </c:pt>
                <c:pt idx="27">
                  <c:v>86045.75</c:v>
                </c:pt>
                <c:pt idx="28">
                  <c:v>66876.75</c:v>
                </c:pt>
                <c:pt idx="29">
                  <c:v>135780.6</c:v>
                </c:pt>
                <c:pt idx="30">
                  <c:v>105946.66</c:v>
                </c:pt>
                <c:pt idx="31">
                  <c:v>110771.86</c:v>
                </c:pt>
                <c:pt idx="32">
                  <c:v>42827.24</c:v>
                </c:pt>
                <c:pt idx="33">
                  <c:v>70748.34</c:v>
                </c:pt>
                <c:pt idx="34">
                  <c:v>50395.94</c:v>
                </c:pt>
                <c:pt idx="35">
                  <c:v>69597.509999999995</c:v>
                </c:pt>
                <c:pt idx="36">
                  <c:v>31434.26</c:v>
                </c:pt>
                <c:pt idx="37">
                  <c:v>109503.65</c:v>
                </c:pt>
                <c:pt idx="38">
                  <c:v>156773.89000000001</c:v>
                </c:pt>
                <c:pt idx="39">
                  <c:v>52966.98</c:v>
                </c:pt>
                <c:pt idx="40">
                  <c:v>121805.3</c:v>
                </c:pt>
                <c:pt idx="41">
                  <c:v>69769.460000000006</c:v>
                </c:pt>
                <c:pt idx="42">
                  <c:v>117517.98</c:v>
                </c:pt>
                <c:pt idx="43">
                  <c:v>53762.11</c:v>
                </c:pt>
                <c:pt idx="44">
                  <c:v>24029.61</c:v>
                </c:pt>
                <c:pt idx="45">
                  <c:v>120387.4</c:v>
                </c:pt>
                <c:pt idx="46">
                  <c:v>26682.38</c:v>
                </c:pt>
                <c:pt idx="47">
                  <c:v>45100.09</c:v>
                </c:pt>
                <c:pt idx="48">
                  <c:v>77484.789999999994</c:v>
                </c:pt>
                <c:pt idx="49">
                  <c:v>98108.77</c:v>
                </c:pt>
                <c:pt idx="50">
                  <c:v>143106.79</c:v>
                </c:pt>
                <c:pt idx="51">
                  <c:v>52266.720000000001</c:v>
                </c:pt>
                <c:pt idx="52">
                  <c:v>60624.73</c:v>
                </c:pt>
                <c:pt idx="53">
                  <c:v>63332.23</c:v>
                </c:pt>
                <c:pt idx="54">
                  <c:v>95244.75</c:v>
                </c:pt>
                <c:pt idx="55">
                  <c:v>66816.36</c:v>
                </c:pt>
                <c:pt idx="56">
                  <c:v>73015.63</c:v>
                </c:pt>
                <c:pt idx="57">
                  <c:v>117415.98</c:v>
                </c:pt>
                <c:pt idx="58">
                  <c:v>71316.86</c:v>
                </c:pt>
                <c:pt idx="59">
                  <c:v>59005.52</c:v>
                </c:pt>
                <c:pt idx="60">
                  <c:v>42431.05</c:v>
                </c:pt>
                <c:pt idx="61">
                  <c:v>30671.06</c:v>
                </c:pt>
                <c:pt idx="62">
                  <c:v>188302.14</c:v>
                </c:pt>
                <c:pt idx="63">
                  <c:v>94330.19</c:v>
                </c:pt>
                <c:pt idx="64">
                  <c:v>83518.44</c:v>
                </c:pt>
                <c:pt idx="65">
                  <c:v>68436.66</c:v>
                </c:pt>
                <c:pt idx="66">
                  <c:v>43196.41</c:v>
                </c:pt>
                <c:pt idx="67">
                  <c:v>66402.61</c:v>
                </c:pt>
                <c:pt idx="68">
                  <c:v>42932.18</c:v>
                </c:pt>
                <c:pt idx="69">
                  <c:v>101897.93</c:v>
                </c:pt>
                <c:pt idx="70">
                  <c:v>45539.59</c:v>
                </c:pt>
                <c:pt idx="71">
                  <c:v>66707.72</c:v>
                </c:pt>
                <c:pt idx="72">
                  <c:v>102900.51</c:v>
                </c:pt>
                <c:pt idx="73">
                  <c:v>69723.399999999994</c:v>
                </c:pt>
                <c:pt idx="74">
                  <c:v>102049.38</c:v>
                </c:pt>
                <c:pt idx="75">
                  <c:v>78668.52</c:v>
                </c:pt>
                <c:pt idx="76">
                  <c:v>79438.2</c:v>
                </c:pt>
                <c:pt idx="77">
                  <c:v>139025.28</c:v>
                </c:pt>
                <c:pt idx="78">
                  <c:v>38889.440000000002</c:v>
                </c:pt>
                <c:pt idx="79">
                  <c:v>169366.43</c:v>
                </c:pt>
                <c:pt idx="80">
                  <c:v>144581.79</c:v>
                </c:pt>
                <c:pt idx="81">
                  <c:v>86081.93</c:v>
                </c:pt>
                <c:pt idx="82">
                  <c:v>101561.3</c:v>
                </c:pt>
                <c:pt idx="83">
                  <c:v>158925.9</c:v>
                </c:pt>
                <c:pt idx="84">
                  <c:v>21523.03</c:v>
                </c:pt>
                <c:pt idx="85">
                  <c:v>100360.19</c:v>
                </c:pt>
                <c:pt idx="86">
                  <c:v>63696.78</c:v>
                </c:pt>
                <c:pt idx="87">
                  <c:v>84405.92</c:v>
                </c:pt>
                <c:pt idx="88">
                  <c:v>73910.789999999994</c:v>
                </c:pt>
                <c:pt idx="89">
                  <c:v>57904.84</c:v>
                </c:pt>
                <c:pt idx="90">
                  <c:v>38394.15</c:v>
                </c:pt>
                <c:pt idx="91">
                  <c:v>71136.28</c:v>
                </c:pt>
                <c:pt idx="92">
                  <c:v>76560.479999999996</c:v>
                </c:pt>
                <c:pt idx="93">
                  <c:v>92594.29</c:v>
                </c:pt>
                <c:pt idx="94">
                  <c:v>76072</c:v>
                </c:pt>
                <c:pt idx="95">
                  <c:v>44654.99</c:v>
                </c:pt>
                <c:pt idx="96">
                  <c:v>45837.99</c:v>
                </c:pt>
                <c:pt idx="97">
                  <c:v>80921.960000000006</c:v>
                </c:pt>
                <c:pt idx="98">
                  <c:v>184745.86</c:v>
                </c:pt>
                <c:pt idx="99">
                  <c:v>177944.09</c:v>
                </c:pt>
                <c:pt idx="100">
                  <c:v>59967.87</c:v>
                </c:pt>
                <c:pt idx="101">
                  <c:v>84125.95</c:v>
                </c:pt>
                <c:pt idx="102">
                  <c:v>37515.42</c:v>
                </c:pt>
                <c:pt idx="103">
                  <c:v>84513.62</c:v>
                </c:pt>
                <c:pt idx="104">
                  <c:v>80343.06</c:v>
                </c:pt>
                <c:pt idx="105">
                  <c:v>75747.87</c:v>
                </c:pt>
                <c:pt idx="106">
                  <c:v>50097.49</c:v>
                </c:pt>
                <c:pt idx="107">
                  <c:v>43668.28</c:v>
                </c:pt>
                <c:pt idx="108">
                  <c:v>61700.639999999999</c:v>
                </c:pt>
                <c:pt idx="109">
                  <c:v>152706.13</c:v>
                </c:pt>
                <c:pt idx="110">
                  <c:v>26461.18</c:v>
                </c:pt>
                <c:pt idx="111">
                  <c:v>36489.360000000001</c:v>
                </c:pt>
                <c:pt idx="112">
                  <c:v>60978.95</c:v>
                </c:pt>
                <c:pt idx="113">
                  <c:v>57536.04</c:v>
                </c:pt>
                <c:pt idx="114">
                  <c:v>162822.68</c:v>
                </c:pt>
                <c:pt idx="115">
                  <c:v>163924.89000000001</c:v>
                </c:pt>
                <c:pt idx="116">
                  <c:v>54997.37</c:v>
                </c:pt>
                <c:pt idx="117">
                  <c:v>96644.91</c:v>
                </c:pt>
                <c:pt idx="118">
                  <c:v>72972.25</c:v>
                </c:pt>
                <c:pt idx="119">
                  <c:v>38796.18</c:v>
                </c:pt>
                <c:pt idx="120">
                  <c:v>59885.41</c:v>
                </c:pt>
                <c:pt idx="121">
                  <c:v>130606.12</c:v>
                </c:pt>
                <c:pt idx="122">
                  <c:v>47823.41</c:v>
                </c:pt>
                <c:pt idx="123">
                  <c:v>65004.86</c:v>
                </c:pt>
                <c:pt idx="124">
                  <c:v>21712.400000000001</c:v>
                </c:pt>
                <c:pt idx="125">
                  <c:v>54335.65</c:v>
                </c:pt>
                <c:pt idx="126">
                  <c:v>53737.95</c:v>
                </c:pt>
                <c:pt idx="127">
                  <c:v>68994.81</c:v>
                </c:pt>
                <c:pt idx="128">
                  <c:v>105607.38</c:v>
                </c:pt>
                <c:pt idx="129">
                  <c:v>97964.98</c:v>
                </c:pt>
                <c:pt idx="130">
                  <c:v>60229.21</c:v>
                </c:pt>
                <c:pt idx="131">
                  <c:v>41881.699999999997</c:v>
                </c:pt>
                <c:pt idx="132">
                  <c:v>138760.95999999999</c:v>
                </c:pt>
                <c:pt idx="133">
                  <c:v>90653.56</c:v>
                </c:pt>
                <c:pt idx="134">
                  <c:v>53544.18</c:v>
                </c:pt>
                <c:pt idx="135">
                  <c:v>27390.16</c:v>
                </c:pt>
                <c:pt idx="136">
                  <c:v>94028.85</c:v>
                </c:pt>
                <c:pt idx="137">
                  <c:v>59620.99</c:v>
                </c:pt>
                <c:pt idx="138">
                  <c:v>78713.929999999993</c:v>
                </c:pt>
                <c:pt idx="139">
                  <c:v>59484.88</c:v>
                </c:pt>
                <c:pt idx="140">
                  <c:v>62345.64</c:v>
                </c:pt>
                <c:pt idx="141">
                  <c:v>33904.31</c:v>
                </c:pt>
                <c:pt idx="142">
                  <c:v>40497.64</c:v>
                </c:pt>
                <c:pt idx="143">
                  <c:v>89340.39</c:v>
                </c:pt>
                <c:pt idx="144">
                  <c:v>77902.259999999995</c:v>
                </c:pt>
                <c:pt idx="145">
                  <c:v>67489.81</c:v>
                </c:pt>
                <c:pt idx="146">
                  <c:v>99993.15</c:v>
                </c:pt>
                <c:pt idx="147">
                  <c:v>29445.040000000001</c:v>
                </c:pt>
                <c:pt idx="148">
                  <c:v>57586.87</c:v>
                </c:pt>
                <c:pt idx="149">
                  <c:v>50127.13</c:v>
                </c:pt>
                <c:pt idx="150">
                  <c:v>112837.91</c:v>
                </c:pt>
                <c:pt idx="151">
                  <c:v>29372.26</c:v>
                </c:pt>
                <c:pt idx="152">
                  <c:v>40219.61</c:v>
                </c:pt>
                <c:pt idx="153">
                  <c:v>51159.74</c:v>
                </c:pt>
                <c:pt idx="154">
                  <c:v>142936.98000000001</c:v>
                </c:pt>
                <c:pt idx="155">
                  <c:v>99381.36</c:v>
                </c:pt>
                <c:pt idx="156">
                  <c:v>109123.19</c:v>
                </c:pt>
                <c:pt idx="157">
                  <c:v>51712.72</c:v>
                </c:pt>
                <c:pt idx="158">
                  <c:v>19470.990000000002</c:v>
                </c:pt>
                <c:pt idx="159">
                  <c:v>46970.49</c:v>
                </c:pt>
                <c:pt idx="160">
                  <c:v>93619.57</c:v>
                </c:pt>
                <c:pt idx="161">
                  <c:v>124852.49</c:v>
                </c:pt>
                <c:pt idx="162">
                  <c:v>97046.62</c:v>
                </c:pt>
                <c:pt idx="163">
                  <c:v>81529.22</c:v>
                </c:pt>
                <c:pt idx="164">
                  <c:v>123494.48</c:v>
                </c:pt>
                <c:pt idx="165">
                  <c:v>194076.68</c:v>
                </c:pt>
                <c:pt idx="166">
                  <c:v>47541.74</c:v>
                </c:pt>
                <c:pt idx="167">
                  <c:v>133033.76</c:v>
                </c:pt>
                <c:pt idx="168">
                  <c:v>41055.46</c:v>
                </c:pt>
                <c:pt idx="169">
                  <c:v>59652.7</c:v>
                </c:pt>
                <c:pt idx="170">
                  <c:v>76874.69</c:v>
                </c:pt>
                <c:pt idx="171">
                  <c:v>31623.119999999999</c:v>
                </c:pt>
                <c:pt idx="172">
                  <c:v>43168.2</c:v>
                </c:pt>
                <c:pt idx="173">
                  <c:v>77144.36</c:v>
                </c:pt>
                <c:pt idx="174">
                  <c:v>58951.66</c:v>
                </c:pt>
                <c:pt idx="175">
                  <c:v>113861.27</c:v>
                </c:pt>
                <c:pt idx="176">
                  <c:v>24572.41</c:v>
                </c:pt>
                <c:pt idx="177">
                  <c:v>67323.210000000006</c:v>
                </c:pt>
                <c:pt idx="178">
                  <c:v>108463.22</c:v>
                </c:pt>
                <c:pt idx="179">
                  <c:v>71274.600000000006</c:v>
                </c:pt>
                <c:pt idx="180">
                  <c:v>55111.29</c:v>
                </c:pt>
                <c:pt idx="181">
                  <c:v>132101.43</c:v>
                </c:pt>
                <c:pt idx="182">
                  <c:v>104608.91</c:v>
                </c:pt>
                <c:pt idx="183">
                  <c:v>126813.57</c:v>
                </c:pt>
                <c:pt idx="184">
                  <c:v>102365.27</c:v>
                </c:pt>
                <c:pt idx="185">
                  <c:v>71335.77</c:v>
                </c:pt>
                <c:pt idx="186">
                  <c:v>52666.03</c:v>
                </c:pt>
                <c:pt idx="187">
                  <c:v>65472.17</c:v>
                </c:pt>
                <c:pt idx="188">
                  <c:v>35583.1</c:v>
                </c:pt>
                <c:pt idx="189">
                  <c:v>62107.839999999997</c:v>
                </c:pt>
                <c:pt idx="190">
                  <c:v>119857.21</c:v>
                </c:pt>
                <c:pt idx="191">
                  <c:v>70111.179999999993</c:v>
                </c:pt>
                <c:pt idx="192">
                  <c:v>138510.75</c:v>
                </c:pt>
                <c:pt idx="193">
                  <c:v>90267.93</c:v>
                </c:pt>
                <c:pt idx="194">
                  <c:v>67729.77</c:v>
                </c:pt>
                <c:pt idx="195">
                  <c:v>27939.32</c:v>
                </c:pt>
                <c:pt idx="196">
                  <c:v>70455.09</c:v>
                </c:pt>
                <c:pt idx="197">
                  <c:v>104530.78</c:v>
                </c:pt>
                <c:pt idx="198">
                  <c:v>97248.51</c:v>
                </c:pt>
                <c:pt idx="199">
                  <c:v>105603.42</c:v>
                </c:pt>
                <c:pt idx="200">
                  <c:v>55554.9</c:v>
                </c:pt>
                <c:pt idx="201">
                  <c:v>50614.31</c:v>
                </c:pt>
                <c:pt idx="202">
                  <c:v>42292.45</c:v>
                </c:pt>
                <c:pt idx="203">
                  <c:v>94110.46</c:v>
                </c:pt>
                <c:pt idx="204">
                  <c:v>77483.58</c:v>
                </c:pt>
                <c:pt idx="205">
                  <c:v>112382.86</c:v>
                </c:pt>
                <c:pt idx="206">
                  <c:v>112066.22</c:v>
                </c:pt>
                <c:pt idx="207">
                  <c:v>93724.2</c:v>
                </c:pt>
                <c:pt idx="208">
                  <c:v>98646.080000000002</c:v>
                </c:pt>
                <c:pt idx="209">
                  <c:v>46210.19</c:v>
                </c:pt>
                <c:pt idx="210">
                  <c:v>66633.95</c:v>
                </c:pt>
                <c:pt idx="211">
                  <c:v>65284.93</c:v>
                </c:pt>
                <c:pt idx="212">
                  <c:v>137951.81</c:v>
                </c:pt>
                <c:pt idx="213">
                  <c:v>32276.7</c:v>
                </c:pt>
                <c:pt idx="214">
                  <c:v>61070.92</c:v>
                </c:pt>
                <c:pt idx="215">
                  <c:v>67469.58</c:v>
                </c:pt>
                <c:pt idx="216">
                  <c:v>48990.53</c:v>
                </c:pt>
                <c:pt idx="217">
                  <c:v>56305.37</c:v>
                </c:pt>
                <c:pt idx="218">
                  <c:v>94181.96</c:v>
                </c:pt>
                <c:pt idx="219">
                  <c:v>122338.76</c:v>
                </c:pt>
                <c:pt idx="220">
                  <c:v>67705.119999999995</c:v>
                </c:pt>
                <c:pt idx="221">
                  <c:v>44920.54</c:v>
                </c:pt>
                <c:pt idx="222">
                  <c:v>47891.48</c:v>
                </c:pt>
                <c:pt idx="223">
                  <c:v>62108.39</c:v>
                </c:pt>
                <c:pt idx="224">
                  <c:v>24414.35</c:v>
                </c:pt>
                <c:pt idx="225">
                  <c:v>36044.93</c:v>
                </c:pt>
                <c:pt idx="226">
                  <c:v>67456.63</c:v>
                </c:pt>
                <c:pt idx="227">
                  <c:v>52579.97</c:v>
                </c:pt>
                <c:pt idx="228">
                  <c:v>81941.39</c:v>
                </c:pt>
                <c:pt idx="229">
                  <c:v>133852.24</c:v>
                </c:pt>
                <c:pt idx="230">
                  <c:v>56042.09</c:v>
                </c:pt>
                <c:pt idx="231">
                  <c:v>83570.149999999994</c:v>
                </c:pt>
                <c:pt idx="232">
                  <c:v>111175.38</c:v>
                </c:pt>
                <c:pt idx="233">
                  <c:v>61128.92</c:v>
                </c:pt>
                <c:pt idx="234">
                  <c:v>44516.36</c:v>
                </c:pt>
                <c:pt idx="235">
                  <c:v>32070.17</c:v>
                </c:pt>
                <c:pt idx="236">
                  <c:v>107358.88</c:v>
                </c:pt>
                <c:pt idx="237">
                  <c:v>78088.259999999995</c:v>
                </c:pt>
                <c:pt idx="238">
                  <c:v>132666.57999999999</c:v>
                </c:pt>
                <c:pt idx="239">
                  <c:v>100324.34</c:v>
                </c:pt>
                <c:pt idx="240">
                  <c:v>69452.42</c:v>
                </c:pt>
                <c:pt idx="241">
                  <c:v>53579.07</c:v>
                </c:pt>
                <c:pt idx="242">
                  <c:v>81874.34</c:v>
                </c:pt>
                <c:pt idx="243">
                  <c:v>59514</c:v>
                </c:pt>
                <c:pt idx="244">
                  <c:v>80808.44</c:v>
                </c:pt>
                <c:pt idx="245">
                  <c:v>84156.92</c:v>
                </c:pt>
                <c:pt idx="246">
                  <c:v>39960.53</c:v>
                </c:pt>
                <c:pt idx="247">
                  <c:v>115878.52</c:v>
                </c:pt>
                <c:pt idx="248">
                  <c:v>64461.760000000002</c:v>
                </c:pt>
                <c:pt idx="249">
                  <c:v>181026.58</c:v>
                </c:pt>
                <c:pt idx="250">
                  <c:v>48600.01</c:v>
                </c:pt>
                <c:pt idx="251">
                  <c:v>40146.71</c:v>
                </c:pt>
                <c:pt idx="252">
                  <c:v>182443.72</c:v>
                </c:pt>
                <c:pt idx="253">
                  <c:v>38276.480000000003</c:v>
                </c:pt>
                <c:pt idx="254">
                  <c:v>116077.71</c:v>
                </c:pt>
                <c:pt idx="255">
                  <c:v>56772.77</c:v>
                </c:pt>
                <c:pt idx="256">
                  <c:v>87478.76</c:v>
                </c:pt>
                <c:pt idx="257">
                  <c:v>68470.14</c:v>
                </c:pt>
                <c:pt idx="258">
                  <c:v>89987.27</c:v>
                </c:pt>
                <c:pt idx="259">
                  <c:v>76607.64</c:v>
                </c:pt>
                <c:pt idx="260">
                  <c:v>76439.210000000006</c:v>
                </c:pt>
                <c:pt idx="261">
                  <c:v>106316.66</c:v>
                </c:pt>
                <c:pt idx="262">
                  <c:v>83799.48</c:v>
                </c:pt>
                <c:pt idx="263">
                  <c:v>50276.57</c:v>
                </c:pt>
                <c:pt idx="264">
                  <c:v>98374.44</c:v>
                </c:pt>
                <c:pt idx="265">
                  <c:v>101369.89</c:v>
                </c:pt>
                <c:pt idx="266">
                  <c:v>61000.06</c:v>
                </c:pt>
                <c:pt idx="267">
                  <c:v>56307.41</c:v>
                </c:pt>
                <c:pt idx="268">
                  <c:v>107417.79</c:v>
                </c:pt>
                <c:pt idx="269">
                  <c:v>118468.84</c:v>
                </c:pt>
                <c:pt idx="270">
                  <c:v>92751.53</c:v>
                </c:pt>
                <c:pt idx="271">
                  <c:v>52120.46</c:v>
                </c:pt>
                <c:pt idx="272">
                  <c:v>169395.24</c:v>
                </c:pt>
                <c:pt idx="273">
                  <c:v>80311.97</c:v>
                </c:pt>
                <c:pt idx="274">
                  <c:v>72159.44</c:v>
                </c:pt>
                <c:pt idx="275">
                  <c:v>37714.46</c:v>
                </c:pt>
                <c:pt idx="276">
                  <c:v>63827.68</c:v>
                </c:pt>
                <c:pt idx="277">
                  <c:v>150512.16</c:v>
                </c:pt>
                <c:pt idx="278">
                  <c:v>74889.56</c:v>
                </c:pt>
                <c:pt idx="279">
                  <c:v>66474.899999999994</c:v>
                </c:pt>
                <c:pt idx="280">
                  <c:v>76665.86</c:v>
                </c:pt>
                <c:pt idx="281">
                  <c:v>42876.18</c:v>
                </c:pt>
                <c:pt idx="282">
                  <c:v>43538.73</c:v>
                </c:pt>
                <c:pt idx="283">
                  <c:v>104581.09</c:v>
                </c:pt>
                <c:pt idx="284">
                  <c:v>90771.15</c:v>
                </c:pt>
                <c:pt idx="285">
                  <c:v>59089.35</c:v>
                </c:pt>
                <c:pt idx="286">
                  <c:v>50087.55</c:v>
                </c:pt>
                <c:pt idx="287">
                  <c:v>117331.76</c:v>
                </c:pt>
                <c:pt idx="288">
                  <c:v>36467.370000000003</c:v>
                </c:pt>
                <c:pt idx="289">
                  <c:v>74609.83</c:v>
                </c:pt>
                <c:pt idx="290">
                  <c:v>87113.04</c:v>
                </c:pt>
                <c:pt idx="291">
                  <c:v>166572.78</c:v>
                </c:pt>
                <c:pt idx="292">
                  <c:v>116775.93</c:v>
                </c:pt>
                <c:pt idx="293">
                  <c:v>98791.59</c:v>
                </c:pt>
                <c:pt idx="294">
                  <c:v>56750.25</c:v>
                </c:pt>
                <c:pt idx="295">
                  <c:v>75053.58</c:v>
                </c:pt>
                <c:pt idx="296">
                  <c:v>49970.16</c:v>
                </c:pt>
                <c:pt idx="297">
                  <c:v>39727.71</c:v>
                </c:pt>
                <c:pt idx="298">
                  <c:v>85729.44</c:v>
                </c:pt>
                <c:pt idx="299">
                  <c:v>62213.09</c:v>
                </c:pt>
                <c:pt idx="300">
                  <c:v>170128.32</c:v>
                </c:pt>
                <c:pt idx="301">
                  <c:v>80948.92</c:v>
                </c:pt>
                <c:pt idx="302">
                  <c:v>43745.72</c:v>
                </c:pt>
                <c:pt idx="303">
                  <c:v>134039.99</c:v>
                </c:pt>
                <c:pt idx="304">
                  <c:v>80896.009999999995</c:v>
                </c:pt>
                <c:pt idx="305">
                  <c:v>199365.9</c:v>
                </c:pt>
                <c:pt idx="306">
                  <c:v>65970</c:v>
                </c:pt>
                <c:pt idx="307">
                  <c:v>67622.89</c:v>
                </c:pt>
                <c:pt idx="308">
                  <c:v>42208.33</c:v>
                </c:pt>
                <c:pt idx="309">
                  <c:v>56388.91</c:v>
                </c:pt>
                <c:pt idx="310">
                  <c:v>66045.149999999994</c:v>
                </c:pt>
                <c:pt idx="311">
                  <c:v>37365.06</c:v>
                </c:pt>
                <c:pt idx="312">
                  <c:v>38622.29</c:v>
                </c:pt>
                <c:pt idx="313">
                  <c:v>69982.490000000005</c:v>
                </c:pt>
                <c:pt idx="314">
                  <c:v>165233.4</c:v>
                </c:pt>
                <c:pt idx="315">
                  <c:v>70614.100000000006</c:v>
                </c:pt>
                <c:pt idx="316">
                  <c:v>80549.5</c:v>
                </c:pt>
                <c:pt idx="317">
                  <c:v>96390.76</c:v>
                </c:pt>
                <c:pt idx="318">
                  <c:v>27433.3</c:v>
                </c:pt>
                <c:pt idx="319">
                  <c:v>76472.570000000007</c:v>
                </c:pt>
                <c:pt idx="320">
                  <c:v>41416.019999999997</c:v>
                </c:pt>
                <c:pt idx="321">
                  <c:v>64132.24</c:v>
                </c:pt>
                <c:pt idx="322">
                  <c:v>97630.54</c:v>
                </c:pt>
                <c:pt idx="323">
                  <c:v>117281.9</c:v>
                </c:pt>
                <c:pt idx="324">
                  <c:v>77617.509999999995</c:v>
                </c:pt>
                <c:pt idx="325">
                  <c:v>53614.17</c:v>
                </c:pt>
                <c:pt idx="326">
                  <c:v>98299.99</c:v>
                </c:pt>
                <c:pt idx="327">
                  <c:v>62151.7</c:v>
                </c:pt>
                <c:pt idx="328">
                  <c:v>57462.19</c:v>
                </c:pt>
                <c:pt idx="329">
                  <c:v>65383.31</c:v>
                </c:pt>
                <c:pt idx="330">
                  <c:v>88158.61</c:v>
                </c:pt>
                <c:pt idx="331">
                  <c:v>49443.87</c:v>
                </c:pt>
                <c:pt idx="332">
                  <c:v>33304.79</c:v>
                </c:pt>
                <c:pt idx="333">
                  <c:v>29689.54</c:v>
                </c:pt>
                <c:pt idx="334">
                  <c:v>129183.24</c:v>
                </c:pt>
                <c:pt idx="335">
                  <c:v>132226.95000000001</c:v>
                </c:pt>
                <c:pt idx="336">
                  <c:v>59152.02</c:v>
                </c:pt>
                <c:pt idx="337">
                  <c:v>42539.360000000001</c:v>
                </c:pt>
                <c:pt idx="338">
                  <c:v>86930.64</c:v>
                </c:pt>
                <c:pt idx="339">
                  <c:v>162032.44</c:v>
                </c:pt>
                <c:pt idx="340">
                  <c:v>51036.86</c:v>
                </c:pt>
                <c:pt idx="341">
                  <c:v>52223.31</c:v>
                </c:pt>
                <c:pt idx="342">
                  <c:v>54018.19</c:v>
                </c:pt>
                <c:pt idx="343">
                  <c:v>78662.149999999994</c:v>
                </c:pt>
                <c:pt idx="344">
                  <c:v>39803.56</c:v>
                </c:pt>
                <c:pt idx="345">
                  <c:v>103512.45</c:v>
                </c:pt>
                <c:pt idx="346">
                  <c:v>76696.39</c:v>
                </c:pt>
                <c:pt idx="347">
                  <c:v>98608.05</c:v>
                </c:pt>
                <c:pt idx="348">
                  <c:v>86543.35</c:v>
                </c:pt>
                <c:pt idx="349">
                  <c:v>72989.13</c:v>
                </c:pt>
                <c:pt idx="350">
                  <c:v>39399.56</c:v>
                </c:pt>
                <c:pt idx="351">
                  <c:v>99625.48</c:v>
                </c:pt>
                <c:pt idx="352">
                  <c:v>113646.11</c:v>
                </c:pt>
                <c:pt idx="353">
                  <c:v>110939.31</c:v>
                </c:pt>
                <c:pt idx="354">
                  <c:v>142726.14000000001</c:v>
                </c:pt>
                <c:pt idx="355">
                  <c:v>69442.009999999995</c:v>
                </c:pt>
                <c:pt idx="356">
                  <c:v>42979.12</c:v>
                </c:pt>
                <c:pt idx="357">
                  <c:v>56096.47</c:v>
                </c:pt>
                <c:pt idx="358">
                  <c:v>82536.87</c:v>
                </c:pt>
                <c:pt idx="359">
                  <c:v>62907.99</c:v>
                </c:pt>
                <c:pt idx="360">
                  <c:v>97402.81</c:v>
                </c:pt>
                <c:pt idx="361">
                  <c:v>85706.08</c:v>
                </c:pt>
                <c:pt idx="362">
                  <c:v>54234.95</c:v>
                </c:pt>
                <c:pt idx="363">
                  <c:v>95598.48</c:v>
                </c:pt>
                <c:pt idx="364">
                  <c:v>98011.85</c:v>
                </c:pt>
                <c:pt idx="365">
                  <c:v>58313.43</c:v>
                </c:pt>
                <c:pt idx="366">
                  <c:v>62799.62</c:v>
                </c:pt>
                <c:pt idx="367">
                  <c:v>91038.75</c:v>
                </c:pt>
                <c:pt idx="368">
                  <c:v>130803.06</c:v>
                </c:pt>
                <c:pt idx="369">
                  <c:v>69626.259999999995</c:v>
                </c:pt>
                <c:pt idx="370">
                  <c:v>85409.4</c:v>
                </c:pt>
                <c:pt idx="371">
                  <c:v>153057.04</c:v>
                </c:pt>
                <c:pt idx="372">
                  <c:v>121896.5</c:v>
                </c:pt>
                <c:pt idx="373">
                  <c:v>66273.55</c:v>
                </c:pt>
                <c:pt idx="374">
                  <c:v>43315.76</c:v>
                </c:pt>
                <c:pt idx="375">
                  <c:v>36072.31</c:v>
                </c:pt>
                <c:pt idx="376">
                  <c:v>127213.62</c:v>
                </c:pt>
                <c:pt idx="377">
                  <c:v>79315.78</c:v>
                </c:pt>
                <c:pt idx="378">
                  <c:v>35481.879999999997</c:v>
                </c:pt>
                <c:pt idx="379">
                  <c:v>82657.259999999995</c:v>
                </c:pt>
                <c:pt idx="380">
                  <c:v>137829.03</c:v>
                </c:pt>
                <c:pt idx="381">
                  <c:v>70239.009999999995</c:v>
                </c:pt>
                <c:pt idx="382">
                  <c:v>90499.68</c:v>
                </c:pt>
                <c:pt idx="383">
                  <c:v>130131.59</c:v>
                </c:pt>
                <c:pt idx="384">
                  <c:v>56344.05</c:v>
                </c:pt>
                <c:pt idx="385">
                  <c:v>59797.58</c:v>
                </c:pt>
                <c:pt idx="386">
                  <c:v>100157.25</c:v>
                </c:pt>
                <c:pt idx="387">
                  <c:v>55299.28</c:v>
                </c:pt>
                <c:pt idx="388">
                  <c:v>44798.27</c:v>
                </c:pt>
                <c:pt idx="389">
                  <c:v>98104.320000000007</c:v>
                </c:pt>
                <c:pt idx="390">
                  <c:v>55877.09</c:v>
                </c:pt>
                <c:pt idx="391">
                  <c:v>32753.54</c:v>
                </c:pt>
                <c:pt idx="392">
                  <c:v>73902.850000000006</c:v>
                </c:pt>
                <c:pt idx="393">
                  <c:v>52080.38</c:v>
                </c:pt>
                <c:pt idx="394">
                  <c:v>22600.22</c:v>
                </c:pt>
                <c:pt idx="395">
                  <c:v>99040.38</c:v>
                </c:pt>
                <c:pt idx="396">
                  <c:v>108052.79</c:v>
                </c:pt>
                <c:pt idx="397">
                  <c:v>50097.36</c:v>
                </c:pt>
                <c:pt idx="398">
                  <c:v>35979.300000000003</c:v>
                </c:pt>
                <c:pt idx="399">
                  <c:v>57051.32</c:v>
                </c:pt>
                <c:pt idx="400">
                  <c:v>109970.08</c:v>
                </c:pt>
                <c:pt idx="401">
                  <c:v>92779.16</c:v>
                </c:pt>
                <c:pt idx="402">
                  <c:v>65007.57</c:v>
                </c:pt>
                <c:pt idx="403">
                  <c:v>123138.78</c:v>
                </c:pt>
                <c:pt idx="404">
                  <c:v>102787.75</c:v>
                </c:pt>
                <c:pt idx="405">
                  <c:v>79195.78</c:v>
                </c:pt>
                <c:pt idx="406">
                  <c:v>93014.64</c:v>
                </c:pt>
                <c:pt idx="407">
                  <c:v>131294.35999999999</c:v>
                </c:pt>
                <c:pt idx="408">
                  <c:v>84380.71</c:v>
                </c:pt>
                <c:pt idx="409">
                  <c:v>76635.5</c:v>
                </c:pt>
                <c:pt idx="410">
                  <c:v>60331.49</c:v>
                </c:pt>
                <c:pt idx="411">
                  <c:v>59240.75</c:v>
                </c:pt>
                <c:pt idx="412">
                  <c:v>62299.25</c:v>
                </c:pt>
                <c:pt idx="413">
                  <c:v>41302.85</c:v>
                </c:pt>
                <c:pt idx="414">
                  <c:v>111475.63</c:v>
                </c:pt>
                <c:pt idx="415">
                  <c:v>44868.54</c:v>
                </c:pt>
                <c:pt idx="416">
                  <c:v>67426.929999999993</c:v>
                </c:pt>
                <c:pt idx="417">
                  <c:v>53327.95</c:v>
                </c:pt>
                <c:pt idx="418">
                  <c:v>69932.429999999993</c:v>
                </c:pt>
                <c:pt idx="419">
                  <c:v>50051.199999999997</c:v>
                </c:pt>
                <c:pt idx="420">
                  <c:v>48841.01</c:v>
                </c:pt>
                <c:pt idx="421">
                  <c:v>77562.36</c:v>
                </c:pt>
                <c:pt idx="422">
                  <c:v>69446.789999999994</c:v>
                </c:pt>
                <c:pt idx="423">
                  <c:v>68110.080000000002</c:v>
                </c:pt>
                <c:pt idx="424">
                  <c:v>92950.35</c:v>
                </c:pt>
                <c:pt idx="425">
                  <c:v>67330.570000000007</c:v>
                </c:pt>
                <c:pt idx="426">
                  <c:v>89383.1</c:v>
                </c:pt>
                <c:pt idx="427">
                  <c:v>108294.87</c:v>
                </c:pt>
                <c:pt idx="428">
                  <c:v>92829.9</c:v>
                </c:pt>
                <c:pt idx="429">
                  <c:v>35991.9</c:v>
                </c:pt>
                <c:pt idx="430">
                  <c:v>88596.07</c:v>
                </c:pt>
                <c:pt idx="431">
                  <c:v>73469.820000000007</c:v>
                </c:pt>
                <c:pt idx="432">
                  <c:v>72349.570000000007</c:v>
                </c:pt>
                <c:pt idx="433">
                  <c:v>93392.21</c:v>
                </c:pt>
                <c:pt idx="434">
                  <c:v>109016.04</c:v>
                </c:pt>
                <c:pt idx="435">
                  <c:v>40534.339999999997</c:v>
                </c:pt>
                <c:pt idx="436">
                  <c:v>47765.25</c:v>
                </c:pt>
                <c:pt idx="437">
                  <c:v>92734.95</c:v>
                </c:pt>
                <c:pt idx="438">
                  <c:v>53007.41</c:v>
                </c:pt>
                <c:pt idx="439">
                  <c:v>74766.45</c:v>
                </c:pt>
                <c:pt idx="440">
                  <c:v>43016.55</c:v>
                </c:pt>
                <c:pt idx="441">
                  <c:v>145262.78</c:v>
                </c:pt>
                <c:pt idx="442">
                  <c:v>102466.68</c:v>
                </c:pt>
                <c:pt idx="443">
                  <c:v>66259.17</c:v>
                </c:pt>
                <c:pt idx="444">
                  <c:v>69136.539999999994</c:v>
                </c:pt>
                <c:pt idx="445">
                  <c:v>87515.62</c:v>
                </c:pt>
                <c:pt idx="446">
                  <c:v>220736.96</c:v>
                </c:pt>
                <c:pt idx="447">
                  <c:v>93152</c:v>
                </c:pt>
                <c:pt idx="448">
                  <c:v>36003.86</c:v>
                </c:pt>
                <c:pt idx="449">
                  <c:v>119080.01</c:v>
                </c:pt>
                <c:pt idx="450">
                  <c:v>51056.88</c:v>
                </c:pt>
                <c:pt idx="451">
                  <c:v>46532.99</c:v>
                </c:pt>
                <c:pt idx="452">
                  <c:v>114364.87</c:v>
                </c:pt>
                <c:pt idx="453">
                  <c:v>109816.18</c:v>
                </c:pt>
                <c:pt idx="454">
                  <c:v>40006.71</c:v>
                </c:pt>
                <c:pt idx="455">
                  <c:v>63640</c:v>
                </c:pt>
                <c:pt idx="456">
                  <c:v>161112.44</c:v>
                </c:pt>
                <c:pt idx="457">
                  <c:v>44861.53</c:v>
                </c:pt>
                <c:pt idx="458">
                  <c:v>137659.6</c:v>
                </c:pt>
                <c:pt idx="459">
                  <c:v>32105.759999999998</c:v>
                </c:pt>
                <c:pt idx="460">
                  <c:v>42441.37</c:v>
                </c:pt>
                <c:pt idx="461">
                  <c:v>61657.41</c:v>
                </c:pt>
                <c:pt idx="462">
                  <c:v>37448.46</c:v>
                </c:pt>
                <c:pt idx="463">
                  <c:v>55591.96</c:v>
                </c:pt>
                <c:pt idx="464">
                  <c:v>55686.21</c:v>
                </c:pt>
                <c:pt idx="465">
                  <c:v>47485.93</c:v>
                </c:pt>
                <c:pt idx="466">
                  <c:v>53346.09</c:v>
                </c:pt>
                <c:pt idx="467">
                  <c:v>162751.1</c:v>
                </c:pt>
                <c:pt idx="468">
                  <c:v>70472.75</c:v>
                </c:pt>
                <c:pt idx="469">
                  <c:v>36014.199999999997</c:v>
                </c:pt>
                <c:pt idx="470">
                  <c:v>41355.449999999997</c:v>
                </c:pt>
                <c:pt idx="471">
                  <c:v>65556.39</c:v>
                </c:pt>
                <c:pt idx="472">
                  <c:v>88832.48</c:v>
                </c:pt>
                <c:pt idx="473">
                  <c:v>71435.350000000006</c:v>
                </c:pt>
                <c:pt idx="474">
                  <c:v>41853.99</c:v>
                </c:pt>
                <c:pt idx="475">
                  <c:v>96813.71</c:v>
                </c:pt>
                <c:pt idx="476">
                  <c:v>129623.74</c:v>
                </c:pt>
                <c:pt idx="477">
                  <c:v>70066.61</c:v>
                </c:pt>
                <c:pt idx="478">
                  <c:v>141027</c:v>
                </c:pt>
                <c:pt idx="479">
                  <c:v>50630.65</c:v>
                </c:pt>
                <c:pt idx="480">
                  <c:v>113836.67</c:v>
                </c:pt>
                <c:pt idx="481">
                  <c:v>51177.18</c:v>
                </c:pt>
                <c:pt idx="482">
                  <c:v>92636.43</c:v>
                </c:pt>
                <c:pt idx="483">
                  <c:v>64827.83</c:v>
                </c:pt>
                <c:pt idx="484">
                  <c:v>56005.31</c:v>
                </c:pt>
                <c:pt idx="485">
                  <c:v>102595.23</c:v>
                </c:pt>
                <c:pt idx="486">
                  <c:v>74321.009999999995</c:v>
                </c:pt>
                <c:pt idx="487">
                  <c:v>51321.91</c:v>
                </c:pt>
                <c:pt idx="488">
                  <c:v>61582.84</c:v>
                </c:pt>
                <c:pt idx="489">
                  <c:v>87894.85</c:v>
                </c:pt>
                <c:pt idx="490">
                  <c:v>88484.86</c:v>
                </c:pt>
                <c:pt idx="491">
                  <c:v>102426.61</c:v>
                </c:pt>
                <c:pt idx="492">
                  <c:v>104281.84</c:v>
                </c:pt>
                <c:pt idx="493">
                  <c:v>167028.1</c:v>
                </c:pt>
                <c:pt idx="494">
                  <c:v>45546.32</c:v>
                </c:pt>
                <c:pt idx="495">
                  <c:v>86288.72</c:v>
                </c:pt>
                <c:pt idx="496">
                  <c:v>58803.16</c:v>
                </c:pt>
                <c:pt idx="497">
                  <c:v>44024.89</c:v>
                </c:pt>
                <c:pt idx="498">
                  <c:v>113331.61</c:v>
                </c:pt>
                <c:pt idx="499">
                  <c:v>111922.96</c:v>
                </c:pt>
                <c:pt idx="500">
                  <c:v>74262.98</c:v>
                </c:pt>
                <c:pt idx="501">
                  <c:v>41621.620000000003</c:v>
                </c:pt>
                <c:pt idx="502">
                  <c:v>122517.87</c:v>
                </c:pt>
                <c:pt idx="503">
                  <c:v>63458.62</c:v>
                </c:pt>
                <c:pt idx="504">
                  <c:v>140938.73000000001</c:v>
                </c:pt>
                <c:pt idx="505">
                  <c:v>90298.51</c:v>
                </c:pt>
                <c:pt idx="506">
                  <c:v>79689.05</c:v>
                </c:pt>
                <c:pt idx="507">
                  <c:v>137679.26999999999</c:v>
                </c:pt>
                <c:pt idx="508">
                  <c:v>72608.92</c:v>
                </c:pt>
                <c:pt idx="509">
                  <c:v>91034.7</c:v>
                </c:pt>
                <c:pt idx="510">
                  <c:v>42171.81</c:v>
                </c:pt>
                <c:pt idx="511">
                  <c:v>40762.980000000003</c:v>
                </c:pt>
                <c:pt idx="512">
                  <c:v>70880.73</c:v>
                </c:pt>
                <c:pt idx="513">
                  <c:v>114049.24</c:v>
                </c:pt>
                <c:pt idx="514">
                  <c:v>36657.019999999997</c:v>
                </c:pt>
                <c:pt idx="515">
                  <c:v>124865.93</c:v>
                </c:pt>
                <c:pt idx="516">
                  <c:v>46634.879999999997</c:v>
                </c:pt>
                <c:pt idx="517">
                  <c:v>68553.62</c:v>
                </c:pt>
                <c:pt idx="518">
                  <c:v>254017.08</c:v>
                </c:pt>
                <c:pt idx="519">
                  <c:v>27945.8</c:v>
                </c:pt>
                <c:pt idx="520">
                  <c:v>51697.58</c:v>
                </c:pt>
                <c:pt idx="521">
                  <c:v>36019.25</c:v>
                </c:pt>
                <c:pt idx="522">
                  <c:v>121374.95</c:v>
                </c:pt>
                <c:pt idx="523">
                  <c:v>115211.58</c:v>
                </c:pt>
                <c:pt idx="524">
                  <c:v>139106.45000000001</c:v>
                </c:pt>
                <c:pt idx="525">
                  <c:v>60050.99</c:v>
                </c:pt>
                <c:pt idx="526">
                  <c:v>44501.34</c:v>
                </c:pt>
                <c:pt idx="527">
                  <c:v>40390.03</c:v>
                </c:pt>
                <c:pt idx="528">
                  <c:v>45682.18</c:v>
                </c:pt>
                <c:pt idx="529">
                  <c:v>103044.63</c:v>
                </c:pt>
                <c:pt idx="530">
                  <c:v>53193.55</c:v>
                </c:pt>
                <c:pt idx="531">
                  <c:v>51309.25</c:v>
                </c:pt>
                <c:pt idx="532">
                  <c:v>102584.09</c:v>
                </c:pt>
                <c:pt idx="533">
                  <c:v>99048.18</c:v>
                </c:pt>
                <c:pt idx="534">
                  <c:v>67976.38</c:v>
                </c:pt>
                <c:pt idx="535">
                  <c:v>69285.919999999998</c:v>
                </c:pt>
                <c:pt idx="536">
                  <c:v>167898.8</c:v>
                </c:pt>
                <c:pt idx="537">
                  <c:v>36623.25</c:v>
                </c:pt>
                <c:pt idx="538">
                  <c:v>30097.01</c:v>
                </c:pt>
                <c:pt idx="539">
                  <c:v>82511.11</c:v>
                </c:pt>
                <c:pt idx="540">
                  <c:v>56751.98</c:v>
                </c:pt>
                <c:pt idx="541">
                  <c:v>30277.360000000001</c:v>
                </c:pt>
                <c:pt idx="542">
                  <c:v>103480.37</c:v>
                </c:pt>
                <c:pt idx="543">
                  <c:v>48107.44</c:v>
                </c:pt>
                <c:pt idx="544">
                  <c:v>102070.65</c:v>
                </c:pt>
                <c:pt idx="545">
                  <c:v>94110.75</c:v>
                </c:pt>
                <c:pt idx="546">
                  <c:v>125305.65</c:v>
                </c:pt>
                <c:pt idx="547">
                  <c:v>116974.41</c:v>
                </c:pt>
                <c:pt idx="548">
                  <c:v>84751.75</c:v>
                </c:pt>
                <c:pt idx="549">
                  <c:v>65329.39</c:v>
                </c:pt>
                <c:pt idx="550">
                  <c:v>78614.710000000006</c:v>
                </c:pt>
                <c:pt idx="551">
                  <c:v>135101.31</c:v>
                </c:pt>
                <c:pt idx="552">
                  <c:v>96493.02</c:v>
                </c:pt>
                <c:pt idx="553">
                  <c:v>52108.05</c:v>
                </c:pt>
                <c:pt idx="554">
                  <c:v>93510.78</c:v>
                </c:pt>
                <c:pt idx="555">
                  <c:v>78233.39</c:v>
                </c:pt>
                <c:pt idx="556">
                  <c:v>101976.23</c:v>
                </c:pt>
                <c:pt idx="557">
                  <c:v>110000.94</c:v>
                </c:pt>
                <c:pt idx="558">
                  <c:v>83117.350000000006</c:v>
                </c:pt>
                <c:pt idx="559">
                  <c:v>107462.71</c:v>
                </c:pt>
                <c:pt idx="560">
                  <c:v>55685.25</c:v>
                </c:pt>
                <c:pt idx="561">
                  <c:v>90766.48</c:v>
                </c:pt>
                <c:pt idx="562">
                  <c:v>111102.01</c:v>
                </c:pt>
                <c:pt idx="563">
                  <c:v>121350.3</c:v>
                </c:pt>
                <c:pt idx="564">
                  <c:v>43868.55</c:v>
                </c:pt>
                <c:pt idx="565">
                  <c:v>37918.559999999998</c:v>
                </c:pt>
                <c:pt idx="566">
                  <c:v>87378.559999999998</c:v>
                </c:pt>
                <c:pt idx="567">
                  <c:v>98049.57</c:v>
                </c:pt>
                <c:pt idx="568">
                  <c:v>91070.12</c:v>
                </c:pt>
                <c:pt idx="569">
                  <c:v>33590.410000000003</c:v>
                </c:pt>
                <c:pt idx="570">
                  <c:v>51553.1</c:v>
                </c:pt>
                <c:pt idx="571">
                  <c:v>31921.1</c:v>
                </c:pt>
                <c:pt idx="572">
                  <c:v>67460.11</c:v>
                </c:pt>
                <c:pt idx="573">
                  <c:v>56108.72</c:v>
                </c:pt>
                <c:pt idx="574">
                  <c:v>175695.73</c:v>
                </c:pt>
                <c:pt idx="575">
                  <c:v>47569.79</c:v>
                </c:pt>
                <c:pt idx="576">
                  <c:v>68394.929999999993</c:v>
                </c:pt>
                <c:pt idx="577">
                  <c:v>78693.27</c:v>
                </c:pt>
                <c:pt idx="578">
                  <c:v>46340.480000000003</c:v>
                </c:pt>
                <c:pt idx="579">
                  <c:v>73231.02</c:v>
                </c:pt>
                <c:pt idx="580">
                  <c:v>70402.19</c:v>
                </c:pt>
                <c:pt idx="581">
                  <c:v>98223.61</c:v>
                </c:pt>
                <c:pt idx="582">
                  <c:v>39646.49</c:v>
                </c:pt>
                <c:pt idx="583">
                  <c:v>70732.36</c:v>
                </c:pt>
                <c:pt idx="584">
                  <c:v>106048.4</c:v>
                </c:pt>
                <c:pt idx="585">
                  <c:v>75687.78</c:v>
                </c:pt>
                <c:pt idx="586">
                  <c:v>164903.76</c:v>
                </c:pt>
                <c:pt idx="587">
                  <c:v>104330.24000000001</c:v>
                </c:pt>
                <c:pt idx="588">
                  <c:v>74667.63</c:v>
                </c:pt>
                <c:pt idx="589">
                  <c:v>132957.6</c:v>
                </c:pt>
                <c:pt idx="590">
                  <c:v>146521.88</c:v>
                </c:pt>
                <c:pt idx="591">
                  <c:v>126323.43</c:v>
                </c:pt>
                <c:pt idx="592">
                  <c:v>42945.26</c:v>
                </c:pt>
                <c:pt idx="593">
                  <c:v>38014.51</c:v>
                </c:pt>
                <c:pt idx="594">
                  <c:v>109441.61</c:v>
                </c:pt>
                <c:pt idx="595">
                  <c:v>93179.93</c:v>
                </c:pt>
                <c:pt idx="596">
                  <c:v>79696.27</c:v>
                </c:pt>
                <c:pt idx="597">
                  <c:v>85878.17</c:v>
                </c:pt>
                <c:pt idx="598">
                  <c:v>49771.040000000001</c:v>
                </c:pt>
                <c:pt idx="599">
                  <c:v>60544.17</c:v>
                </c:pt>
                <c:pt idx="600">
                  <c:v>125990.82</c:v>
                </c:pt>
                <c:pt idx="601">
                  <c:v>48719.93</c:v>
                </c:pt>
                <c:pt idx="602">
                  <c:v>66277.97</c:v>
                </c:pt>
                <c:pt idx="603">
                  <c:v>122990.85</c:v>
                </c:pt>
                <c:pt idx="604">
                  <c:v>77509.320000000007</c:v>
                </c:pt>
                <c:pt idx="605">
                  <c:v>42592.08</c:v>
                </c:pt>
                <c:pt idx="606">
                  <c:v>42445.79</c:v>
                </c:pt>
                <c:pt idx="607">
                  <c:v>44275.35</c:v>
                </c:pt>
                <c:pt idx="608">
                  <c:v>107109.36</c:v>
                </c:pt>
                <c:pt idx="609">
                  <c:v>38369.910000000003</c:v>
                </c:pt>
                <c:pt idx="610">
                  <c:v>82872.710000000006</c:v>
                </c:pt>
                <c:pt idx="611">
                  <c:v>96727.35</c:v>
                </c:pt>
                <c:pt idx="612">
                  <c:v>84385.88</c:v>
                </c:pt>
                <c:pt idx="613">
                  <c:v>33796.25</c:v>
                </c:pt>
                <c:pt idx="614">
                  <c:v>67634.789999999994</c:v>
                </c:pt>
                <c:pt idx="615">
                  <c:v>105675.37</c:v>
                </c:pt>
                <c:pt idx="616">
                  <c:v>43959.45</c:v>
                </c:pt>
                <c:pt idx="617">
                  <c:v>19398.189999999999</c:v>
                </c:pt>
                <c:pt idx="618">
                  <c:v>55828.42</c:v>
                </c:pt>
                <c:pt idx="619">
                  <c:v>55791.9</c:v>
                </c:pt>
                <c:pt idx="620">
                  <c:v>151283.19</c:v>
                </c:pt>
                <c:pt idx="621">
                  <c:v>54577.89</c:v>
                </c:pt>
                <c:pt idx="622">
                  <c:v>55247.47</c:v>
                </c:pt>
                <c:pt idx="623">
                  <c:v>37922.42</c:v>
                </c:pt>
                <c:pt idx="624">
                  <c:v>65534.18</c:v>
                </c:pt>
                <c:pt idx="625">
                  <c:v>36867.620000000003</c:v>
                </c:pt>
                <c:pt idx="626">
                  <c:v>66319.66</c:v>
                </c:pt>
                <c:pt idx="627">
                  <c:v>47749.35</c:v>
                </c:pt>
                <c:pt idx="628">
                  <c:v>75212.509999999995</c:v>
                </c:pt>
                <c:pt idx="629">
                  <c:v>87159.360000000001</c:v>
                </c:pt>
                <c:pt idx="630">
                  <c:v>44183.28</c:v>
                </c:pt>
                <c:pt idx="631">
                  <c:v>63313.85</c:v>
                </c:pt>
                <c:pt idx="632">
                  <c:v>90974.8</c:v>
                </c:pt>
                <c:pt idx="633">
                  <c:v>81725.25</c:v>
                </c:pt>
                <c:pt idx="634">
                  <c:v>64135.13</c:v>
                </c:pt>
                <c:pt idx="635">
                  <c:v>91483.89</c:v>
                </c:pt>
                <c:pt idx="636">
                  <c:v>40685.58</c:v>
                </c:pt>
                <c:pt idx="637">
                  <c:v>52144.09</c:v>
                </c:pt>
                <c:pt idx="638">
                  <c:v>73962.429999999993</c:v>
                </c:pt>
                <c:pt idx="639">
                  <c:v>62312.34</c:v>
                </c:pt>
                <c:pt idx="640">
                  <c:v>73678.259999999995</c:v>
                </c:pt>
                <c:pt idx="641">
                  <c:v>32842.629999999997</c:v>
                </c:pt>
                <c:pt idx="642">
                  <c:v>62874.95</c:v>
                </c:pt>
                <c:pt idx="643">
                  <c:v>107436.09</c:v>
                </c:pt>
                <c:pt idx="644">
                  <c:v>154568.94</c:v>
                </c:pt>
                <c:pt idx="645">
                  <c:v>62074.39</c:v>
                </c:pt>
                <c:pt idx="646">
                  <c:v>68316.17</c:v>
                </c:pt>
                <c:pt idx="647">
                  <c:v>98461.71</c:v>
                </c:pt>
                <c:pt idx="648">
                  <c:v>61500.69</c:v>
                </c:pt>
                <c:pt idx="649">
                  <c:v>60164.53</c:v>
                </c:pt>
                <c:pt idx="650">
                  <c:v>123171.93</c:v>
                </c:pt>
                <c:pt idx="651">
                  <c:v>35093.17</c:v>
                </c:pt>
                <c:pt idx="652">
                  <c:v>101333.39</c:v>
                </c:pt>
                <c:pt idx="653">
                  <c:v>54305.64</c:v>
                </c:pt>
                <c:pt idx="654">
                  <c:v>58007.82</c:v>
                </c:pt>
                <c:pt idx="655">
                  <c:v>188964.7</c:v>
                </c:pt>
                <c:pt idx="656">
                  <c:v>33650.32</c:v>
                </c:pt>
                <c:pt idx="657">
                  <c:v>31850.78</c:v>
                </c:pt>
                <c:pt idx="658">
                  <c:v>111337.67</c:v>
                </c:pt>
                <c:pt idx="659">
                  <c:v>56593.19</c:v>
                </c:pt>
                <c:pt idx="660">
                  <c:v>71569.98</c:v>
                </c:pt>
                <c:pt idx="661">
                  <c:v>139594.69</c:v>
                </c:pt>
                <c:pt idx="662">
                  <c:v>42128.98</c:v>
                </c:pt>
                <c:pt idx="663">
                  <c:v>52361.13</c:v>
                </c:pt>
                <c:pt idx="664">
                  <c:v>161513.5</c:v>
                </c:pt>
                <c:pt idx="665">
                  <c:v>99545.7</c:v>
                </c:pt>
                <c:pt idx="666">
                  <c:v>78664.3</c:v>
                </c:pt>
                <c:pt idx="667">
                  <c:v>75540.09</c:v>
                </c:pt>
                <c:pt idx="668">
                  <c:v>135540.84</c:v>
                </c:pt>
                <c:pt idx="669">
                  <c:v>24520.21</c:v>
                </c:pt>
                <c:pt idx="670">
                  <c:v>113350.86</c:v>
                </c:pt>
                <c:pt idx="671">
                  <c:v>80914.990000000005</c:v>
                </c:pt>
                <c:pt idx="672">
                  <c:v>84447.94</c:v>
                </c:pt>
                <c:pt idx="673">
                  <c:v>31858.49</c:v>
                </c:pt>
                <c:pt idx="674">
                  <c:v>70801.47</c:v>
                </c:pt>
                <c:pt idx="675">
                  <c:v>80679.27</c:v>
                </c:pt>
                <c:pt idx="676">
                  <c:v>29088.57</c:v>
                </c:pt>
                <c:pt idx="677">
                  <c:v>57231.82</c:v>
                </c:pt>
                <c:pt idx="678">
                  <c:v>67039.100000000006</c:v>
                </c:pt>
                <c:pt idx="679">
                  <c:v>72880.75</c:v>
                </c:pt>
                <c:pt idx="680">
                  <c:v>81884.759999999995</c:v>
                </c:pt>
                <c:pt idx="681">
                  <c:v>27229.19</c:v>
                </c:pt>
                <c:pt idx="682">
                  <c:v>39719.769999999997</c:v>
                </c:pt>
                <c:pt idx="683">
                  <c:v>83737.7</c:v>
                </c:pt>
                <c:pt idx="684">
                  <c:v>104305.19</c:v>
                </c:pt>
                <c:pt idx="685">
                  <c:v>107335.21</c:v>
                </c:pt>
                <c:pt idx="686">
                  <c:v>38689.25</c:v>
                </c:pt>
                <c:pt idx="687">
                  <c:v>45068.52</c:v>
                </c:pt>
                <c:pt idx="688">
                  <c:v>38404.42</c:v>
                </c:pt>
                <c:pt idx="689">
                  <c:v>47711.51</c:v>
                </c:pt>
                <c:pt idx="690">
                  <c:v>77360.56</c:v>
                </c:pt>
                <c:pt idx="691">
                  <c:v>65767.179999999993</c:v>
                </c:pt>
                <c:pt idx="692">
                  <c:v>72308.960000000006</c:v>
                </c:pt>
                <c:pt idx="693">
                  <c:v>86937.42</c:v>
                </c:pt>
                <c:pt idx="694">
                  <c:v>127646.69</c:v>
                </c:pt>
                <c:pt idx="695">
                  <c:v>37973.050000000003</c:v>
                </c:pt>
                <c:pt idx="696">
                  <c:v>48954.46</c:v>
                </c:pt>
                <c:pt idx="697">
                  <c:v>60641.55</c:v>
                </c:pt>
                <c:pt idx="698">
                  <c:v>89182.57</c:v>
                </c:pt>
                <c:pt idx="699">
                  <c:v>41142.11</c:v>
                </c:pt>
                <c:pt idx="700">
                  <c:v>49595.48</c:v>
                </c:pt>
                <c:pt idx="701">
                  <c:v>99045.61</c:v>
                </c:pt>
                <c:pt idx="702">
                  <c:v>68838.03</c:v>
                </c:pt>
                <c:pt idx="703">
                  <c:v>54793.42</c:v>
                </c:pt>
                <c:pt idx="704">
                  <c:v>160711.64000000001</c:v>
                </c:pt>
                <c:pt idx="705">
                  <c:v>68234.87</c:v>
                </c:pt>
                <c:pt idx="706">
                  <c:v>53518.98</c:v>
                </c:pt>
                <c:pt idx="707">
                  <c:v>43156.03</c:v>
                </c:pt>
                <c:pt idx="708">
                  <c:v>44708.41</c:v>
                </c:pt>
                <c:pt idx="709">
                  <c:v>115394.15</c:v>
                </c:pt>
                <c:pt idx="710">
                  <c:v>38010.06</c:v>
                </c:pt>
                <c:pt idx="711">
                  <c:v>70386.61</c:v>
                </c:pt>
                <c:pt idx="712">
                  <c:v>67747.05</c:v>
                </c:pt>
                <c:pt idx="713">
                  <c:v>78109.649999999994</c:v>
                </c:pt>
                <c:pt idx="714">
                  <c:v>23230.02</c:v>
                </c:pt>
                <c:pt idx="715">
                  <c:v>87078.44</c:v>
                </c:pt>
                <c:pt idx="716">
                  <c:v>133058.62</c:v>
                </c:pt>
                <c:pt idx="717">
                  <c:v>89077.35</c:v>
                </c:pt>
                <c:pt idx="718">
                  <c:v>106221.52</c:v>
                </c:pt>
                <c:pt idx="719">
                  <c:v>59253.96</c:v>
                </c:pt>
                <c:pt idx="720">
                  <c:v>70152.19</c:v>
                </c:pt>
                <c:pt idx="721">
                  <c:v>45367.75</c:v>
                </c:pt>
                <c:pt idx="722">
                  <c:v>101101.42</c:v>
                </c:pt>
                <c:pt idx="723">
                  <c:v>71690.64</c:v>
                </c:pt>
                <c:pt idx="724">
                  <c:v>65902.95</c:v>
                </c:pt>
                <c:pt idx="725">
                  <c:v>178911.77</c:v>
                </c:pt>
                <c:pt idx="726">
                  <c:v>97027.38</c:v>
                </c:pt>
                <c:pt idx="727">
                  <c:v>53281.67</c:v>
                </c:pt>
                <c:pt idx="728">
                  <c:v>53432.36</c:v>
                </c:pt>
                <c:pt idx="729">
                  <c:v>92231.53</c:v>
                </c:pt>
                <c:pt idx="730">
                  <c:v>125065.93</c:v>
                </c:pt>
                <c:pt idx="731">
                  <c:v>67768.09</c:v>
                </c:pt>
                <c:pt idx="732">
                  <c:v>62674.5</c:v>
                </c:pt>
                <c:pt idx="733">
                  <c:v>40702.92</c:v>
                </c:pt>
                <c:pt idx="734">
                  <c:v>50055.73</c:v>
                </c:pt>
                <c:pt idx="735">
                  <c:v>67690.27</c:v>
                </c:pt>
                <c:pt idx="736">
                  <c:v>37557.870000000003</c:v>
                </c:pt>
                <c:pt idx="737">
                  <c:v>48328.54</c:v>
                </c:pt>
                <c:pt idx="738">
                  <c:v>102771.71</c:v>
                </c:pt>
                <c:pt idx="739">
                  <c:v>97037.17</c:v>
                </c:pt>
                <c:pt idx="740">
                  <c:v>81032.960000000006</c:v>
                </c:pt>
                <c:pt idx="741">
                  <c:v>53347.12</c:v>
                </c:pt>
                <c:pt idx="742">
                  <c:v>39747.919999999998</c:v>
                </c:pt>
                <c:pt idx="743">
                  <c:v>59265.27</c:v>
                </c:pt>
                <c:pt idx="744">
                  <c:v>24263.38</c:v>
                </c:pt>
                <c:pt idx="745">
                  <c:v>103373.32</c:v>
                </c:pt>
                <c:pt idx="746">
                  <c:v>65624.38</c:v>
                </c:pt>
                <c:pt idx="747">
                  <c:v>34297.300000000003</c:v>
                </c:pt>
                <c:pt idx="748">
                  <c:v>94046.97</c:v>
                </c:pt>
                <c:pt idx="749">
                  <c:v>85524.800000000003</c:v>
                </c:pt>
                <c:pt idx="750">
                  <c:v>37324.82</c:v>
                </c:pt>
                <c:pt idx="751">
                  <c:v>65637.97</c:v>
                </c:pt>
                <c:pt idx="752">
                  <c:v>86679.02</c:v>
                </c:pt>
                <c:pt idx="753">
                  <c:v>18386.22</c:v>
                </c:pt>
                <c:pt idx="754">
                  <c:v>39961.089999999997</c:v>
                </c:pt>
                <c:pt idx="755">
                  <c:v>71166.509999999995</c:v>
                </c:pt>
                <c:pt idx="756">
                  <c:v>122478.25</c:v>
                </c:pt>
                <c:pt idx="757">
                  <c:v>33895.78</c:v>
                </c:pt>
                <c:pt idx="758">
                  <c:v>101046.9</c:v>
                </c:pt>
                <c:pt idx="759">
                  <c:v>42429.66</c:v>
                </c:pt>
                <c:pt idx="760">
                  <c:v>81903.39</c:v>
                </c:pt>
                <c:pt idx="761">
                  <c:v>92693.85</c:v>
                </c:pt>
                <c:pt idx="762">
                  <c:v>110109.78</c:v>
                </c:pt>
                <c:pt idx="763">
                  <c:v>81491.33</c:v>
                </c:pt>
                <c:pt idx="764">
                  <c:v>83011.59</c:v>
                </c:pt>
                <c:pt idx="765">
                  <c:v>59926.46</c:v>
                </c:pt>
                <c:pt idx="766">
                  <c:v>44324.9</c:v>
                </c:pt>
                <c:pt idx="767">
                  <c:v>114471.43</c:v>
                </c:pt>
                <c:pt idx="768">
                  <c:v>104593.9</c:v>
                </c:pt>
                <c:pt idx="769">
                  <c:v>95704.24</c:v>
                </c:pt>
                <c:pt idx="770">
                  <c:v>81331.259999999995</c:v>
                </c:pt>
                <c:pt idx="771">
                  <c:v>83712.42</c:v>
                </c:pt>
                <c:pt idx="772">
                  <c:v>106795.24</c:v>
                </c:pt>
                <c:pt idx="773">
                  <c:v>92182.9</c:v>
                </c:pt>
                <c:pt idx="774">
                  <c:v>31805.75</c:v>
                </c:pt>
                <c:pt idx="775">
                  <c:v>64307.39</c:v>
                </c:pt>
                <c:pt idx="776">
                  <c:v>99850.08</c:v>
                </c:pt>
                <c:pt idx="777">
                  <c:v>70082.06</c:v>
                </c:pt>
                <c:pt idx="778">
                  <c:v>61767.69</c:v>
                </c:pt>
                <c:pt idx="779">
                  <c:v>87727.18</c:v>
                </c:pt>
                <c:pt idx="780">
                  <c:v>29502.2</c:v>
                </c:pt>
                <c:pt idx="781">
                  <c:v>81787.56</c:v>
                </c:pt>
                <c:pt idx="782">
                  <c:v>94900.11</c:v>
                </c:pt>
                <c:pt idx="783">
                  <c:v>76922.710000000006</c:v>
                </c:pt>
                <c:pt idx="784">
                  <c:v>173467.44</c:v>
                </c:pt>
                <c:pt idx="785">
                  <c:v>105361.9</c:v>
                </c:pt>
                <c:pt idx="786">
                  <c:v>39229.86</c:v>
                </c:pt>
                <c:pt idx="787">
                  <c:v>90567.3</c:v>
                </c:pt>
                <c:pt idx="788">
                  <c:v>95402.2</c:v>
                </c:pt>
                <c:pt idx="789">
                  <c:v>84185.72</c:v>
                </c:pt>
                <c:pt idx="790">
                  <c:v>131838.32999999999</c:v>
                </c:pt>
                <c:pt idx="791">
                  <c:v>36206.519999999997</c:v>
                </c:pt>
                <c:pt idx="792">
                  <c:v>60217.03</c:v>
                </c:pt>
                <c:pt idx="793">
                  <c:v>76146.100000000006</c:v>
                </c:pt>
                <c:pt idx="794">
                  <c:v>92300.78</c:v>
                </c:pt>
                <c:pt idx="795">
                  <c:v>158316.82999999999</c:v>
                </c:pt>
                <c:pt idx="796">
                  <c:v>109164.41</c:v>
                </c:pt>
                <c:pt idx="797">
                  <c:v>108567.95</c:v>
                </c:pt>
                <c:pt idx="798">
                  <c:v>33469.379999999997</c:v>
                </c:pt>
                <c:pt idx="799">
                  <c:v>79068.679999999993</c:v>
                </c:pt>
                <c:pt idx="800">
                  <c:v>59074.75</c:v>
                </c:pt>
                <c:pt idx="801">
                  <c:v>38136.97</c:v>
                </c:pt>
                <c:pt idx="802">
                  <c:v>72898.84</c:v>
                </c:pt>
                <c:pt idx="803">
                  <c:v>72429.61</c:v>
                </c:pt>
                <c:pt idx="804">
                  <c:v>90339.09</c:v>
                </c:pt>
                <c:pt idx="805">
                  <c:v>57794.12</c:v>
                </c:pt>
                <c:pt idx="806">
                  <c:v>99775.41</c:v>
                </c:pt>
                <c:pt idx="807">
                  <c:v>98562.96</c:v>
                </c:pt>
                <c:pt idx="808">
                  <c:v>45327.13</c:v>
                </c:pt>
                <c:pt idx="809">
                  <c:v>100758.31</c:v>
                </c:pt>
                <c:pt idx="810">
                  <c:v>185796.61</c:v>
                </c:pt>
                <c:pt idx="811">
                  <c:v>94596.53</c:v>
                </c:pt>
                <c:pt idx="812">
                  <c:v>108109.05</c:v>
                </c:pt>
                <c:pt idx="813">
                  <c:v>79447.62</c:v>
                </c:pt>
                <c:pt idx="814">
                  <c:v>151394.73000000001</c:v>
                </c:pt>
                <c:pt idx="815">
                  <c:v>30172.57</c:v>
                </c:pt>
                <c:pt idx="816">
                  <c:v>81763.199999999997</c:v>
                </c:pt>
                <c:pt idx="817">
                  <c:v>42399.68</c:v>
                </c:pt>
                <c:pt idx="818">
                  <c:v>98265.87</c:v>
                </c:pt>
                <c:pt idx="819">
                  <c:v>70846.850000000006</c:v>
                </c:pt>
                <c:pt idx="820">
                  <c:v>78508.55</c:v>
                </c:pt>
                <c:pt idx="821">
                  <c:v>154962.64000000001</c:v>
                </c:pt>
                <c:pt idx="822">
                  <c:v>44084.51</c:v>
                </c:pt>
                <c:pt idx="823">
                  <c:v>47038.76</c:v>
                </c:pt>
                <c:pt idx="824">
                  <c:v>50915.71</c:v>
                </c:pt>
                <c:pt idx="825">
                  <c:v>64347.55</c:v>
                </c:pt>
                <c:pt idx="826">
                  <c:v>21384.75</c:v>
                </c:pt>
                <c:pt idx="827">
                  <c:v>99107.520000000004</c:v>
                </c:pt>
                <c:pt idx="828">
                  <c:v>60512.959999999999</c:v>
                </c:pt>
                <c:pt idx="829">
                  <c:v>64071.199999999997</c:v>
                </c:pt>
                <c:pt idx="830">
                  <c:v>31933.47</c:v>
                </c:pt>
                <c:pt idx="831">
                  <c:v>33483.919999999998</c:v>
                </c:pt>
                <c:pt idx="832">
                  <c:v>68593.72</c:v>
                </c:pt>
                <c:pt idx="833">
                  <c:v>61013.48</c:v>
                </c:pt>
                <c:pt idx="834">
                  <c:v>68602.240000000005</c:v>
                </c:pt>
                <c:pt idx="835">
                  <c:v>76214.899999999994</c:v>
                </c:pt>
                <c:pt idx="836">
                  <c:v>110739.07</c:v>
                </c:pt>
                <c:pt idx="837">
                  <c:v>111511.26</c:v>
                </c:pt>
                <c:pt idx="838">
                  <c:v>64726.92</c:v>
                </c:pt>
                <c:pt idx="839">
                  <c:v>89651.14</c:v>
                </c:pt>
                <c:pt idx="840">
                  <c:v>125634.38</c:v>
                </c:pt>
                <c:pt idx="841">
                  <c:v>93156.19</c:v>
                </c:pt>
                <c:pt idx="842">
                  <c:v>93999.45</c:v>
                </c:pt>
                <c:pt idx="843">
                  <c:v>52160.99</c:v>
                </c:pt>
                <c:pt idx="844">
                  <c:v>77897.86</c:v>
                </c:pt>
                <c:pt idx="845">
                  <c:v>78698.7</c:v>
                </c:pt>
                <c:pt idx="846">
                  <c:v>109935.85</c:v>
                </c:pt>
                <c:pt idx="847">
                  <c:v>115672.77</c:v>
                </c:pt>
                <c:pt idx="848">
                  <c:v>43667.25</c:v>
                </c:pt>
                <c:pt idx="849">
                  <c:v>60524.160000000003</c:v>
                </c:pt>
                <c:pt idx="850">
                  <c:v>24979.98</c:v>
                </c:pt>
                <c:pt idx="851">
                  <c:v>58716.57</c:v>
                </c:pt>
                <c:pt idx="852">
                  <c:v>17777.32</c:v>
                </c:pt>
                <c:pt idx="853">
                  <c:v>163470.92000000001</c:v>
                </c:pt>
                <c:pt idx="854">
                  <c:v>53782.86</c:v>
                </c:pt>
                <c:pt idx="855">
                  <c:v>38805.29</c:v>
                </c:pt>
                <c:pt idx="856">
                  <c:v>90519.74</c:v>
                </c:pt>
                <c:pt idx="857">
                  <c:v>46385.14</c:v>
                </c:pt>
                <c:pt idx="858">
                  <c:v>110515.91</c:v>
                </c:pt>
                <c:pt idx="859">
                  <c:v>35071.56</c:v>
                </c:pt>
                <c:pt idx="860">
                  <c:v>106247.4</c:v>
                </c:pt>
                <c:pt idx="861">
                  <c:v>56734.76</c:v>
                </c:pt>
                <c:pt idx="862">
                  <c:v>74693.36</c:v>
                </c:pt>
                <c:pt idx="863">
                  <c:v>70140.570000000007</c:v>
                </c:pt>
                <c:pt idx="864">
                  <c:v>60218.55</c:v>
                </c:pt>
                <c:pt idx="865">
                  <c:v>44609.33</c:v>
                </c:pt>
                <c:pt idx="866">
                  <c:v>58452.94</c:v>
                </c:pt>
                <c:pt idx="867">
                  <c:v>118800.8</c:v>
                </c:pt>
                <c:pt idx="868">
                  <c:v>87690.32</c:v>
                </c:pt>
                <c:pt idx="869">
                  <c:v>55775.75</c:v>
                </c:pt>
                <c:pt idx="870">
                  <c:v>51298.81</c:v>
                </c:pt>
                <c:pt idx="871">
                  <c:v>82759.69</c:v>
                </c:pt>
                <c:pt idx="872">
                  <c:v>130983.67</c:v>
                </c:pt>
                <c:pt idx="873">
                  <c:v>65061.9</c:v>
                </c:pt>
                <c:pt idx="874">
                  <c:v>163492.79999999999</c:v>
                </c:pt>
                <c:pt idx="875">
                  <c:v>53973.57</c:v>
                </c:pt>
                <c:pt idx="876">
                  <c:v>60210.65</c:v>
                </c:pt>
                <c:pt idx="877">
                  <c:v>81481.72</c:v>
                </c:pt>
                <c:pt idx="878">
                  <c:v>140244.92000000001</c:v>
                </c:pt>
                <c:pt idx="879">
                  <c:v>108909.03</c:v>
                </c:pt>
                <c:pt idx="880">
                  <c:v>31665.46</c:v>
                </c:pt>
                <c:pt idx="881">
                  <c:v>125746.52</c:v>
                </c:pt>
                <c:pt idx="882">
                  <c:v>75201.320000000007</c:v>
                </c:pt>
                <c:pt idx="883">
                  <c:v>91388.05</c:v>
                </c:pt>
                <c:pt idx="884">
                  <c:v>60849.51</c:v>
                </c:pt>
                <c:pt idx="885">
                  <c:v>131729.26</c:v>
                </c:pt>
                <c:pt idx="886">
                  <c:v>82329.27</c:v>
                </c:pt>
                <c:pt idx="887">
                  <c:v>91712.12</c:v>
                </c:pt>
                <c:pt idx="888">
                  <c:v>106609.89</c:v>
                </c:pt>
                <c:pt idx="889">
                  <c:v>36752.050000000003</c:v>
                </c:pt>
                <c:pt idx="890">
                  <c:v>55502.07</c:v>
                </c:pt>
                <c:pt idx="891">
                  <c:v>136918.85</c:v>
                </c:pt>
                <c:pt idx="892">
                  <c:v>142535.28</c:v>
                </c:pt>
                <c:pt idx="893">
                  <c:v>68256.27</c:v>
                </c:pt>
                <c:pt idx="894">
                  <c:v>127970.02</c:v>
                </c:pt>
                <c:pt idx="895">
                  <c:v>71806.41</c:v>
                </c:pt>
                <c:pt idx="896">
                  <c:v>54457.48</c:v>
                </c:pt>
                <c:pt idx="897">
                  <c:v>145965.35999999999</c:v>
                </c:pt>
                <c:pt idx="898">
                  <c:v>40997.300000000003</c:v>
                </c:pt>
                <c:pt idx="899">
                  <c:v>147080.28</c:v>
                </c:pt>
                <c:pt idx="900">
                  <c:v>35900.230000000003</c:v>
                </c:pt>
                <c:pt idx="901">
                  <c:v>76806.22</c:v>
                </c:pt>
                <c:pt idx="902">
                  <c:v>96810.26</c:v>
                </c:pt>
                <c:pt idx="903">
                  <c:v>78041.17</c:v>
                </c:pt>
                <c:pt idx="904">
                  <c:v>47861.91</c:v>
                </c:pt>
                <c:pt idx="905">
                  <c:v>84123.81</c:v>
                </c:pt>
                <c:pt idx="906">
                  <c:v>62057.63</c:v>
                </c:pt>
                <c:pt idx="907">
                  <c:v>95761.12</c:v>
                </c:pt>
                <c:pt idx="908">
                  <c:v>75732.88</c:v>
                </c:pt>
                <c:pt idx="909">
                  <c:v>74047.12</c:v>
                </c:pt>
                <c:pt idx="910">
                  <c:v>91033.29</c:v>
                </c:pt>
                <c:pt idx="911">
                  <c:v>30843.09</c:v>
                </c:pt>
                <c:pt idx="912">
                  <c:v>139020.51</c:v>
                </c:pt>
                <c:pt idx="913">
                  <c:v>60392.45</c:v>
                </c:pt>
                <c:pt idx="914">
                  <c:v>26731.95</c:v>
                </c:pt>
                <c:pt idx="915">
                  <c:v>70634.98</c:v>
                </c:pt>
                <c:pt idx="916">
                  <c:v>25794.27</c:v>
                </c:pt>
                <c:pt idx="917">
                  <c:v>94209.78</c:v>
                </c:pt>
                <c:pt idx="918">
                  <c:v>60546.720000000001</c:v>
                </c:pt>
                <c:pt idx="919">
                  <c:v>170547.81</c:v>
                </c:pt>
                <c:pt idx="920">
                  <c:v>82191.199999999997</c:v>
                </c:pt>
                <c:pt idx="921">
                  <c:v>100947.83</c:v>
                </c:pt>
                <c:pt idx="922">
                  <c:v>106732.12</c:v>
                </c:pt>
                <c:pt idx="923">
                  <c:v>97985.03</c:v>
                </c:pt>
                <c:pt idx="924">
                  <c:v>38794.79</c:v>
                </c:pt>
                <c:pt idx="925">
                  <c:v>111996.5</c:v>
                </c:pt>
                <c:pt idx="926">
                  <c:v>49411.4</c:v>
                </c:pt>
                <c:pt idx="927">
                  <c:v>37474.58</c:v>
                </c:pt>
                <c:pt idx="928">
                  <c:v>148406.75</c:v>
                </c:pt>
                <c:pt idx="929">
                  <c:v>46656.51</c:v>
                </c:pt>
                <c:pt idx="930">
                  <c:v>97027.76</c:v>
                </c:pt>
                <c:pt idx="931">
                  <c:v>129546.31</c:v>
                </c:pt>
                <c:pt idx="932">
                  <c:v>93833.94</c:v>
                </c:pt>
                <c:pt idx="933">
                  <c:v>37474.79</c:v>
                </c:pt>
                <c:pt idx="934">
                  <c:v>127335.12</c:v>
                </c:pt>
                <c:pt idx="935">
                  <c:v>50360.89</c:v>
                </c:pt>
                <c:pt idx="936">
                  <c:v>152844.99</c:v>
                </c:pt>
                <c:pt idx="937">
                  <c:v>117871.06</c:v>
                </c:pt>
                <c:pt idx="938">
                  <c:v>126875.08</c:v>
                </c:pt>
                <c:pt idx="939">
                  <c:v>57850.5</c:v>
                </c:pt>
                <c:pt idx="940">
                  <c:v>70890.539999999994</c:v>
                </c:pt>
                <c:pt idx="941">
                  <c:v>105759.07</c:v>
                </c:pt>
                <c:pt idx="942">
                  <c:v>83830.66</c:v>
                </c:pt>
                <c:pt idx="943">
                  <c:v>148924.89000000001</c:v>
                </c:pt>
                <c:pt idx="944">
                  <c:v>49226.29</c:v>
                </c:pt>
                <c:pt idx="945">
                  <c:v>29411.54</c:v>
                </c:pt>
                <c:pt idx="946">
                  <c:v>107897.62</c:v>
                </c:pt>
                <c:pt idx="947">
                  <c:v>137631.97</c:v>
                </c:pt>
                <c:pt idx="948">
                  <c:v>65798.710000000006</c:v>
                </c:pt>
                <c:pt idx="949">
                  <c:v>93773.43</c:v>
                </c:pt>
                <c:pt idx="950">
                  <c:v>57643.94</c:v>
                </c:pt>
                <c:pt idx="951">
                  <c:v>102440.51</c:v>
                </c:pt>
                <c:pt idx="952">
                  <c:v>49296.66</c:v>
                </c:pt>
                <c:pt idx="953">
                  <c:v>118076.47</c:v>
                </c:pt>
                <c:pt idx="954">
                  <c:v>69215.27</c:v>
                </c:pt>
                <c:pt idx="955">
                  <c:v>86339.6</c:v>
                </c:pt>
                <c:pt idx="956">
                  <c:v>41678.26</c:v>
                </c:pt>
                <c:pt idx="957">
                  <c:v>131326.82</c:v>
                </c:pt>
                <c:pt idx="958">
                  <c:v>106034.49</c:v>
                </c:pt>
                <c:pt idx="959">
                  <c:v>60380.4</c:v>
                </c:pt>
                <c:pt idx="960">
                  <c:v>141348.91</c:v>
                </c:pt>
                <c:pt idx="961">
                  <c:v>33502.19</c:v>
                </c:pt>
                <c:pt idx="962">
                  <c:v>98579.06</c:v>
                </c:pt>
                <c:pt idx="963">
                  <c:v>29413.61</c:v>
                </c:pt>
                <c:pt idx="964">
                  <c:v>32535.18</c:v>
                </c:pt>
                <c:pt idx="965">
                  <c:v>106703.67</c:v>
                </c:pt>
                <c:pt idx="966">
                  <c:v>61871.83</c:v>
                </c:pt>
                <c:pt idx="967">
                  <c:v>31743.27</c:v>
                </c:pt>
                <c:pt idx="968">
                  <c:v>72347.59</c:v>
                </c:pt>
                <c:pt idx="969">
                  <c:v>47415.02</c:v>
                </c:pt>
                <c:pt idx="970">
                  <c:v>101992.19</c:v>
                </c:pt>
                <c:pt idx="971">
                  <c:v>83405.89</c:v>
                </c:pt>
                <c:pt idx="972">
                  <c:v>77802.210000000006</c:v>
                </c:pt>
                <c:pt idx="973">
                  <c:v>53801.14</c:v>
                </c:pt>
                <c:pt idx="974">
                  <c:v>84190.57</c:v>
                </c:pt>
                <c:pt idx="975">
                  <c:v>40160.18</c:v>
                </c:pt>
                <c:pt idx="976">
                  <c:v>48028.480000000003</c:v>
                </c:pt>
                <c:pt idx="977">
                  <c:v>120990.97</c:v>
                </c:pt>
                <c:pt idx="978">
                  <c:v>52457.02</c:v>
                </c:pt>
                <c:pt idx="979">
                  <c:v>66396.28</c:v>
                </c:pt>
                <c:pt idx="980">
                  <c:v>53719.72</c:v>
                </c:pt>
                <c:pt idx="981">
                  <c:v>56792.12</c:v>
                </c:pt>
                <c:pt idx="982">
                  <c:v>122807.61</c:v>
                </c:pt>
                <c:pt idx="983">
                  <c:v>153915.44</c:v>
                </c:pt>
                <c:pt idx="984">
                  <c:v>28857.9</c:v>
                </c:pt>
                <c:pt idx="985">
                  <c:v>53616.49</c:v>
                </c:pt>
                <c:pt idx="986">
                  <c:v>93337.36</c:v>
                </c:pt>
                <c:pt idx="987">
                  <c:v>69769.06</c:v>
                </c:pt>
                <c:pt idx="988">
                  <c:v>35604.120000000003</c:v>
                </c:pt>
                <c:pt idx="989">
                  <c:v>91074.2</c:v>
                </c:pt>
                <c:pt idx="990">
                  <c:v>72686.399999999994</c:v>
                </c:pt>
                <c:pt idx="991">
                  <c:v>43772.41</c:v>
                </c:pt>
                <c:pt idx="992">
                  <c:v>100296.35</c:v>
                </c:pt>
                <c:pt idx="993">
                  <c:v>70115.710000000006</c:v>
                </c:pt>
                <c:pt idx="994">
                  <c:v>70180.350000000006</c:v>
                </c:pt>
                <c:pt idx="995">
                  <c:v>50661.72</c:v>
                </c:pt>
                <c:pt idx="996">
                  <c:v>71764.23</c:v>
                </c:pt>
                <c:pt idx="997">
                  <c:v>118291.58</c:v>
                </c:pt>
                <c:pt idx="998">
                  <c:v>65608.600000000006</c:v>
                </c:pt>
                <c:pt idx="999">
                  <c:v>99863.63</c:v>
                </c:pt>
                <c:pt idx="1000">
                  <c:v>84609.91</c:v>
                </c:pt>
                <c:pt idx="1001">
                  <c:v>81244.23</c:v>
                </c:pt>
                <c:pt idx="1002">
                  <c:v>167460.91</c:v>
                </c:pt>
                <c:pt idx="1003">
                  <c:v>33127.160000000003</c:v>
                </c:pt>
                <c:pt idx="1004">
                  <c:v>66131.67</c:v>
                </c:pt>
                <c:pt idx="1005">
                  <c:v>58695</c:v>
                </c:pt>
                <c:pt idx="1006">
                  <c:v>46867.37</c:v>
                </c:pt>
                <c:pt idx="1007">
                  <c:v>183949.91</c:v>
                </c:pt>
                <c:pt idx="1008">
                  <c:v>26705.48</c:v>
                </c:pt>
                <c:pt idx="1009">
                  <c:v>37623.67</c:v>
                </c:pt>
                <c:pt idx="1010">
                  <c:v>98821.6</c:v>
                </c:pt>
                <c:pt idx="1011">
                  <c:v>186969.89</c:v>
                </c:pt>
                <c:pt idx="1012">
                  <c:v>68322.210000000006</c:v>
                </c:pt>
                <c:pt idx="1013">
                  <c:v>91805.32</c:v>
                </c:pt>
                <c:pt idx="1014">
                  <c:v>34244.160000000003</c:v>
                </c:pt>
                <c:pt idx="1015">
                  <c:v>113739.43</c:v>
                </c:pt>
                <c:pt idx="1016">
                  <c:v>98006.33</c:v>
                </c:pt>
                <c:pt idx="1017">
                  <c:v>67166.429999999993</c:v>
                </c:pt>
                <c:pt idx="1018">
                  <c:v>73774.27</c:v>
                </c:pt>
                <c:pt idx="1019">
                  <c:v>98420.53</c:v>
                </c:pt>
                <c:pt idx="1020">
                  <c:v>42545.39</c:v>
                </c:pt>
                <c:pt idx="1021">
                  <c:v>25921.47</c:v>
                </c:pt>
                <c:pt idx="1022">
                  <c:v>86119.94</c:v>
                </c:pt>
                <c:pt idx="1023">
                  <c:v>77587.25</c:v>
                </c:pt>
                <c:pt idx="1024">
                  <c:v>89238.61</c:v>
                </c:pt>
                <c:pt idx="1025">
                  <c:v>53342.39</c:v>
                </c:pt>
                <c:pt idx="1026">
                  <c:v>108752.82</c:v>
                </c:pt>
                <c:pt idx="1027">
                  <c:v>94570.880000000005</c:v>
                </c:pt>
                <c:pt idx="1028">
                  <c:v>52113.75</c:v>
                </c:pt>
                <c:pt idx="1029">
                  <c:v>91108.2</c:v>
                </c:pt>
                <c:pt idx="1030">
                  <c:v>49738.35</c:v>
                </c:pt>
                <c:pt idx="1031">
                  <c:v>33510.99</c:v>
                </c:pt>
                <c:pt idx="1032">
                  <c:v>84139.98</c:v>
                </c:pt>
                <c:pt idx="1033">
                  <c:v>137916.62</c:v>
                </c:pt>
                <c:pt idx="1034">
                  <c:v>148635.93</c:v>
                </c:pt>
                <c:pt idx="1035">
                  <c:v>62330.93</c:v>
                </c:pt>
                <c:pt idx="1036">
                  <c:v>29108.23</c:v>
                </c:pt>
                <c:pt idx="1037">
                  <c:v>81159.740000000005</c:v>
                </c:pt>
                <c:pt idx="1038">
                  <c:v>80586.23</c:v>
                </c:pt>
                <c:pt idx="1039">
                  <c:v>79451.820000000007</c:v>
                </c:pt>
                <c:pt idx="1040">
                  <c:v>51783.96</c:v>
                </c:pt>
                <c:pt idx="1041">
                  <c:v>47442.7</c:v>
                </c:pt>
                <c:pt idx="1042">
                  <c:v>113232.12</c:v>
                </c:pt>
                <c:pt idx="1043">
                  <c:v>102095.14</c:v>
                </c:pt>
                <c:pt idx="1044">
                  <c:v>104966.05</c:v>
                </c:pt>
                <c:pt idx="1045">
                  <c:v>40789.370000000003</c:v>
                </c:pt>
                <c:pt idx="1046">
                  <c:v>32451.41</c:v>
                </c:pt>
                <c:pt idx="1047">
                  <c:v>112086.56</c:v>
                </c:pt>
                <c:pt idx="1048">
                  <c:v>64416.89</c:v>
                </c:pt>
                <c:pt idx="1049">
                  <c:v>108727.13</c:v>
                </c:pt>
                <c:pt idx="1050">
                  <c:v>119078.45</c:v>
                </c:pt>
                <c:pt idx="1051">
                  <c:v>34994.42</c:v>
                </c:pt>
                <c:pt idx="1052">
                  <c:v>114240.51</c:v>
                </c:pt>
                <c:pt idx="1053">
                  <c:v>70076.78</c:v>
                </c:pt>
                <c:pt idx="1054">
                  <c:v>95394.53</c:v>
                </c:pt>
                <c:pt idx="1055">
                  <c:v>16613.009999999998</c:v>
                </c:pt>
                <c:pt idx="1056">
                  <c:v>39147.79</c:v>
                </c:pt>
                <c:pt idx="1057">
                  <c:v>52326.27</c:v>
                </c:pt>
                <c:pt idx="1058">
                  <c:v>43930.22</c:v>
                </c:pt>
                <c:pt idx="1059">
                  <c:v>68260.210000000006</c:v>
                </c:pt>
                <c:pt idx="1060">
                  <c:v>86243.23</c:v>
                </c:pt>
                <c:pt idx="1061">
                  <c:v>91715.74</c:v>
                </c:pt>
                <c:pt idx="1062">
                  <c:v>55304.32</c:v>
                </c:pt>
                <c:pt idx="1063">
                  <c:v>67671.59</c:v>
                </c:pt>
                <c:pt idx="1064">
                  <c:v>46348.56</c:v>
                </c:pt>
                <c:pt idx="1065">
                  <c:v>41711.199999999997</c:v>
                </c:pt>
                <c:pt idx="1066">
                  <c:v>71451.87</c:v>
                </c:pt>
                <c:pt idx="1067">
                  <c:v>109130.05</c:v>
                </c:pt>
                <c:pt idx="1068">
                  <c:v>30282.11</c:v>
                </c:pt>
                <c:pt idx="1069">
                  <c:v>83813.38</c:v>
                </c:pt>
                <c:pt idx="1070">
                  <c:v>59084.31</c:v>
                </c:pt>
                <c:pt idx="1071">
                  <c:v>43985.87</c:v>
                </c:pt>
                <c:pt idx="1072">
                  <c:v>114549.61</c:v>
                </c:pt>
                <c:pt idx="1073">
                  <c:v>63323.17</c:v>
                </c:pt>
                <c:pt idx="1074">
                  <c:v>143428.04999999999</c:v>
                </c:pt>
                <c:pt idx="1075">
                  <c:v>60337.62</c:v>
                </c:pt>
                <c:pt idx="1076">
                  <c:v>53064.54</c:v>
                </c:pt>
                <c:pt idx="1077">
                  <c:v>74178.539999999994</c:v>
                </c:pt>
                <c:pt idx="1078">
                  <c:v>51946.07</c:v>
                </c:pt>
                <c:pt idx="1079">
                  <c:v>85221.63</c:v>
                </c:pt>
                <c:pt idx="1080">
                  <c:v>44718.1</c:v>
                </c:pt>
                <c:pt idx="1081">
                  <c:v>57311.05</c:v>
                </c:pt>
                <c:pt idx="1082">
                  <c:v>112803.13</c:v>
                </c:pt>
                <c:pt idx="1083">
                  <c:v>126392.96000000001</c:v>
                </c:pt>
                <c:pt idx="1084">
                  <c:v>79560.179999999993</c:v>
                </c:pt>
                <c:pt idx="1085">
                  <c:v>56648.45</c:v>
                </c:pt>
                <c:pt idx="1086">
                  <c:v>68589.740000000005</c:v>
                </c:pt>
                <c:pt idx="1087">
                  <c:v>126346.84</c:v>
                </c:pt>
                <c:pt idx="1088">
                  <c:v>79465</c:v>
                </c:pt>
                <c:pt idx="1089">
                  <c:v>51140.49</c:v>
                </c:pt>
                <c:pt idx="1090">
                  <c:v>55221.99</c:v>
                </c:pt>
                <c:pt idx="1091">
                  <c:v>79371.520000000004</c:v>
                </c:pt>
                <c:pt idx="1092">
                  <c:v>42779.06</c:v>
                </c:pt>
                <c:pt idx="1093">
                  <c:v>56433</c:v>
                </c:pt>
                <c:pt idx="1094">
                  <c:v>27583.09</c:v>
                </c:pt>
                <c:pt idx="1095">
                  <c:v>58826.879999999997</c:v>
                </c:pt>
                <c:pt idx="1096">
                  <c:v>65610.45</c:v>
                </c:pt>
                <c:pt idx="1097">
                  <c:v>71380.399999999994</c:v>
                </c:pt>
                <c:pt idx="1098">
                  <c:v>79235.67</c:v>
                </c:pt>
                <c:pt idx="1099">
                  <c:v>88218.65</c:v>
                </c:pt>
                <c:pt idx="1100">
                  <c:v>164703.81</c:v>
                </c:pt>
                <c:pt idx="1101">
                  <c:v>93652.94</c:v>
                </c:pt>
                <c:pt idx="1102">
                  <c:v>121871.7</c:v>
                </c:pt>
                <c:pt idx="1103">
                  <c:v>102878.64</c:v>
                </c:pt>
                <c:pt idx="1104">
                  <c:v>74428.14</c:v>
                </c:pt>
                <c:pt idx="1105">
                  <c:v>112274.6</c:v>
                </c:pt>
                <c:pt idx="1106">
                  <c:v>97039.06</c:v>
                </c:pt>
                <c:pt idx="1107">
                  <c:v>53395.89</c:v>
                </c:pt>
                <c:pt idx="1108">
                  <c:v>80502.600000000006</c:v>
                </c:pt>
                <c:pt idx="1109">
                  <c:v>31639.64</c:v>
                </c:pt>
                <c:pt idx="1110">
                  <c:v>69526.3</c:v>
                </c:pt>
                <c:pt idx="1111">
                  <c:v>81358.02</c:v>
                </c:pt>
                <c:pt idx="1112">
                  <c:v>45158.26</c:v>
                </c:pt>
                <c:pt idx="1113">
                  <c:v>73470.2</c:v>
                </c:pt>
                <c:pt idx="1114">
                  <c:v>31797.34</c:v>
                </c:pt>
                <c:pt idx="1115">
                  <c:v>73675.86</c:v>
                </c:pt>
                <c:pt idx="1116">
                  <c:v>105706.18</c:v>
                </c:pt>
                <c:pt idx="1117">
                  <c:v>123736.19</c:v>
                </c:pt>
                <c:pt idx="1118">
                  <c:v>73207.320000000007</c:v>
                </c:pt>
                <c:pt idx="1119">
                  <c:v>95125.11</c:v>
                </c:pt>
                <c:pt idx="1120">
                  <c:v>64643.29</c:v>
                </c:pt>
                <c:pt idx="1121">
                  <c:v>35115.72</c:v>
                </c:pt>
                <c:pt idx="1122">
                  <c:v>112650.99</c:v>
                </c:pt>
                <c:pt idx="1123">
                  <c:v>80541.59</c:v>
                </c:pt>
                <c:pt idx="1124">
                  <c:v>99869.64</c:v>
                </c:pt>
                <c:pt idx="1125">
                  <c:v>106510.25</c:v>
                </c:pt>
                <c:pt idx="1126">
                  <c:v>58831.27</c:v>
                </c:pt>
                <c:pt idx="1127">
                  <c:v>70858.100000000006</c:v>
                </c:pt>
                <c:pt idx="1128">
                  <c:v>46173.34</c:v>
                </c:pt>
                <c:pt idx="1129">
                  <c:v>73712.39</c:v>
                </c:pt>
                <c:pt idx="1130">
                  <c:v>73891.199999999997</c:v>
                </c:pt>
                <c:pt idx="1131">
                  <c:v>65291.37</c:v>
                </c:pt>
                <c:pt idx="1132">
                  <c:v>137035.03</c:v>
                </c:pt>
                <c:pt idx="1133">
                  <c:v>36015.660000000003</c:v>
                </c:pt>
                <c:pt idx="1134">
                  <c:v>96459.23</c:v>
                </c:pt>
                <c:pt idx="1135">
                  <c:v>64862.04</c:v>
                </c:pt>
                <c:pt idx="1136">
                  <c:v>131964.76</c:v>
                </c:pt>
                <c:pt idx="1137">
                  <c:v>97251.62</c:v>
                </c:pt>
                <c:pt idx="1138">
                  <c:v>63320.42</c:v>
                </c:pt>
                <c:pt idx="1139">
                  <c:v>63386.57</c:v>
                </c:pt>
                <c:pt idx="1140">
                  <c:v>115665.62</c:v>
                </c:pt>
                <c:pt idx="1141">
                  <c:v>30805.35</c:v>
                </c:pt>
                <c:pt idx="1142">
                  <c:v>103491.15</c:v>
                </c:pt>
                <c:pt idx="1143">
                  <c:v>67363.850000000006</c:v>
                </c:pt>
                <c:pt idx="1144">
                  <c:v>37099.25</c:v>
                </c:pt>
                <c:pt idx="1145">
                  <c:v>55204.45</c:v>
                </c:pt>
                <c:pt idx="1146">
                  <c:v>63604.01</c:v>
                </c:pt>
                <c:pt idx="1147">
                  <c:v>101590.86</c:v>
                </c:pt>
                <c:pt idx="1148">
                  <c:v>62600.82</c:v>
                </c:pt>
                <c:pt idx="1149">
                  <c:v>99348.31</c:v>
                </c:pt>
                <c:pt idx="1150">
                  <c:v>40119.64</c:v>
                </c:pt>
                <c:pt idx="1151">
                  <c:v>124226.17</c:v>
                </c:pt>
                <c:pt idx="1152">
                  <c:v>34616.61</c:v>
                </c:pt>
                <c:pt idx="1153">
                  <c:v>75380.59</c:v>
                </c:pt>
                <c:pt idx="1154">
                  <c:v>32210.63</c:v>
                </c:pt>
                <c:pt idx="1155">
                  <c:v>68395.009999999995</c:v>
                </c:pt>
                <c:pt idx="1156">
                  <c:v>156702.49</c:v>
                </c:pt>
                <c:pt idx="1157">
                  <c:v>97863.03</c:v>
                </c:pt>
                <c:pt idx="1158">
                  <c:v>183986.43</c:v>
                </c:pt>
                <c:pt idx="1159">
                  <c:v>56352.74</c:v>
                </c:pt>
                <c:pt idx="1160">
                  <c:v>126403.53</c:v>
                </c:pt>
                <c:pt idx="1161">
                  <c:v>67810.929999999993</c:v>
                </c:pt>
                <c:pt idx="1162">
                  <c:v>53237.26</c:v>
                </c:pt>
                <c:pt idx="1163">
                  <c:v>63436.73</c:v>
                </c:pt>
                <c:pt idx="1164">
                  <c:v>101208.82</c:v>
                </c:pt>
                <c:pt idx="1165">
                  <c:v>37298.339999999997</c:v>
                </c:pt>
                <c:pt idx="1166">
                  <c:v>155446.31</c:v>
                </c:pt>
                <c:pt idx="1167">
                  <c:v>55487.47</c:v>
                </c:pt>
                <c:pt idx="1168">
                  <c:v>65735.100000000006</c:v>
                </c:pt>
                <c:pt idx="1169">
                  <c:v>62912.21</c:v>
                </c:pt>
                <c:pt idx="1170">
                  <c:v>97174.66</c:v>
                </c:pt>
                <c:pt idx="1171">
                  <c:v>82455.28</c:v>
                </c:pt>
                <c:pt idx="1172">
                  <c:v>84667.26</c:v>
                </c:pt>
                <c:pt idx="1173">
                  <c:v>57387.97</c:v>
                </c:pt>
                <c:pt idx="1174">
                  <c:v>92031.99</c:v>
                </c:pt>
                <c:pt idx="1175">
                  <c:v>72870.48</c:v>
                </c:pt>
                <c:pt idx="1176">
                  <c:v>66422.789999999994</c:v>
                </c:pt>
                <c:pt idx="1177">
                  <c:v>52220.2</c:v>
                </c:pt>
                <c:pt idx="1178">
                  <c:v>84366.720000000001</c:v>
                </c:pt>
                <c:pt idx="1179">
                  <c:v>93514.06</c:v>
                </c:pt>
                <c:pt idx="1180">
                  <c:v>30416.52</c:v>
                </c:pt>
                <c:pt idx="1181">
                  <c:v>106411.54</c:v>
                </c:pt>
                <c:pt idx="1182">
                  <c:v>81773.509999999995</c:v>
                </c:pt>
                <c:pt idx="1183">
                  <c:v>75009.919999999998</c:v>
                </c:pt>
                <c:pt idx="1184">
                  <c:v>67256.69</c:v>
                </c:pt>
                <c:pt idx="1185">
                  <c:v>65308.05</c:v>
                </c:pt>
                <c:pt idx="1186">
                  <c:v>63735.58</c:v>
                </c:pt>
                <c:pt idx="1187">
                  <c:v>154034.20000000001</c:v>
                </c:pt>
                <c:pt idx="1188">
                  <c:v>26964.92</c:v>
                </c:pt>
                <c:pt idx="1189">
                  <c:v>61730.85</c:v>
                </c:pt>
                <c:pt idx="1190">
                  <c:v>88042.89</c:v>
                </c:pt>
                <c:pt idx="1191">
                  <c:v>74000.570000000007</c:v>
                </c:pt>
                <c:pt idx="1192">
                  <c:v>81058.7</c:v>
                </c:pt>
                <c:pt idx="1193">
                  <c:v>51043.69</c:v>
                </c:pt>
                <c:pt idx="1194">
                  <c:v>144885.91</c:v>
                </c:pt>
                <c:pt idx="1195">
                  <c:v>124673.1</c:v>
                </c:pt>
                <c:pt idx="1196">
                  <c:v>159067.16</c:v>
                </c:pt>
                <c:pt idx="1197">
                  <c:v>93018.72</c:v>
                </c:pt>
                <c:pt idx="1198">
                  <c:v>67711.199999999997</c:v>
                </c:pt>
                <c:pt idx="1199">
                  <c:v>112635.62</c:v>
                </c:pt>
                <c:pt idx="1200">
                  <c:v>62461.41</c:v>
                </c:pt>
                <c:pt idx="1201">
                  <c:v>83728.44</c:v>
                </c:pt>
                <c:pt idx="1202">
                  <c:v>92160.09</c:v>
                </c:pt>
                <c:pt idx="1203">
                  <c:v>23505.59</c:v>
                </c:pt>
                <c:pt idx="1204">
                  <c:v>77799.73</c:v>
                </c:pt>
                <c:pt idx="1205">
                  <c:v>56513.760000000002</c:v>
                </c:pt>
                <c:pt idx="1206">
                  <c:v>69070.75</c:v>
                </c:pt>
                <c:pt idx="1207">
                  <c:v>112817.29</c:v>
                </c:pt>
                <c:pt idx="1208">
                  <c:v>28078.09</c:v>
                </c:pt>
                <c:pt idx="1209">
                  <c:v>67624.72</c:v>
                </c:pt>
                <c:pt idx="1210">
                  <c:v>45198.239999999998</c:v>
                </c:pt>
                <c:pt idx="1211">
                  <c:v>34913.449999999997</c:v>
                </c:pt>
                <c:pt idx="1212">
                  <c:v>53235.86</c:v>
                </c:pt>
                <c:pt idx="1213">
                  <c:v>78714.850000000006</c:v>
                </c:pt>
                <c:pt idx="1214">
                  <c:v>57065.27</c:v>
                </c:pt>
                <c:pt idx="1215">
                  <c:v>113906.34</c:v>
                </c:pt>
                <c:pt idx="1216">
                  <c:v>171221.67</c:v>
                </c:pt>
                <c:pt idx="1217">
                  <c:v>143876.35</c:v>
                </c:pt>
                <c:pt idx="1218">
                  <c:v>62907.37</c:v>
                </c:pt>
                <c:pt idx="1219">
                  <c:v>101092.71</c:v>
                </c:pt>
                <c:pt idx="1220">
                  <c:v>53125</c:v>
                </c:pt>
                <c:pt idx="1221">
                  <c:v>67690.460000000006</c:v>
                </c:pt>
                <c:pt idx="1222">
                  <c:v>71667.28</c:v>
                </c:pt>
                <c:pt idx="1223">
                  <c:v>103197.25</c:v>
                </c:pt>
                <c:pt idx="1224">
                  <c:v>94244.35</c:v>
                </c:pt>
                <c:pt idx="1225">
                  <c:v>150935.25</c:v>
                </c:pt>
                <c:pt idx="1226">
                  <c:v>46160.26</c:v>
                </c:pt>
                <c:pt idx="1227">
                  <c:v>32710.87</c:v>
                </c:pt>
                <c:pt idx="1228">
                  <c:v>76930.78</c:v>
                </c:pt>
                <c:pt idx="1229">
                  <c:v>102347.9</c:v>
                </c:pt>
                <c:pt idx="1230">
                  <c:v>84689.7</c:v>
                </c:pt>
                <c:pt idx="1231">
                  <c:v>118077.25</c:v>
                </c:pt>
                <c:pt idx="1232">
                  <c:v>87619.97</c:v>
                </c:pt>
                <c:pt idx="1233">
                  <c:v>92379.520000000004</c:v>
                </c:pt>
                <c:pt idx="1234">
                  <c:v>84308.51</c:v>
                </c:pt>
                <c:pt idx="1235">
                  <c:v>115397.77</c:v>
                </c:pt>
                <c:pt idx="1236">
                  <c:v>142019.75</c:v>
                </c:pt>
                <c:pt idx="1237">
                  <c:v>48459.839999999997</c:v>
                </c:pt>
                <c:pt idx="1238">
                  <c:v>106306.01</c:v>
                </c:pt>
                <c:pt idx="1239">
                  <c:v>55363.64</c:v>
                </c:pt>
                <c:pt idx="1240">
                  <c:v>111590.33</c:v>
                </c:pt>
                <c:pt idx="1241">
                  <c:v>79279.61</c:v>
                </c:pt>
                <c:pt idx="1242">
                  <c:v>44715.21</c:v>
                </c:pt>
                <c:pt idx="1243">
                  <c:v>122737.35</c:v>
                </c:pt>
                <c:pt idx="1244">
                  <c:v>75057.34</c:v>
                </c:pt>
                <c:pt idx="1245">
                  <c:v>121734.94</c:v>
                </c:pt>
                <c:pt idx="1246">
                  <c:v>41533.410000000003</c:v>
                </c:pt>
                <c:pt idx="1247">
                  <c:v>33281.599999999999</c:v>
                </c:pt>
                <c:pt idx="1248">
                  <c:v>78385.679999999993</c:v>
                </c:pt>
                <c:pt idx="1249">
                  <c:v>54591.6</c:v>
                </c:pt>
                <c:pt idx="1250">
                  <c:v>84501.24</c:v>
                </c:pt>
                <c:pt idx="1251">
                  <c:v>45692.14</c:v>
                </c:pt>
                <c:pt idx="1252">
                  <c:v>131664.51</c:v>
                </c:pt>
                <c:pt idx="1253">
                  <c:v>146733.12</c:v>
                </c:pt>
                <c:pt idx="1254">
                  <c:v>108424.86</c:v>
                </c:pt>
                <c:pt idx="1255">
                  <c:v>43023.64</c:v>
                </c:pt>
                <c:pt idx="1256">
                  <c:v>157561.98000000001</c:v>
                </c:pt>
                <c:pt idx="1257">
                  <c:v>61789.95</c:v>
                </c:pt>
                <c:pt idx="1258">
                  <c:v>109834.54</c:v>
                </c:pt>
                <c:pt idx="1259">
                  <c:v>31082.43</c:v>
                </c:pt>
                <c:pt idx="1260">
                  <c:v>111062.23</c:v>
                </c:pt>
                <c:pt idx="1261">
                  <c:v>56654.61</c:v>
                </c:pt>
                <c:pt idx="1262">
                  <c:v>82830.36</c:v>
                </c:pt>
                <c:pt idx="1263">
                  <c:v>85586.86</c:v>
                </c:pt>
                <c:pt idx="1264">
                  <c:v>170972.65</c:v>
                </c:pt>
                <c:pt idx="1265">
                  <c:v>158710.22</c:v>
                </c:pt>
                <c:pt idx="1266">
                  <c:v>102827.77</c:v>
                </c:pt>
                <c:pt idx="1267">
                  <c:v>58686.32</c:v>
                </c:pt>
                <c:pt idx="1268">
                  <c:v>50056.29</c:v>
                </c:pt>
                <c:pt idx="1269">
                  <c:v>24412.01</c:v>
                </c:pt>
                <c:pt idx="1270">
                  <c:v>58896.05</c:v>
                </c:pt>
                <c:pt idx="1271">
                  <c:v>113572.04</c:v>
                </c:pt>
                <c:pt idx="1272">
                  <c:v>32151.97</c:v>
                </c:pt>
                <c:pt idx="1273">
                  <c:v>168092.71</c:v>
                </c:pt>
                <c:pt idx="1274">
                  <c:v>74306.48</c:v>
                </c:pt>
                <c:pt idx="1275">
                  <c:v>99111.24</c:v>
                </c:pt>
                <c:pt idx="1276">
                  <c:v>32377.24</c:v>
                </c:pt>
                <c:pt idx="1277">
                  <c:v>163150.51999999999</c:v>
                </c:pt>
                <c:pt idx="1278">
                  <c:v>172193.15</c:v>
                </c:pt>
                <c:pt idx="1279">
                  <c:v>46056.18</c:v>
                </c:pt>
                <c:pt idx="1280">
                  <c:v>88002.42</c:v>
                </c:pt>
                <c:pt idx="1281">
                  <c:v>57562.96</c:v>
                </c:pt>
                <c:pt idx="1282">
                  <c:v>91322.04</c:v>
                </c:pt>
                <c:pt idx="1283">
                  <c:v>39764.730000000003</c:v>
                </c:pt>
                <c:pt idx="1284">
                  <c:v>23723.54</c:v>
                </c:pt>
                <c:pt idx="1285">
                  <c:v>42532.36</c:v>
                </c:pt>
                <c:pt idx="1286">
                  <c:v>29555.66</c:v>
                </c:pt>
                <c:pt idx="1287">
                  <c:v>62695.67</c:v>
                </c:pt>
                <c:pt idx="1288">
                  <c:v>71009.25</c:v>
                </c:pt>
                <c:pt idx="1289">
                  <c:v>41849.58</c:v>
                </c:pt>
                <c:pt idx="1290">
                  <c:v>36800.160000000003</c:v>
                </c:pt>
                <c:pt idx="1291">
                  <c:v>166324.35999999999</c:v>
                </c:pt>
                <c:pt idx="1292">
                  <c:v>71842.960000000006</c:v>
                </c:pt>
                <c:pt idx="1293">
                  <c:v>117382.51</c:v>
                </c:pt>
                <c:pt idx="1294">
                  <c:v>46219.97</c:v>
                </c:pt>
                <c:pt idx="1295">
                  <c:v>29639.14</c:v>
                </c:pt>
                <c:pt idx="1296">
                  <c:v>81977.77</c:v>
                </c:pt>
                <c:pt idx="1297">
                  <c:v>94641.12</c:v>
                </c:pt>
                <c:pt idx="1298">
                  <c:v>113237.82</c:v>
                </c:pt>
                <c:pt idx="1299">
                  <c:v>41353.279999999999</c:v>
                </c:pt>
                <c:pt idx="1300">
                  <c:v>116565.3</c:v>
                </c:pt>
                <c:pt idx="1301">
                  <c:v>73079.97</c:v>
                </c:pt>
                <c:pt idx="1302">
                  <c:v>106992.78</c:v>
                </c:pt>
                <c:pt idx="1303">
                  <c:v>42318.559999999998</c:v>
                </c:pt>
                <c:pt idx="1304">
                  <c:v>51965.01</c:v>
                </c:pt>
                <c:pt idx="1305">
                  <c:v>136371.95000000001</c:v>
                </c:pt>
                <c:pt idx="1306">
                  <c:v>53068.74</c:v>
                </c:pt>
                <c:pt idx="1307">
                  <c:v>45556.75</c:v>
                </c:pt>
                <c:pt idx="1308">
                  <c:v>24219.14</c:v>
                </c:pt>
                <c:pt idx="1309">
                  <c:v>62155.3</c:v>
                </c:pt>
                <c:pt idx="1310">
                  <c:v>162214.07999999999</c:v>
                </c:pt>
                <c:pt idx="1311">
                  <c:v>76292.22</c:v>
                </c:pt>
                <c:pt idx="1312">
                  <c:v>70023.960000000006</c:v>
                </c:pt>
                <c:pt idx="1313">
                  <c:v>61243.81</c:v>
                </c:pt>
                <c:pt idx="1314">
                  <c:v>60928.37</c:v>
                </c:pt>
                <c:pt idx="1315">
                  <c:v>119496.22</c:v>
                </c:pt>
                <c:pt idx="1316">
                  <c:v>66375.02</c:v>
                </c:pt>
                <c:pt idx="1317">
                  <c:v>68553.58</c:v>
                </c:pt>
                <c:pt idx="1318">
                  <c:v>80796.91</c:v>
                </c:pt>
                <c:pt idx="1319">
                  <c:v>59816.02</c:v>
                </c:pt>
                <c:pt idx="1320">
                  <c:v>61584.07</c:v>
                </c:pt>
                <c:pt idx="1321">
                  <c:v>99143.24</c:v>
                </c:pt>
                <c:pt idx="1322">
                  <c:v>129584.74</c:v>
                </c:pt>
                <c:pt idx="1323">
                  <c:v>99786.36</c:v>
                </c:pt>
                <c:pt idx="1324">
                  <c:v>137880.07999999999</c:v>
                </c:pt>
                <c:pt idx="1325">
                  <c:v>57737.75</c:v>
                </c:pt>
                <c:pt idx="1326">
                  <c:v>112472.41</c:v>
                </c:pt>
                <c:pt idx="1327">
                  <c:v>54602.2</c:v>
                </c:pt>
                <c:pt idx="1328">
                  <c:v>86702.14</c:v>
                </c:pt>
                <c:pt idx="1329">
                  <c:v>107017.27</c:v>
                </c:pt>
                <c:pt idx="1330">
                  <c:v>76787.3</c:v>
                </c:pt>
                <c:pt idx="1331">
                  <c:v>54182.3</c:v>
                </c:pt>
                <c:pt idx="1332">
                  <c:v>43671.62</c:v>
                </c:pt>
                <c:pt idx="1333">
                  <c:v>55513.599999999999</c:v>
                </c:pt>
                <c:pt idx="1334">
                  <c:v>269775.2</c:v>
                </c:pt>
                <c:pt idx="1335">
                  <c:v>125637.29</c:v>
                </c:pt>
                <c:pt idx="1336">
                  <c:v>111275.22</c:v>
                </c:pt>
                <c:pt idx="1337">
                  <c:v>84529.75</c:v>
                </c:pt>
                <c:pt idx="1338">
                  <c:v>97308.1</c:v>
                </c:pt>
                <c:pt idx="1339">
                  <c:v>35653.980000000003</c:v>
                </c:pt>
                <c:pt idx="1340">
                  <c:v>101979.86</c:v>
                </c:pt>
                <c:pt idx="1341">
                  <c:v>80040.399999999994</c:v>
                </c:pt>
                <c:pt idx="1342">
                  <c:v>104553.67</c:v>
                </c:pt>
                <c:pt idx="1343">
                  <c:v>65559.399999999994</c:v>
                </c:pt>
                <c:pt idx="1344">
                  <c:v>64750.83</c:v>
                </c:pt>
                <c:pt idx="1345">
                  <c:v>32332.16</c:v>
                </c:pt>
                <c:pt idx="1346">
                  <c:v>112008.03</c:v>
                </c:pt>
                <c:pt idx="1347">
                  <c:v>114648.63</c:v>
                </c:pt>
                <c:pt idx="1348">
                  <c:v>111303.96</c:v>
                </c:pt>
                <c:pt idx="1349">
                  <c:v>60365.37</c:v>
                </c:pt>
                <c:pt idx="1350">
                  <c:v>198768.13</c:v>
                </c:pt>
                <c:pt idx="1351">
                  <c:v>32564.1</c:v>
                </c:pt>
                <c:pt idx="1352">
                  <c:v>116578.08</c:v>
                </c:pt>
                <c:pt idx="1353">
                  <c:v>44453.56</c:v>
                </c:pt>
                <c:pt idx="1354">
                  <c:v>33847.360000000001</c:v>
                </c:pt>
                <c:pt idx="1355">
                  <c:v>51267.23</c:v>
                </c:pt>
                <c:pt idx="1356">
                  <c:v>77807.960000000006</c:v>
                </c:pt>
                <c:pt idx="1357">
                  <c:v>78903.539999999994</c:v>
                </c:pt>
                <c:pt idx="1358">
                  <c:v>75118.039999999994</c:v>
                </c:pt>
                <c:pt idx="1359">
                  <c:v>76777.22</c:v>
                </c:pt>
                <c:pt idx="1360">
                  <c:v>119850.54</c:v>
                </c:pt>
                <c:pt idx="1361">
                  <c:v>45553.77</c:v>
                </c:pt>
                <c:pt idx="1362">
                  <c:v>111495.73</c:v>
                </c:pt>
                <c:pt idx="1363">
                  <c:v>134617.67000000001</c:v>
                </c:pt>
                <c:pt idx="1364">
                  <c:v>55216.4</c:v>
                </c:pt>
                <c:pt idx="1365">
                  <c:v>163320.60999999999</c:v>
                </c:pt>
                <c:pt idx="1366">
                  <c:v>52994.74</c:v>
                </c:pt>
                <c:pt idx="1367">
                  <c:v>111572.71</c:v>
                </c:pt>
                <c:pt idx="1368">
                  <c:v>79743.44</c:v>
                </c:pt>
                <c:pt idx="1369">
                  <c:v>26326.68</c:v>
                </c:pt>
                <c:pt idx="1370">
                  <c:v>67825.009999999995</c:v>
                </c:pt>
                <c:pt idx="1371">
                  <c:v>78153.08</c:v>
                </c:pt>
                <c:pt idx="1372">
                  <c:v>93751.44</c:v>
                </c:pt>
                <c:pt idx="1373">
                  <c:v>68247.960000000006</c:v>
                </c:pt>
                <c:pt idx="1374">
                  <c:v>89614.35</c:v>
                </c:pt>
                <c:pt idx="1375">
                  <c:v>185592.86</c:v>
                </c:pt>
                <c:pt idx="1376">
                  <c:v>52450.92</c:v>
                </c:pt>
                <c:pt idx="1377">
                  <c:v>53836.77</c:v>
                </c:pt>
                <c:pt idx="1378">
                  <c:v>29912.83</c:v>
                </c:pt>
                <c:pt idx="1379">
                  <c:v>34300.06</c:v>
                </c:pt>
                <c:pt idx="1380">
                  <c:v>130541.56</c:v>
                </c:pt>
                <c:pt idx="1381">
                  <c:v>49575.71</c:v>
                </c:pt>
                <c:pt idx="1382">
                  <c:v>60986.5</c:v>
                </c:pt>
                <c:pt idx="1383">
                  <c:v>96175.42</c:v>
                </c:pt>
                <c:pt idx="1384">
                  <c:v>162797.03</c:v>
                </c:pt>
                <c:pt idx="1385">
                  <c:v>102394.49</c:v>
                </c:pt>
                <c:pt idx="1386">
                  <c:v>59495.32</c:v>
                </c:pt>
                <c:pt idx="1387">
                  <c:v>99778.09</c:v>
                </c:pt>
                <c:pt idx="1388">
                  <c:v>66660.45</c:v>
                </c:pt>
                <c:pt idx="1389">
                  <c:v>78484.960000000006</c:v>
                </c:pt>
                <c:pt idx="1390">
                  <c:v>30609.19</c:v>
                </c:pt>
                <c:pt idx="1391">
                  <c:v>117706.38</c:v>
                </c:pt>
                <c:pt idx="1392">
                  <c:v>106068.73</c:v>
                </c:pt>
                <c:pt idx="1393">
                  <c:v>70681.91</c:v>
                </c:pt>
                <c:pt idx="1394">
                  <c:v>41904.83</c:v>
                </c:pt>
                <c:pt idx="1395">
                  <c:v>94342.22</c:v>
                </c:pt>
                <c:pt idx="1396">
                  <c:v>40586.730000000003</c:v>
                </c:pt>
                <c:pt idx="1397">
                  <c:v>98782.03</c:v>
                </c:pt>
                <c:pt idx="1398">
                  <c:v>40060.04</c:v>
                </c:pt>
                <c:pt idx="1399">
                  <c:v>73854.22</c:v>
                </c:pt>
                <c:pt idx="1400">
                  <c:v>43328.14</c:v>
                </c:pt>
                <c:pt idx="1401">
                  <c:v>100199.56</c:v>
                </c:pt>
                <c:pt idx="1402">
                  <c:v>135068.35</c:v>
                </c:pt>
                <c:pt idx="1403">
                  <c:v>64854.51</c:v>
                </c:pt>
                <c:pt idx="1404">
                  <c:v>102335.06</c:v>
                </c:pt>
                <c:pt idx="1405">
                  <c:v>78808.06</c:v>
                </c:pt>
                <c:pt idx="1406">
                  <c:v>89766.7</c:v>
                </c:pt>
                <c:pt idx="1407">
                  <c:v>54161.53</c:v>
                </c:pt>
                <c:pt idx="1408">
                  <c:v>38543.18</c:v>
                </c:pt>
                <c:pt idx="1409">
                  <c:v>91688.58</c:v>
                </c:pt>
                <c:pt idx="1410">
                  <c:v>72252.78</c:v>
                </c:pt>
                <c:pt idx="1411">
                  <c:v>28188.639999999999</c:v>
                </c:pt>
                <c:pt idx="1412">
                  <c:v>32633.03</c:v>
                </c:pt>
                <c:pt idx="1413">
                  <c:v>61791.69</c:v>
                </c:pt>
                <c:pt idx="1414">
                  <c:v>97448.38</c:v>
                </c:pt>
                <c:pt idx="1415">
                  <c:v>75082.66</c:v>
                </c:pt>
                <c:pt idx="1416">
                  <c:v>56042.12</c:v>
                </c:pt>
                <c:pt idx="1417">
                  <c:v>102064.68</c:v>
                </c:pt>
                <c:pt idx="1418">
                  <c:v>92355.03</c:v>
                </c:pt>
                <c:pt idx="1419">
                  <c:v>105185.41</c:v>
                </c:pt>
                <c:pt idx="1420">
                  <c:v>20788.8</c:v>
                </c:pt>
                <c:pt idx="1421">
                  <c:v>97949.17</c:v>
                </c:pt>
                <c:pt idx="1422">
                  <c:v>112719.54</c:v>
                </c:pt>
                <c:pt idx="1423">
                  <c:v>155604.37</c:v>
                </c:pt>
                <c:pt idx="1424">
                  <c:v>107490.34</c:v>
                </c:pt>
                <c:pt idx="1425">
                  <c:v>100837.22</c:v>
                </c:pt>
                <c:pt idx="1426">
                  <c:v>112537.97</c:v>
                </c:pt>
                <c:pt idx="1427">
                  <c:v>65164.24</c:v>
                </c:pt>
                <c:pt idx="1428">
                  <c:v>134002.07</c:v>
                </c:pt>
                <c:pt idx="1429">
                  <c:v>125283.58</c:v>
                </c:pt>
                <c:pt idx="1430">
                  <c:v>53614.66</c:v>
                </c:pt>
                <c:pt idx="1431">
                  <c:v>54289.29</c:v>
                </c:pt>
                <c:pt idx="1432">
                  <c:v>69817.039999999994</c:v>
                </c:pt>
                <c:pt idx="1433">
                  <c:v>47596.94</c:v>
                </c:pt>
                <c:pt idx="1434">
                  <c:v>50416.800000000003</c:v>
                </c:pt>
                <c:pt idx="1435">
                  <c:v>127858.88</c:v>
                </c:pt>
                <c:pt idx="1436">
                  <c:v>27881.47</c:v>
                </c:pt>
                <c:pt idx="1437">
                  <c:v>98117.57</c:v>
                </c:pt>
                <c:pt idx="1438">
                  <c:v>114028.98</c:v>
                </c:pt>
                <c:pt idx="1439">
                  <c:v>76431.360000000001</c:v>
                </c:pt>
                <c:pt idx="1440">
                  <c:v>47756.59</c:v>
                </c:pt>
                <c:pt idx="1441">
                  <c:v>122960.47</c:v>
                </c:pt>
                <c:pt idx="1442">
                  <c:v>91502.74</c:v>
                </c:pt>
                <c:pt idx="1443">
                  <c:v>77633.039999999994</c:v>
                </c:pt>
                <c:pt idx="1444">
                  <c:v>74524.3</c:v>
                </c:pt>
                <c:pt idx="1445">
                  <c:v>27570.57</c:v>
                </c:pt>
                <c:pt idx="1446">
                  <c:v>42948.13</c:v>
                </c:pt>
                <c:pt idx="1447">
                  <c:v>100017.14</c:v>
                </c:pt>
                <c:pt idx="1448">
                  <c:v>108712.63</c:v>
                </c:pt>
                <c:pt idx="1449">
                  <c:v>96474.96</c:v>
                </c:pt>
                <c:pt idx="1450">
                  <c:v>33127.96</c:v>
                </c:pt>
                <c:pt idx="1451">
                  <c:v>52664.7</c:v>
                </c:pt>
                <c:pt idx="1452">
                  <c:v>117361.83</c:v>
                </c:pt>
                <c:pt idx="1453">
                  <c:v>91917.06</c:v>
                </c:pt>
                <c:pt idx="1454">
                  <c:v>128698.36</c:v>
                </c:pt>
                <c:pt idx="1455">
                  <c:v>100224.89</c:v>
                </c:pt>
                <c:pt idx="1456">
                  <c:v>66795.11</c:v>
                </c:pt>
                <c:pt idx="1457">
                  <c:v>102396.37</c:v>
                </c:pt>
                <c:pt idx="1458">
                  <c:v>53276.57</c:v>
                </c:pt>
                <c:pt idx="1459">
                  <c:v>102104.07</c:v>
                </c:pt>
                <c:pt idx="1460">
                  <c:v>62840.41</c:v>
                </c:pt>
                <c:pt idx="1461">
                  <c:v>131247.26</c:v>
                </c:pt>
                <c:pt idx="1462">
                  <c:v>84149.31</c:v>
                </c:pt>
                <c:pt idx="1463">
                  <c:v>71216.91</c:v>
                </c:pt>
                <c:pt idx="1464">
                  <c:v>60662.04</c:v>
                </c:pt>
                <c:pt idx="1465">
                  <c:v>46217.919999999998</c:v>
                </c:pt>
                <c:pt idx="1466">
                  <c:v>225594.15</c:v>
                </c:pt>
                <c:pt idx="1467">
                  <c:v>87726.28</c:v>
                </c:pt>
                <c:pt idx="1468">
                  <c:v>146623.72</c:v>
                </c:pt>
                <c:pt idx="1469">
                  <c:v>64696.27</c:v>
                </c:pt>
                <c:pt idx="1470">
                  <c:v>26810.33</c:v>
                </c:pt>
                <c:pt idx="1471">
                  <c:v>45723.03</c:v>
                </c:pt>
                <c:pt idx="1472">
                  <c:v>99175.33</c:v>
                </c:pt>
                <c:pt idx="1473">
                  <c:v>87997.46</c:v>
                </c:pt>
                <c:pt idx="1474">
                  <c:v>25853.85</c:v>
                </c:pt>
                <c:pt idx="1475">
                  <c:v>66806.73</c:v>
                </c:pt>
                <c:pt idx="1476">
                  <c:v>38587</c:v>
                </c:pt>
                <c:pt idx="1477">
                  <c:v>61417.24</c:v>
                </c:pt>
                <c:pt idx="1478">
                  <c:v>73146.64</c:v>
                </c:pt>
                <c:pt idx="1479">
                  <c:v>80127.240000000005</c:v>
                </c:pt>
                <c:pt idx="1480">
                  <c:v>69759.03</c:v>
                </c:pt>
                <c:pt idx="1481">
                  <c:v>68205.179999999993</c:v>
                </c:pt>
                <c:pt idx="1482">
                  <c:v>52324.87</c:v>
                </c:pt>
                <c:pt idx="1483">
                  <c:v>119926.96</c:v>
                </c:pt>
                <c:pt idx="1484">
                  <c:v>59138.53</c:v>
                </c:pt>
                <c:pt idx="1485">
                  <c:v>73427.05</c:v>
                </c:pt>
                <c:pt idx="1486">
                  <c:v>105115.96</c:v>
                </c:pt>
                <c:pt idx="1487">
                  <c:v>54375.97</c:v>
                </c:pt>
                <c:pt idx="1488">
                  <c:v>61721.97</c:v>
                </c:pt>
                <c:pt idx="1489">
                  <c:v>70848.39</c:v>
                </c:pt>
                <c:pt idx="1490">
                  <c:v>51370.62</c:v>
                </c:pt>
                <c:pt idx="1491">
                  <c:v>44741.31</c:v>
                </c:pt>
                <c:pt idx="1492">
                  <c:v>25493.200000000001</c:v>
                </c:pt>
                <c:pt idx="1493">
                  <c:v>139788.5</c:v>
                </c:pt>
                <c:pt idx="1494">
                  <c:v>29338.85</c:v>
                </c:pt>
                <c:pt idx="1495">
                  <c:v>73854.83</c:v>
                </c:pt>
                <c:pt idx="1496">
                  <c:v>108403.17</c:v>
                </c:pt>
                <c:pt idx="1497">
                  <c:v>50241.81</c:v>
                </c:pt>
                <c:pt idx="1498">
                  <c:v>107650.74</c:v>
                </c:pt>
                <c:pt idx="1499">
                  <c:v>89516.61</c:v>
                </c:pt>
                <c:pt idx="1500">
                  <c:v>106647.79</c:v>
                </c:pt>
                <c:pt idx="1501">
                  <c:v>85387.82</c:v>
                </c:pt>
                <c:pt idx="1502">
                  <c:v>84622.11</c:v>
                </c:pt>
                <c:pt idx="1503">
                  <c:v>28903.55</c:v>
                </c:pt>
                <c:pt idx="1504">
                  <c:v>88650.96</c:v>
                </c:pt>
                <c:pt idx="1505">
                  <c:v>69709.16</c:v>
                </c:pt>
                <c:pt idx="1506">
                  <c:v>68881.259999999995</c:v>
                </c:pt>
                <c:pt idx="1507">
                  <c:v>46435.85</c:v>
                </c:pt>
                <c:pt idx="1508">
                  <c:v>53627.18</c:v>
                </c:pt>
                <c:pt idx="1509">
                  <c:v>31999.38</c:v>
                </c:pt>
                <c:pt idx="1510">
                  <c:v>97440.5</c:v>
                </c:pt>
                <c:pt idx="1511">
                  <c:v>33771.620000000003</c:v>
                </c:pt>
                <c:pt idx="1512">
                  <c:v>79916.17</c:v>
                </c:pt>
                <c:pt idx="1513">
                  <c:v>133807.79999999999</c:v>
                </c:pt>
                <c:pt idx="1514">
                  <c:v>43022.879999999997</c:v>
                </c:pt>
                <c:pt idx="1515">
                  <c:v>88927.83</c:v>
                </c:pt>
                <c:pt idx="1516">
                  <c:v>119539.21</c:v>
                </c:pt>
                <c:pt idx="1517">
                  <c:v>71446.39</c:v>
                </c:pt>
                <c:pt idx="1518">
                  <c:v>93434.880000000005</c:v>
                </c:pt>
                <c:pt idx="1519">
                  <c:v>96777.2</c:v>
                </c:pt>
                <c:pt idx="1520">
                  <c:v>142117.21</c:v>
                </c:pt>
                <c:pt idx="1521">
                  <c:v>119324.89</c:v>
                </c:pt>
                <c:pt idx="1522">
                  <c:v>61646.7</c:v>
                </c:pt>
                <c:pt idx="1523">
                  <c:v>112948.48</c:v>
                </c:pt>
                <c:pt idx="1524">
                  <c:v>91101</c:v>
                </c:pt>
                <c:pt idx="1525">
                  <c:v>30225.18</c:v>
                </c:pt>
                <c:pt idx="1526">
                  <c:v>104231.93</c:v>
                </c:pt>
                <c:pt idx="1527">
                  <c:v>45940.66</c:v>
                </c:pt>
                <c:pt idx="1528">
                  <c:v>68547.740000000005</c:v>
                </c:pt>
                <c:pt idx="1529">
                  <c:v>46513</c:v>
                </c:pt>
                <c:pt idx="1530">
                  <c:v>72612.58</c:v>
                </c:pt>
                <c:pt idx="1531">
                  <c:v>34817.25</c:v>
                </c:pt>
                <c:pt idx="1532">
                  <c:v>34507.25</c:v>
                </c:pt>
                <c:pt idx="1533">
                  <c:v>27057.77</c:v>
                </c:pt>
                <c:pt idx="1534">
                  <c:v>48608.56</c:v>
                </c:pt>
                <c:pt idx="1535">
                  <c:v>30686.17</c:v>
                </c:pt>
                <c:pt idx="1536">
                  <c:v>56003.28</c:v>
                </c:pt>
                <c:pt idx="1537">
                  <c:v>75699.03</c:v>
                </c:pt>
                <c:pt idx="1538">
                  <c:v>102510.62</c:v>
                </c:pt>
                <c:pt idx="1539">
                  <c:v>39241.19</c:v>
                </c:pt>
                <c:pt idx="1540">
                  <c:v>74596.820000000007</c:v>
                </c:pt>
                <c:pt idx="1541">
                  <c:v>62920.59</c:v>
                </c:pt>
                <c:pt idx="1542">
                  <c:v>62846.87</c:v>
                </c:pt>
                <c:pt idx="1543">
                  <c:v>44973.03</c:v>
                </c:pt>
                <c:pt idx="1544">
                  <c:v>86892.09</c:v>
                </c:pt>
                <c:pt idx="1545">
                  <c:v>56768.4</c:v>
                </c:pt>
                <c:pt idx="1546">
                  <c:v>86649.72</c:v>
                </c:pt>
                <c:pt idx="1547">
                  <c:v>84710.91</c:v>
                </c:pt>
                <c:pt idx="1548">
                  <c:v>93767.76</c:v>
                </c:pt>
                <c:pt idx="1549">
                  <c:v>133858.15</c:v>
                </c:pt>
                <c:pt idx="1550">
                  <c:v>73010.399999999994</c:v>
                </c:pt>
                <c:pt idx="1551">
                  <c:v>53569.81</c:v>
                </c:pt>
                <c:pt idx="1552">
                  <c:v>61247.58</c:v>
                </c:pt>
                <c:pt idx="1553">
                  <c:v>130055.6</c:v>
                </c:pt>
                <c:pt idx="1554">
                  <c:v>39142.51</c:v>
                </c:pt>
                <c:pt idx="1555">
                  <c:v>26581.17</c:v>
                </c:pt>
                <c:pt idx="1556">
                  <c:v>92527.86</c:v>
                </c:pt>
                <c:pt idx="1557">
                  <c:v>73265.41</c:v>
                </c:pt>
                <c:pt idx="1558">
                  <c:v>178840.11</c:v>
                </c:pt>
                <c:pt idx="1559">
                  <c:v>55700.85</c:v>
                </c:pt>
                <c:pt idx="1560">
                  <c:v>75079.649999999994</c:v>
                </c:pt>
                <c:pt idx="1561">
                  <c:v>46766.53</c:v>
                </c:pt>
                <c:pt idx="1562">
                  <c:v>43574.22</c:v>
                </c:pt>
                <c:pt idx="1563">
                  <c:v>71227.02</c:v>
                </c:pt>
                <c:pt idx="1564">
                  <c:v>126359.58</c:v>
                </c:pt>
                <c:pt idx="1565">
                  <c:v>35869.49</c:v>
                </c:pt>
                <c:pt idx="1566">
                  <c:v>84568.67</c:v>
                </c:pt>
                <c:pt idx="1567">
                  <c:v>106611.48</c:v>
                </c:pt>
                <c:pt idx="1568">
                  <c:v>82827.92</c:v>
                </c:pt>
                <c:pt idx="1569">
                  <c:v>38832.160000000003</c:v>
                </c:pt>
                <c:pt idx="1570">
                  <c:v>52082.5</c:v>
                </c:pt>
                <c:pt idx="1571">
                  <c:v>125176.94</c:v>
                </c:pt>
                <c:pt idx="1572">
                  <c:v>46760.47</c:v>
                </c:pt>
                <c:pt idx="1573">
                  <c:v>134953.72</c:v>
                </c:pt>
                <c:pt idx="1574">
                  <c:v>33832.39</c:v>
                </c:pt>
                <c:pt idx="1575">
                  <c:v>143043.07999999999</c:v>
                </c:pt>
                <c:pt idx="1576">
                  <c:v>66814.080000000002</c:v>
                </c:pt>
                <c:pt idx="1577">
                  <c:v>135695.35</c:v>
                </c:pt>
                <c:pt idx="1578">
                  <c:v>65977.95</c:v>
                </c:pt>
                <c:pt idx="1579">
                  <c:v>95775.65</c:v>
                </c:pt>
                <c:pt idx="1580">
                  <c:v>79542.78</c:v>
                </c:pt>
                <c:pt idx="1581">
                  <c:v>92433.279999999999</c:v>
                </c:pt>
                <c:pt idx="1582">
                  <c:v>56059.51</c:v>
                </c:pt>
                <c:pt idx="1583">
                  <c:v>60016.36</c:v>
                </c:pt>
                <c:pt idx="1584">
                  <c:v>184202.43</c:v>
                </c:pt>
                <c:pt idx="1585">
                  <c:v>57537.68</c:v>
                </c:pt>
                <c:pt idx="1586">
                  <c:v>47454.86</c:v>
                </c:pt>
                <c:pt idx="1587">
                  <c:v>52456.57</c:v>
                </c:pt>
                <c:pt idx="1588">
                  <c:v>27966.77</c:v>
                </c:pt>
                <c:pt idx="1589">
                  <c:v>61755.21</c:v>
                </c:pt>
                <c:pt idx="1590">
                  <c:v>36433.269999999997</c:v>
                </c:pt>
                <c:pt idx="1591">
                  <c:v>111533.26</c:v>
                </c:pt>
                <c:pt idx="1592">
                  <c:v>81673.279999999999</c:v>
                </c:pt>
                <c:pt idx="1593">
                  <c:v>55329.7</c:v>
                </c:pt>
                <c:pt idx="1594">
                  <c:v>49790.46</c:v>
                </c:pt>
                <c:pt idx="1595">
                  <c:v>82833.740000000005</c:v>
                </c:pt>
                <c:pt idx="1596">
                  <c:v>104505.82</c:v>
                </c:pt>
                <c:pt idx="1597">
                  <c:v>45169.5</c:v>
                </c:pt>
                <c:pt idx="1598">
                  <c:v>135056.97</c:v>
                </c:pt>
                <c:pt idx="1599">
                  <c:v>79000.66</c:v>
                </c:pt>
                <c:pt idx="1600">
                  <c:v>50205.39</c:v>
                </c:pt>
                <c:pt idx="1601">
                  <c:v>24481.15</c:v>
                </c:pt>
                <c:pt idx="1602">
                  <c:v>51538.03</c:v>
                </c:pt>
                <c:pt idx="1603">
                  <c:v>19083.54</c:v>
                </c:pt>
                <c:pt idx="1604">
                  <c:v>37255.18</c:v>
                </c:pt>
                <c:pt idx="1605">
                  <c:v>28093.63</c:v>
                </c:pt>
                <c:pt idx="1606">
                  <c:v>88007.74</c:v>
                </c:pt>
                <c:pt idx="1607">
                  <c:v>75193.899999999994</c:v>
                </c:pt>
                <c:pt idx="1608">
                  <c:v>90374.6</c:v>
                </c:pt>
                <c:pt idx="1609">
                  <c:v>111745.56</c:v>
                </c:pt>
                <c:pt idx="1610">
                  <c:v>144615.75</c:v>
                </c:pt>
                <c:pt idx="1611">
                  <c:v>69328.91</c:v>
                </c:pt>
                <c:pt idx="1612">
                  <c:v>39046.61</c:v>
                </c:pt>
                <c:pt idx="1613">
                  <c:v>79832.09</c:v>
                </c:pt>
                <c:pt idx="1614">
                  <c:v>51226.67</c:v>
                </c:pt>
                <c:pt idx="1615">
                  <c:v>70389.460000000006</c:v>
                </c:pt>
                <c:pt idx="1616">
                  <c:v>90661.21</c:v>
                </c:pt>
                <c:pt idx="1617">
                  <c:v>154009.88</c:v>
                </c:pt>
                <c:pt idx="1618">
                  <c:v>61993.33</c:v>
                </c:pt>
                <c:pt idx="1619">
                  <c:v>34424.61</c:v>
                </c:pt>
                <c:pt idx="1620">
                  <c:v>53515.28</c:v>
                </c:pt>
                <c:pt idx="1621">
                  <c:v>127635.34</c:v>
                </c:pt>
                <c:pt idx="1622">
                  <c:v>31230.720000000001</c:v>
                </c:pt>
                <c:pt idx="1623">
                  <c:v>46568.71</c:v>
                </c:pt>
                <c:pt idx="1624">
                  <c:v>95625.9</c:v>
                </c:pt>
                <c:pt idx="1625">
                  <c:v>116700.28</c:v>
                </c:pt>
                <c:pt idx="1626">
                  <c:v>88720.74</c:v>
                </c:pt>
                <c:pt idx="1627">
                  <c:v>59666.31</c:v>
                </c:pt>
                <c:pt idx="1628">
                  <c:v>148667.6</c:v>
                </c:pt>
                <c:pt idx="1629">
                  <c:v>48208.86</c:v>
                </c:pt>
                <c:pt idx="1630">
                  <c:v>57965.58</c:v>
                </c:pt>
                <c:pt idx="1631">
                  <c:v>92189.49</c:v>
                </c:pt>
                <c:pt idx="1632">
                  <c:v>94185.600000000006</c:v>
                </c:pt>
                <c:pt idx="1633">
                  <c:v>38196.949999999997</c:v>
                </c:pt>
                <c:pt idx="1634">
                  <c:v>74902.509999999995</c:v>
                </c:pt>
                <c:pt idx="1635">
                  <c:v>77872.95</c:v>
                </c:pt>
                <c:pt idx="1636">
                  <c:v>76084.88</c:v>
                </c:pt>
                <c:pt idx="1637">
                  <c:v>55932.63</c:v>
                </c:pt>
                <c:pt idx="1638">
                  <c:v>45992.59</c:v>
                </c:pt>
                <c:pt idx="1639">
                  <c:v>64055.95</c:v>
                </c:pt>
                <c:pt idx="1640">
                  <c:v>39329.81</c:v>
                </c:pt>
                <c:pt idx="1641">
                  <c:v>200859.77</c:v>
                </c:pt>
                <c:pt idx="1642">
                  <c:v>83020.490000000005</c:v>
                </c:pt>
                <c:pt idx="1643">
                  <c:v>131127.44</c:v>
                </c:pt>
                <c:pt idx="1644">
                  <c:v>63692.69</c:v>
                </c:pt>
                <c:pt idx="1645">
                  <c:v>37683.39</c:v>
                </c:pt>
                <c:pt idx="1646">
                  <c:v>40474.28</c:v>
                </c:pt>
                <c:pt idx="1647">
                  <c:v>111876</c:v>
                </c:pt>
                <c:pt idx="1648">
                  <c:v>106766.97</c:v>
                </c:pt>
                <c:pt idx="1649">
                  <c:v>47998.86</c:v>
                </c:pt>
                <c:pt idx="1650">
                  <c:v>78351.88</c:v>
                </c:pt>
                <c:pt idx="1651">
                  <c:v>101756.01</c:v>
                </c:pt>
                <c:pt idx="1652">
                  <c:v>36438.81</c:v>
                </c:pt>
                <c:pt idx="1653">
                  <c:v>45113.98</c:v>
                </c:pt>
                <c:pt idx="1654">
                  <c:v>117810.94</c:v>
                </c:pt>
                <c:pt idx="1655">
                  <c:v>64086.32</c:v>
                </c:pt>
                <c:pt idx="1656">
                  <c:v>71757.16</c:v>
                </c:pt>
                <c:pt idx="1657">
                  <c:v>71385.39</c:v>
                </c:pt>
                <c:pt idx="1658">
                  <c:v>82345.289999999994</c:v>
                </c:pt>
                <c:pt idx="1659">
                  <c:v>69646.080000000002</c:v>
                </c:pt>
                <c:pt idx="1660">
                  <c:v>59632.87</c:v>
                </c:pt>
                <c:pt idx="1661">
                  <c:v>44796.76</c:v>
                </c:pt>
                <c:pt idx="1662">
                  <c:v>79722.649999999994</c:v>
                </c:pt>
                <c:pt idx="1663">
                  <c:v>65433.15</c:v>
                </c:pt>
                <c:pt idx="1664">
                  <c:v>75390.600000000006</c:v>
                </c:pt>
                <c:pt idx="1665">
                  <c:v>95795.03</c:v>
                </c:pt>
                <c:pt idx="1666">
                  <c:v>65610.36</c:v>
                </c:pt>
                <c:pt idx="1667">
                  <c:v>85223.91</c:v>
                </c:pt>
                <c:pt idx="1668">
                  <c:v>173601</c:v>
                </c:pt>
                <c:pt idx="1669">
                  <c:v>93391.97</c:v>
                </c:pt>
                <c:pt idx="1670">
                  <c:v>60858.6</c:v>
                </c:pt>
                <c:pt idx="1671">
                  <c:v>68629.02</c:v>
                </c:pt>
                <c:pt idx="1672">
                  <c:v>128362.44</c:v>
                </c:pt>
                <c:pt idx="1673">
                  <c:v>115288.59</c:v>
                </c:pt>
                <c:pt idx="1674">
                  <c:v>97933.8</c:v>
                </c:pt>
                <c:pt idx="1675">
                  <c:v>42922.38</c:v>
                </c:pt>
                <c:pt idx="1676">
                  <c:v>103423.57</c:v>
                </c:pt>
                <c:pt idx="1677">
                  <c:v>46681.91</c:v>
                </c:pt>
                <c:pt idx="1678">
                  <c:v>38868.67</c:v>
                </c:pt>
                <c:pt idx="1679">
                  <c:v>39441.22</c:v>
                </c:pt>
                <c:pt idx="1680">
                  <c:v>53845.68</c:v>
                </c:pt>
                <c:pt idx="1681">
                  <c:v>156097.01999999999</c:v>
                </c:pt>
                <c:pt idx="1682">
                  <c:v>130176.15</c:v>
                </c:pt>
                <c:pt idx="1683">
                  <c:v>153235.91</c:v>
                </c:pt>
                <c:pt idx="1684">
                  <c:v>60275.05</c:v>
                </c:pt>
                <c:pt idx="1685">
                  <c:v>202973.51</c:v>
                </c:pt>
                <c:pt idx="1686">
                  <c:v>113614.29</c:v>
                </c:pt>
                <c:pt idx="1687">
                  <c:v>77513.919999999998</c:v>
                </c:pt>
                <c:pt idx="1688">
                  <c:v>47384.85</c:v>
                </c:pt>
                <c:pt idx="1689">
                  <c:v>69671.759999999995</c:v>
                </c:pt>
                <c:pt idx="1690">
                  <c:v>110128.5</c:v>
                </c:pt>
                <c:pt idx="1691">
                  <c:v>63434.69</c:v>
                </c:pt>
                <c:pt idx="1692">
                  <c:v>60508.93</c:v>
                </c:pt>
                <c:pt idx="1693">
                  <c:v>111766.84</c:v>
                </c:pt>
                <c:pt idx="1694">
                  <c:v>101757.37</c:v>
                </c:pt>
                <c:pt idx="1695">
                  <c:v>118010.78</c:v>
                </c:pt>
                <c:pt idx="1696">
                  <c:v>80831.47</c:v>
                </c:pt>
                <c:pt idx="1697">
                  <c:v>118192.05</c:v>
                </c:pt>
                <c:pt idx="1698">
                  <c:v>48846.720000000001</c:v>
                </c:pt>
                <c:pt idx="1699">
                  <c:v>82403.5</c:v>
                </c:pt>
                <c:pt idx="1700">
                  <c:v>85586.47</c:v>
                </c:pt>
                <c:pt idx="1701">
                  <c:v>53590.91</c:v>
                </c:pt>
                <c:pt idx="1702">
                  <c:v>70030.570000000007</c:v>
                </c:pt>
                <c:pt idx="1703">
                  <c:v>31256.77</c:v>
                </c:pt>
                <c:pt idx="1704">
                  <c:v>77144.75</c:v>
                </c:pt>
                <c:pt idx="1705">
                  <c:v>133323.67000000001</c:v>
                </c:pt>
                <c:pt idx="1706">
                  <c:v>61490.61</c:v>
                </c:pt>
                <c:pt idx="1707">
                  <c:v>56202.17</c:v>
                </c:pt>
                <c:pt idx="1708">
                  <c:v>113220.74</c:v>
                </c:pt>
                <c:pt idx="1709">
                  <c:v>104739.58</c:v>
                </c:pt>
                <c:pt idx="1710">
                  <c:v>120237.63</c:v>
                </c:pt>
                <c:pt idx="1711">
                  <c:v>86049.94</c:v>
                </c:pt>
                <c:pt idx="1712">
                  <c:v>113010.15</c:v>
                </c:pt>
                <c:pt idx="1713">
                  <c:v>87757.22</c:v>
                </c:pt>
                <c:pt idx="1714">
                  <c:v>77379.740000000005</c:v>
                </c:pt>
                <c:pt idx="1715">
                  <c:v>87551.42</c:v>
                </c:pt>
                <c:pt idx="1716">
                  <c:v>40789.910000000003</c:v>
                </c:pt>
                <c:pt idx="1717">
                  <c:v>32829.19</c:v>
                </c:pt>
                <c:pt idx="1718">
                  <c:v>90903.84</c:v>
                </c:pt>
                <c:pt idx="1719">
                  <c:v>98961.38</c:v>
                </c:pt>
                <c:pt idx="1720">
                  <c:v>108924.8</c:v>
                </c:pt>
                <c:pt idx="1721">
                  <c:v>76847.7</c:v>
                </c:pt>
                <c:pt idx="1722">
                  <c:v>52355.75</c:v>
                </c:pt>
                <c:pt idx="1723">
                  <c:v>91015.05</c:v>
                </c:pt>
                <c:pt idx="1724">
                  <c:v>44784.34</c:v>
                </c:pt>
                <c:pt idx="1725">
                  <c:v>84994.49</c:v>
                </c:pt>
                <c:pt idx="1726">
                  <c:v>95007.35</c:v>
                </c:pt>
                <c:pt idx="1727">
                  <c:v>89310.64</c:v>
                </c:pt>
                <c:pt idx="1728">
                  <c:v>67107.539999999994</c:v>
                </c:pt>
                <c:pt idx="1729">
                  <c:v>56356.86</c:v>
                </c:pt>
                <c:pt idx="1730">
                  <c:v>21286.38</c:v>
                </c:pt>
                <c:pt idx="1731">
                  <c:v>88308.2</c:v>
                </c:pt>
                <c:pt idx="1732">
                  <c:v>103986.41</c:v>
                </c:pt>
                <c:pt idx="1733">
                  <c:v>27139.23</c:v>
                </c:pt>
                <c:pt idx="1734">
                  <c:v>53435.31</c:v>
                </c:pt>
                <c:pt idx="1735">
                  <c:v>88280.78</c:v>
                </c:pt>
                <c:pt idx="1736">
                  <c:v>76426.720000000001</c:v>
                </c:pt>
                <c:pt idx="1737">
                  <c:v>45116.56</c:v>
                </c:pt>
                <c:pt idx="1738">
                  <c:v>68348.69</c:v>
                </c:pt>
                <c:pt idx="1739">
                  <c:v>49537.91</c:v>
                </c:pt>
                <c:pt idx="1740">
                  <c:v>111628.51</c:v>
                </c:pt>
                <c:pt idx="1741">
                  <c:v>54836.04</c:v>
                </c:pt>
                <c:pt idx="1742">
                  <c:v>34802.06</c:v>
                </c:pt>
                <c:pt idx="1743">
                  <c:v>93506.44</c:v>
                </c:pt>
                <c:pt idx="1744">
                  <c:v>79224.44</c:v>
                </c:pt>
                <c:pt idx="1745">
                  <c:v>43459.69</c:v>
                </c:pt>
                <c:pt idx="1746">
                  <c:v>100894.61</c:v>
                </c:pt>
                <c:pt idx="1747">
                  <c:v>31398.12</c:v>
                </c:pt>
                <c:pt idx="1748">
                  <c:v>85774.399999999994</c:v>
                </c:pt>
                <c:pt idx="1749">
                  <c:v>53096.09</c:v>
                </c:pt>
                <c:pt idx="1750">
                  <c:v>40063.519999999997</c:v>
                </c:pt>
                <c:pt idx="1751">
                  <c:v>72565.72</c:v>
                </c:pt>
                <c:pt idx="1752">
                  <c:v>90489.19</c:v>
                </c:pt>
                <c:pt idx="1753">
                  <c:v>58741.09</c:v>
                </c:pt>
                <c:pt idx="1754">
                  <c:v>166388.92000000001</c:v>
                </c:pt>
                <c:pt idx="1755">
                  <c:v>72683.98</c:v>
                </c:pt>
                <c:pt idx="1756">
                  <c:v>93898.99</c:v>
                </c:pt>
                <c:pt idx="1757">
                  <c:v>79421.070000000007</c:v>
                </c:pt>
                <c:pt idx="1758">
                  <c:v>78038.19</c:v>
                </c:pt>
                <c:pt idx="1759">
                  <c:v>89456.85</c:v>
                </c:pt>
                <c:pt idx="1760">
                  <c:v>81317.3</c:v>
                </c:pt>
                <c:pt idx="1761">
                  <c:v>133886.35</c:v>
                </c:pt>
                <c:pt idx="1762">
                  <c:v>123396.13</c:v>
                </c:pt>
                <c:pt idx="1763">
                  <c:v>89541.119999999995</c:v>
                </c:pt>
                <c:pt idx="1764">
                  <c:v>30387.16</c:v>
                </c:pt>
                <c:pt idx="1765">
                  <c:v>21707.919999999998</c:v>
                </c:pt>
                <c:pt idx="1766">
                  <c:v>52232.74</c:v>
                </c:pt>
                <c:pt idx="1767">
                  <c:v>78178.94</c:v>
                </c:pt>
                <c:pt idx="1768">
                  <c:v>32608.87</c:v>
                </c:pt>
                <c:pt idx="1769">
                  <c:v>64646.52</c:v>
                </c:pt>
                <c:pt idx="1770">
                  <c:v>40896.410000000003</c:v>
                </c:pt>
                <c:pt idx="1771">
                  <c:v>99172.17</c:v>
                </c:pt>
                <c:pt idx="1772">
                  <c:v>97077.65</c:v>
                </c:pt>
                <c:pt idx="1773">
                  <c:v>75339.45</c:v>
                </c:pt>
                <c:pt idx="1774">
                  <c:v>72824.56</c:v>
                </c:pt>
                <c:pt idx="1775">
                  <c:v>26097.55</c:v>
                </c:pt>
                <c:pt idx="1776">
                  <c:v>89086.86</c:v>
                </c:pt>
                <c:pt idx="1777">
                  <c:v>72231.360000000001</c:v>
                </c:pt>
                <c:pt idx="1778">
                  <c:v>80180.179999999993</c:v>
                </c:pt>
                <c:pt idx="1779">
                  <c:v>111693.41</c:v>
                </c:pt>
                <c:pt idx="1780">
                  <c:v>119620.48</c:v>
                </c:pt>
                <c:pt idx="1781">
                  <c:v>63113.08</c:v>
                </c:pt>
                <c:pt idx="1782">
                  <c:v>83199.83</c:v>
                </c:pt>
                <c:pt idx="1783">
                  <c:v>130324.5</c:v>
                </c:pt>
                <c:pt idx="1784">
                  <c:v>92379.17</c:v>
                </c:pt>
                <c:pt idx="1785">
                  <c:v>154475.14000000001</c:v>
                </c:pt>
                <c:pt idx="1786">
                  <c:v>78676.53</c:v>
                </c:pt>
                <c:pt idx="1787">
                  <c:v>56383.76</c:v>
                </c:pt>
                <c:pt idx="1788">
                  <c:v>51114.48</c:v>
                </c:pt>
                <c:pt idx="1789">
                  <c:v>44088.19</c:v>
                </c:pt>
                <c:pt idx="1790">
                  <c:v>98229.28</c:v>
                </c:pt>
                <c:pt idx="1791">
                  <c:v>71801.02</c:v>
                </c:pt>
                <c:pt idx="1792">
                  <c:v>63404.54</c:v>
                </c:pt>
                <c:pt idx="1793">
                  <c:v>126296.04</c:v>
                </c:pt>
                <c:pt idx="1794">
                  <c:v>91117.32</c:v>
                </c:pt>
                <c:pt idx="1795">
                  <c:v>39888.42</c:v>
                </c:pt>
                <c:pt idx="1796">
                  <c:v>75461.19</c:v>
                </c:pt>
                <c:pt idx="1797">
                  <c:v>182463.57</c:v>
                </c:pt>
                <c:pt idx="1798">
                  <c:v>43481.03</c:v>
                </c:pt>
                <c:pt idx="1799">
                  <c:v>70038.710000000006</c:v>
                </c:pt>
                <c:pt idx="1800">
                  <c:v>60316.9</c:v>
                </c:pt>
                <c:pt idx="1801">
                  <c:v>46964.58</c:v>
                </c:pt>
                <c:pt idx="1802">
                  <c:v>107053.36</c:v>
                </c:pt>
                <c:pt idx="1803">
                  <c:v>73542.570000000007</c:v>
                </c:pt>
                <c:pt idx="1804">
                  <c:v>52251.33</c:v>
                </c:pt>
                <c:pt idx="1805">
                  <c:v>67752.89</c:v>
                </c:pt>
                <c:pt idx="1806">
                  <c:v>48714.2</c:v>
                </c:pt>
                <c:pt idx="1807">
                  <c:v>31180.54</c:v>
                </c:pt>
                <c:pt idx="1808">
                  <c:v>68461.67</c:v>
                </c:pt>
                <c:pt idx="1809">
                  <c:v>51643.69</c:v>
                </c:pt>
                <c:pt idx="1810">
                  <c:v>66272.639999999999</c:v>
                </c:pt>
                <c:pt idx="1811">
                  <c:v>68957.58</c:v>
                </c:pt>
                <c:pt idx="1812">
                  <c:v>51238.400000000001</c:v>
                </c:pt>
                <c:pt idx="1813">
                  <c:v>114587.9</c:v>
                </c:pt>
                <c:pt idx="1814">
                  <c:v>43048</c:v>
                </c:pt>
                <c:pt idx="1815">
                  <c:v>54042</c:v>
                </c:pt>
                <c:pt idx="1816">
                  <c:v>34873.269999999997</c:v>
                </c:pt>
                <c:pt idx="1817">
                  <c:v>47275.39</c:v>
                </c:pt>
                <c:pt idx="1818">
                  <c:v>69815.81</c:v>
                </c:pt>
                <c:pt idx="1819">
                  <c:v>95115.92</c:v>
                </c:pt>
                <c:pt idx="1820">
                  <c:v>33846.449999999997</c:v>
                </c:pt>
                <c:pt idx="1821">
                  <c:v>98891.22</c:v>
                </c:pt>
                <c:pt idx="1822">
                  <c:v>51182.15</c:v>
                </c:pt>
                <c:pt idx="1823">
                  <c:v>53190.35</c:v>
                </c:pt>
                <c:pt idx="1824">
                  <c:v>73900.67</c:v>
                </c:pt>
                <c:pt idx="1825">
                  <c:v>49376.97</c:v>
                </c:pt>
                <c:pt idx="1826">
                  <c:v>129475.2</c:v>
                </c:pt>
                <c:pt idx="1827">
                  <c:v>81514.31</c:v>
                </c:pt>
                <c:pt idx="1828">
                  <c:v>33054.57</c:v>
                </c:pt>
                <c:pt idx="1829">
                  <c:v>38277.53</c:v>
                </c:pt>
                <c:pt idx="1830">
                  <c:v>77182.19</c:v>
                </c:pt>
                <c:pt idx="1831">
                  <c:v>80721.440000000002</c:v>
                </c:pt>
                <c:pt idx="1832">
                  <c:v>36092.980000000003</c:v>
                </c:pt>
                <c:pt idx="1833">
                  <c:v>59493.52</c:v>
                </c:pt>
                <c:pt idx="1834">
                  <c:v>38433.81</c:v>
                </c:pt>
                <c:pt idx="1835">
                  <c:v>73301.490000000005</c:v>
                </c:pt>
                <c:pt idx="1836">
                  <c:v>113868.37</c:v>
                </c:pt>
                <c:pt idx="1837">
                  <c:v>100526.02</c:v>
                </c:pt>
                <c:pt idx="1838">
                  <c:v>78088.2</c:v>
                </c:pt>
                <c:pt idx="1839">
                  <c:v>101418.24000000001</c:v>
                </c:pt>
                <c:pt idx="1840">
                  <c:v>99609.58</c:v>
                </c:pt>
                <c:pt idx="1841">
                  <c:v>66620.77</c:v>
                </c:pt>
                <c:pt idx="1842">
                  <c:v>70654.720000000001</c:v>
                </c:pt>
                <c:pt idx="1843">
                  <c:v>110498.55</c:v>
                </c:pt>
                <c:pt idx="1844">
                  <c:v>104953.65</c:v>
                </c:pt>
                <c:pt idx="1845">
                  <c:v>42041.16</c:v>
                </c:pt>
                <c:pt idx="1846">
                  <c:v>120338.19</c:v>
                </c:pt>
                <c:pt idx="1847">
                  <c:v>147345.82</c:v>
                </c:pt>
                <c:pt idx="1848">
                  <c:v>69716.210000000006</c:v>
                </c:pt>
                <c:pt idx="1849">
                  <c:v>88626.17</c:v>
                </c:pt>
                <c:pt idx="1850">
                  <c:v>68088.929999999993</c:v>
                </c:pt>
                <c:pt idx="1851">
                  <c:v>97929.01</c:v>
                </c:pt>
                <c:pt idx="1852">
                  <c:v>118966.22</c:v>
                </c:pt>
                <c:pt idx="1853">
                  <c:v>167760.51</c:v>
                </c:pt>
                <c:pt idx="1854">
                  <c:v>105996.52</c:v>
                </c:pt>
                <c:pt idx="1855">
                  <c:v>94064.69</c:v>
                </c:pt>
                <c:pt idx="1856">
                  <c:v>58372.94</c:v>
                </c:pt>
                <c:pt idx="1857">
                  <c:v>64470.9</c:v>
                </c:pt>
                <c:pt idx="1858">
                  <c:v>140186.97</c:v>
                </c:pt>
                <c:pt idx="1859">
                  <c:v>70759.08</c:v>
                </c:pt>
                <c:pt idx="1860">
                  <c:v>57566.92</c:v>
                </c:pt>
                <c:pt idx="1861">
                  <c:v>125686.6</c:v>
                </c:pt>
                <c:pt idx="1862">
                  <c:v>64261.34</c:v>
                </c:pt>
                <c:pt idx="1863">
                  <c:v>31014.43</c:v>
                </c:pt>
                <c:pt idx="1864">
                  <c:v>116528.23</c:v>
                </c:pt>
                <c:pt idx="1865">
                  <c:v>144156.68</c:v>
                </c:pt>
                <c:pt idx="1866">
                  <c:v>97305.17</c:v>
                </c:pt>
                <c:pt idx="1867">
                  <c:v>64613.56</c:v>
                </c:pt>
                <c:pt idx="1868">
                  <c:v>142240.31</c:v>
                </c:pt>
                <c:pt idx="1869">
                  <c:v>45534.53</c:v>
                </c:pt>
                <c:pt idx="1870">
                  <c:v>88743.58</c:v>
                </c:pt>
                <c:pt idx="1871">
                  <c:v>36671.61</c:v>
                </c:pt>
                <c:pt idx="1872">
                  <c:v>37110.33</c:v>
                </c:pt>
                <c:pt idx="1873">
                  <c:v>103655.43</c:v>
                </c:pt>
                <c:pt idx="1874">
                  <c:v>41328.5</c:v>
                </c:pt>
                <c:pt idx="1875">
                  <c:v>28245.98</c:v>
                </c:pt>
                <c:pt idx="1876">
                  <c:v>55056.42</c:v>
                </c:pt>
                <c:pt idx="1877">
                  <c:v>69523.19</c:v>
                </c:pt>
                <c:pt idx="1878">
                  <c:v>25253.73</c:v>
                </c:pt>
                <c:pt idx="1879">
                  <c:v>89447.77</c:v>
                </c:pt>
                <c:pt idx="1880">
                  <c:v>76098.899999999994</c:v>
                </c:pt>
                <c:pt idx="1881">
                  <c:v>103666.6</c:v>
                </c:pt>
                <c:pt idx="1882">
                  <c:v>86675.29</c:v>
                </c:pt>
                <c:pt idx="1883">
                  <c:v>64473.77</c:v>
                </c:pt>
                <c:pt idx="1884">
                  <c:v>55743.68</c:v>
                </c:pt>
                <c:pt idx="1885">
                  <c:v>72352.97</c:v>
                </c:pt>
                <c:pt idx="1886">
                  <c:v>92846.92</c:v>
                </c:pt>
                <c:pt idx="1887">
                  <c:v>64952.61</c:v>
                </c:pt>
                <c:pt idx="1888">
                  <c:v>32869.42</c:v>
                </c:pt>
                <c:pt idx="1889">
                  <c:v>46215.01</c:v>
                </c:pt>
                <c:pt idx="1890">
                  <c:v>109716.37</c:v>
                </c:pt>
                <c:pt idx="1891">
                  <c:v>82795.09</c:v>
                </c:pt>
                <c:pt idx="1892">
                  <c:v>61924.92</c:v>
                </c:pt>
                <c:pt idx="1893">
                  <c:v>51480.21</c:v>
                </c:pt>
                <c:pt idx="1894">
                  <c:v>75695.59</c:v>
                </c:pt>
                <c:pt idx="1895">
                  <c:v>30572.73</c:v>
                </c:pt>
                <c:pt idx="1896">
                  <c:v>92296.55</c:v>
                </c:pt>
                <c:pt idx="1897">
                  <c:v>41460.269999999997</c:v>
                </c:pt>
                <c:pt idx="1898">
                  <c:v>53934.12</c:v>
                </c:pt>
                <c:pt idx="1899">
                  <c:v>86809.78</c:v>
                </c:pt>
                <c:pt idx="1900">
                  <c:v>107669.85</c:v>
                </c:pt>
                <c:pt idx="1901">
                  <c:v>113505.79</c:v>
                </c:pt>
                <c:pt idx="1902">
                  <c:v>37659.35</c:v>
                </c:pt>
                <c:pt idx="1903">
                  <c:v>118632.47</c:v>
                </c:pt>
                <c:pt idx="1904">
                  <c:v>71451.17</c:v>
                </c:pt>
                <c:pt idx="1905">
                  <c:v>66113.759999999995</c:v>
                </c:pt>
                <c:pt idx="1906">
                  <c:v>46862.78</c:v>
                </c:pt>
                <c:pt idx="1907">
                  <c:v>70444.740000000005</c:v>
                </c:pt>
                <c:pt idx="1908">
                  <c:v>77020.14</c:v>
                </c:pt>
                <c:pt idx="1909">
                  <c:v>169177.37</c:v>
                </c:pt>
                <c:pt idx="1910">
                  <c:v>39603.870000000003</c:v>
                </c:pt>
                <c:pt idx="1911">
                  <c:v>48523.32</c:v>
                </c:pt>
                <c:pt idx="1912">
                  <c:v>49221.78</c:v>
                </c:pt>
                <c:pt idx="1913">
                  <c:v>57817.4</c:v>
                </c:pt>
                <c:pt idx="1914">
                  <c:v>72240.69</c:v>
                </c:pt>
                <c:pt idx="1915">
                  <c:v>82968.06</c:v>
                </c:pt>
                <c:pt idx="1916">
                  <c:v>82135.990000000005</c:v>
                </c:pt>
                <c:pt idx="1917">
                  <c:v>33055.17</c:v>
                </c:pt>
                <c:pt idx="1918">
                  <c:v>97372.99</c:v>
                </c:pt>
                <c:pt idx="1919">
                  <c:v>62606.34</c:v>
                </c:pt>
                <c:pt idx="1920">
                  <c:v>80871.59</c:v>
                </c:pt>
                <c:pt idx="1921">
                  <c:v>27829.58</c:v>
                </c:pt>
                <c:pt idx="1922">
                  <c:v>104401.84</c:v>
                </c:pt>
                <c:pt idx="1923">
                  <c:v>77434.92</c:v>
                </c:pt>
                <c:pt idx="1924">
                  <c:v>55789.82</c:v>
                </c:pt>
                <c:pt idx="1925">
                  <c:v>43501.07</c:v>
                </c:pt>
                <c:pt idx="1926">
                  <c:v>73063.27</c:v>
                </c:pt>
                <c:pt idx="1927">
                  <c:v>34455.089999999997</c:v>
                </c:pt>
                <c:pt idx="1928">
                  <c:v>123235.74</c:v>
                </c:pt>
                <c:pt idx="1929">
                  <c:v>117988.5</c:v>
                </c:pt>
                <c:pt idx="1930">
                  <c:v>39013.49</c:v>
                </c:pt>
                <c:pt idx="1931">
                  <c:v>50328.06</c:v>
                </c:pt>
                <c:pt idx="1932">
                  <c:v>48934.98</c:v>
                </c:pt>
                <c:pt idx="1933">
                  <c:v>89200.56</c:v>
                </c:pt>
                <c:pt idx="1934">
                  <c:v>133417.07</c:v>
                </c:pt>
                <c:pt idx="1935">
                  <c:v>63490.76</c:v>
                </c:pt>
                <c:pt idx="1936">
                  <c:v>109495.59</c:v>
                </c:pt>
                <c:pt idx="1937">
                  <c:v>112177.54</c:v>
                </c:pt>
                <c:pt idx="1938">
                  <c:v>45588.01</c:v>
                </c:pt>
                <c:pt idx="1939">
                  <c:v>79776.37</c:v>
                </c:pt>
                <c:pt idx="1940">
                  <c:v>138879.13</c:v>
                </c:pt>
                <c:pt idx="1941">
                  <c:v>78313.97</c:v>
                </c:pt>
                <c:pt idx="1942">
                  <c:v>81564.12</c:v>
                </c:pt>
                <c:pt idx="1943">
                  <c:v>62818</c:v>
                </c:pt>
                <c:pt idx="1944">
                  <c:v>99667.98</c:v>
                </c:pt>
                <c:pt idx="1945">
                  <c:v>33062.26</c:v>
                </c:pt>
                <c:pt idx="1946">
                  <c:v>46781.599999999999</c:v>
                </c:pt>
                <c:pt idx="1947">
                  <c:v>127540.88</c:v>
                </c:pt>
                <c:pt idx="1948">
                  <c:v>53792.67</c:v>
                </c:pt>
                <c:pt idx="1949">
                  <c:v>110994.9</c:v>
                </c:pt>
                <c:pt idx="1950">
                  <c:v>85291.7</c:v>
                </c:pt>
                <c:pt idx="1951">
                  <c:v>83643.929999999993</c:v>
                </c:pt>
                <c:pt idx="1952">
                  <c:v>117355.84</c:v>
                </c:pt>
                <c:pt idx="1953">
                  <c:v>95648.05</c:v>
                </c:pt>
                <c:pt idx="1954">
                  <c:v>55836.28</c:v>
                </c:pt>
                <c:pt idx="1955">
                  <c:v>102186.85</c:v>
                </c:pt>
                <c:pt idx="1956">
                  <c:v>101731.56</c:v>
                </c:pt>
                <c:pt idx="1957">
                  <c:v>44658.67</c:v>
                </c:pt>
                <c:pt idx="1958">
                  <c:v>104797.89</c:v>
                </c:pt>
                <c:pt idx="1959">
                  <c:v>53246.45</c:v>
                </c:pt>
                <c:pt idx="1960">
                  <c:v>176582.51</c:v>
                </c:pt>
                <c:pt idx="1961">
                  <c:v>78653.83</c:v>
                </c:pt>
                <c:pt idx="1962">
                  <c:v>113687.69</c:v>
                </c:pt>
                <c:pt idx="1963">
                  <c:v>61036.31</c:v>
                </c:pt>
                <c:pt idx="1964">
                  <c:v>46823.3</c:v>
                </c:pt>
                <c:pt idx="1965">
                  <c:v>73622.080000000002</c:v>
                </c:pt>
                <c:pt idx="1966">
                  <c:v>70200.56</c:v>
                </c:pt>
                <c:pt idx="1967">
                  <c:v>86735.2</c:v>
                </c:pt>
                <c:pt idx="1968">
                  <c:v>105441.86</c:v>
                </c:pt>
                <c:pt idx="1969">
                  <c:v>98106.32</c:v>
                </c:pt>
                <c:pt idx="1970">
                  <c:v>128470.34</c:v>
                </c:pt>
                <c:pt idx="1971">
                  <c:v>92407.64</c:v>
                </c:pt>
                <c:pt idx="1972">
                  <c:v>71011.58</c:v>
                </c:pt>
                <c:pt idx="1973">
                  <c:v>92989.48</c:v>
                </c:pt>
                <c:pt idx="1974">
                  <c:v>74284.45</c:v>
                </c:pt>
                <c:pt idx="1975">
                  <c:v>78059.06</c:v>
                </c:pt>
                <c:pt idx="1976">
                  <c:v>109450.6</c:v>
                </c:pt>
                <c:pt idx="1977">
                  <c:v>49550.91</c:v>
                </c:pt>
                <c:pt idx="1978">
                  <c:v>102050.83</c:v>
                </c:pt>
                <c:pt idx="1979">
                  <c:v>93286.78</c:v>
                </c:pt>
                <c:pt idx="1980">
                  <c:v>164467.67000000001</c:v>
                </c:pt>
                <c:pt idx="1981">
                  <c:v>62237.09</c:v>
                </c:pt>
                <c:pt idx="1982">
                  <c:v>55335.519999999997</c:v>
                </c:pt>
                <c:pt idx="1983">
                  <c:v>37257.29</c:v>
                </c:pt>
                <c:pt idx="1984">
                  <c:v>45726.22</c:v>
                </c:pt>
                <c:pt idx="1985">
                  <c:v>107944.96000000001</c:v>
                </c:pt>
                <c:pt idx="1986">
                  <c:v>45327.78</c:v>
                </c:pt>
                <c:pt idx="1987">
                  <c:v>41738.1</c:v>
                </c:pt>
                <c:pt idx="1988">
                  <c:v>69452.44</c:v>
                </c:pt>
                <c:pt idx="1989">
                  <c:v>65656.759999999995</c:v>
                </c:pt>
                <c:pt idx="1990">
                  <c:v>61660.35</c:v>
                </c:pt>
                <c:pt idx="1991">
                  <c:v>72436.36</c:v>
                </c:pt>
                <c:pt idx="1992">
                  <c:v>49012.19</c:v>
                </c:pt>
                <c:pt idx="1993">
                  <c:v>119417.95</c:v>
                </c:pt>
                <c:pt idx="1994">
                  <c:v>34301.370000000003</c:v>
                </c:pt>
                <c:pt idx="1995">
                  <c:v>122665.71</c:v>
                </c:pt>
                <c:pt idx="1996">
                  <c:v>66816.55</c:v>
                </c:pt>
                <c:pt idx="1997">
                  <c:v>49281.26</c:v>
                </c:pt>
                <c:pt idx="1998">
                  <c:v>139665.73000000001</c:v>
                </c:pt>
                <c:pt idx="1999">
                  <c:v>47547.88</c:v>
                </c:pt>
              </c:numCache>
            </c:numRef>
          </c:xVal>
          <c:yVal>
            <c:numRef>
              <c:f>'EV Market 2026 Dataset'!$G$2:$G$2001</c:f>
              <c:numCache>
                <c:formatCode>General</c:formatCode>
                <c:ptCount val="2000"/>
                <c:pt idx="0">
                  <c:v>400</c:v>
                </c:pt>
                <c:pt idx="1">
                  <c:v>219</c:v>
                </c:pt>
                <c:pt idx="2">
                  <c:v>225</c:v>
                </c:pt>
                <c:pt idx="3">
                  <c:v>349</c:v>
                </c:pt>
                <c:pt idx="4">
                  <c:v>314</c:v>
                </c:pt>
                <c:pt idx="5">
                  <c:v>251</c:v>
                </c:pt>
                <c:pt idx="6">
                  <c:v>222</c:v>
                </c:pt>
                <c:pt idx="7">
                  <c:v>292</c:v>
                </c:pt>
                <c:pt idx="8">
                  <c:v>184</c:v>
                </c:pt>
                <c:pt idx="9">
                  <c:v>251</c:v>
                </c:pt>
                <c:pt idx="10">
                  <c:v>347</c:v>
                </c:pt>
                <c:pt idx="11">
                  <c:v>232</c:v>
                </c:pt>
                <c:pt idx="12">
                  <c:v>320</c:v>
                </c:pt>
                <c:pt idx="13">
                  <c:v>158</c:v>
                </c:pt>
                <c:pt idx="14">
                  <c:v>167</c:v>
                </c:pt>
                <c:pt idx="15">
                  <c:v>250</c:v>
                </c:pt>
                <c:pt idx="16">
                  <c:v>265</c:v>
                </c:pt>
                <c:pt idx="17">
                  <c:v>275</c:v>
                </c:pt>
                <c:pt idx="18">
                  <c:v>332</c:v>
                </c:pt>
                <c:pt idx="19">
                  <c:v>295</c:v>
                </c:pt>
                <c:pt idx="20">
                  <c:v>193</c:v>
                </c:pt>
                <c:pt idx="21">
                  <c:v>256</c:v>
                </c:pt>
                <c:pt idx="22">
                  <c:v>293</c:v>
                </c:pt>
                <c:pt idx="23">
                  <c:v>359</c:v>
                </c:pt>
                <c:pt idx="24">
                  <c:v>263</c:v>
                </c:pt>
                <c:pt idx="25">
                  <c:v>286</c:v>
                </c:pt>
                <c:pt idx="26">
                  <c:v>175</c:v>
                </c:pt>
                <c:pt idx="27">
                  <c:v>314</c:v>
                </c:pt>
                <c:pt idx="28">
                  <c:v>236</c:v>
                </c:pt>
                <c:pt idx="29">
                  <c:v>383</c:v>
                </c:pt>
                <c:pt idx="30">
                  <c:v>245</c:v>
                </c:pt>
                <c:pt idx="31">
                  <c:v>177</c:v>
                </c:pt>
                <c:pt idx="32">
                  <c:v>311</c:v>
                </c:pt>
                <c:pt idx="33">
                  <c:v>335</c:v>
                </c:pt>
                <c:pt idx="34">
                  <c:v>243</c:v>
                </c:pt>
                <c:pt idx="35">
                  <c:v>361</c:v>
                </c:pt>
                <c:pt idx="36">
                  <c:v>229</c:v>
                </c:pt>
                <c:pt idx="37">
                  <c:v>155</c:v>
                </c:pt>
                <c:pt idx="38">
                  <c:v>266</c:v>
                </c:pt>
                <c:pt idx="39">
                  <c:v>311</c:v>
                </c:pt>
                <c:pt idx="40">
                  <c:v>204</c:v>
                </c:pt>
                <c:pt idx="41">
                  <c:v>212</c:v>
                </c:pt>
                <c:pt idx="42">
                  <c:v>350</c:v>
                </c:pt>
                <c:pt idx="43">
                  <c:v>156</c:v>
                </c:pt>
                <c:pt idx="44">
                  <c:v>153</c:v>
                </c:pt>
                <c:pt idx="45">
                  <c:v>285</c:v>
                </c:pt>
                <c:pt idx="46">
                  <c:v>199</c:v>
                </c:pt>
                <c:pt idx="47">
                  <c:v>257</c:v>
                </c:pt>
                <c:pt idx="48">
                  <c:v>284</c:v>
                </c:pt>
                <c:pt idx="49">
                  <c:v>150</c:v>
                </c:pt>
                <c:pt idx="50">
                  <c:v>272</c:v>
                </c:pt>
                <c:pt idx="51">
                  <c:v>268</c:v>
                </c:pt>
                <c:pt idx="52">
                  <c:v>278</c:v>
                </c:pt>
                <c:pt idx="53">
                  <c:v>310</c:v>
                </c:pt>
                <c:pt idx="54">
                  <c:v>262</c:v>
                </c:pt>
                <c:pt idx="55">
                  <c:v>247</c:v>
                </c:pt>
                <c:pt idx="56">
                  <c:v>304</c:v>
                </c:pt>
                <c:pt idx="57">
                  <c:v>263</c:v>
                </c:pt>
                <c:pt idx="58">
                  <c:v>249</c:v>
                </c:pt>
                <c:pt idx="59">
                  <c:v>200</c:v>
                </c:pt>
                <c:pt idx="60">
                  <c:v>306</c:v>
                </c:pt>
                <c:pt idx="61">
                  <c:v>303</c:v>
                </c:pt>
                <c:pt idx="62">
                  <c:v>277</c:v>
                </c:pt>
                <c:pt idx="63">
                  <c:v>383</c:v>
                </c:pt>
                <c:pt idx="64">
                  <c:v>267</c:v>
                </c:pt>
                <c:pt idx="65">
                  <c:v>249</c:v>
                </c:pt>
                <c:pt idx="66">
                  <c:v>408</c:v>
                </c:pt>
                <c:pt idx="67">
                  <c:v>334</c:v>
                </c:pt>
                <c:pt idx="68">
                  <c:v>356</c:v>
                </c:pt>
                <c:pt idx="69">
                  <c:v>254</c:v>
                </c:pt>
                <c:pt idx="70">
                  <c:v>198</c:v>
                </c:pt>
                <c:pt idx="71">
                  <c:v>150</c:v>
                </c:pt>
                <c:pt idx="72">
                  <c:v>231</c:v>
                </c:pt>
                <c:pt idx="73">
                  <c:v>331</c:v>
                </c:pt>
                <c:pt idx="74">
                  <c:v>395</c:v>
                </c:pt>
                <c:pt idx="75">
                  <c:v>368</c:v>
                </c:pt>
                <c:pt idx="76">
                  <c:v>299</c:v>
                </c:pt>
                <c:pt idx="77">
                  <c:v>320</c:v>
                </c:pt>
                <c:pt idx="78">
                  <c:v>231</c:v>
                </c:pt>
                <c:pt idx="79">
                  <c:v>416</c:v>
                </c:pt>
                <c:pt idx="80">
                  <c:v>150</c:v>
                </c:pt>
                <c:pt idx="81">
                  <c:v>247</c:v>
                </c:pt>
                <c:pt idx="82">
                  <c:v>329</c:v>
                </c:pt>
                <c:pt idx="83">
                  <c:v>291</c:v>
                </c:pt>
                <c:pt idx="84">
                  <c:v>150</c:v>
                </c:pt>
                <c:pt idx="85">
                  <c:v>193</c:v>
                </c:pt>
                <c:pt idx="86">
                  <c:v>262</c:v>
                </c:pt>
                <c:pt idx="87">
                  <c:v>173</c:v>
                </c:pt>
                <c:pt idx="88">
                  <c:v>150</c:v>
                </c:pt>
                <c:pt idx="89">
                  <c:v>286</c:v>
                </c:pt>
                <c:pt idx="90">
                  <c:v>189</c:v>
                </c:pt>
                <c:pt idx="91">
                  <c:v>171</c:v>
                </c:pt>
                <c:pt idx="92">
                  <c:v>300</c:v>
                </c:pt>
                <c:pt idx="93">
                  <c:v>257</c:v>
                </c:pt>
                <c:pt idx="94">
                  <c:v>363</c:v>
                </c:pt>
                <c:pt idx="95">
                  <c:v>223</c:v>
                </c:pt>
                <c:pt idx="96">
                  <c:v>306</c:v>
                </c:pt>
                <c:pt idx="97">
                  <c:v>399</c:v>
                </c:pt>
                <c:pt idx="98">
                  <c:v>348</c:v>
                </c:pt>
                <c:pt idx="99">
                  <c:v>295</c:v>
                </c:pt>
                <c:pt idx="100">
                  <c:v>238</c:v>
                </c:pt>
                <c:pt idx="101">
                  <c:v>363</c:v>
                </c:pt>
                <c:pt idx="102">
                  <c:v>194</c:v>
                </c:pt>
                <c:pt idx="103">
                  <c:v>400</c:v>
                </c:pt>
                <c:pt idx="104">
                  <c:v>231</c:v>
                </c:pt>
                <c:pt idx="105">
                  <c:v>279</c:v>
                </c:pt>
                <c:pt idx="106">
                  <c:v>341</c:v>
                </c:pt>
                <c:pt idx="107">
                  <c:v>284</c:v>
                </c:pt>
                <c:pt idx="108">
                  <c:v>351</c:v>
                </c:pt>
                <c:pt idx="109">
                  <c:v>260</c:v>
                </c:pt>
                <c:pt idx="110">
                  <c:v>265</c:v>
                </c:pt>
                <c:pt idx="111">
                  <c:v>150</c:v>
                </c:pt>
                <c:pt idx="112">
                  <c:v>304</c:v>
                </c:pt>
                <c:pt idx="113">
                  <c:v>254</c:v>
                </c:pt>
                <c:pt idx="114">
                  <c:v>255</c:v>
                </c:pt>
                <c:pt idx="115">
                  <c:v>285</c:v>
                </c:pt>
                <c:pt idx="116">
                  <c:v>353</c:v>
                </c:pt>
                <c:pt idx="117">
                  <c:v>244</c:v>
                </c:pt>
                <c:pt idx="118">
                  <c:v>223</c:v>
                </c:pt>
                <c:pt idx="119">
                  <c:v>150</c:v>
                </c:pt>
                <c:pt idx="120">
                  <c:v>231</c:v>
                </c:pt>
                <c:pt idx="121">
                  <c:v>385</c:v>
                </c:pt>
                <c:pt idx="122">
                  <c:v>258</c:v>
                </c:pt>
                <c:pt idx="123">
                  <c:v>405</c:v>
                </c:pt>
                <c:pt idx="124">
                  <c:v>307</c:v>
                </c:pt>
                <c:pt idx="125">
                  <c:v>286</c:v>
                </c:pt>
                <c:pt idx="126">
                  <c:v>226</c:v>
                </c:pt>
                <c:pt idx="127">
                  <c:v>168</c:v>
                </c:pt>
                <c:pt idx="128">
                  <c:v>150</c:v>
                </c:pt>
                <c:pt idx="129">
                  <c:v>392</c:v>
                </c:pt>
                <c:pt idx="130">
                  <c:v>150</c:v>
                </c:pt>
                <c:pt idx="131">
                  <c:v>280</c:v>
                </c:pt>
                <c:pt idx="132">
                  <c:v>376</c:v>
                </c:pt>
                <c:pt idx="133">
                  <c:v>304</c:v>
                </c:pt>
                <c:pt idx="134">
                  <c:v>186</c:v>
                </c:pt>
                <c:pt idx="135">
                  <c:v>278</c:v>
                </c:pt>
                <c:pt idx="136">
                  <c:v>334</c:v>
                </c:pt>
                <c:pt idx="137">
                  <c:v>150</c:v>
                </c:pt>
                <c:pt idx="138">
                  <c:v>300</c:v>
                </c:pt>
                <c:pt idx="139">
                  <c:v>287</c:v>
                </c:pt>
                <c:pt idx="140">
                  <c:v>377</c:v>
                </c:pt>
                <c:pt idx="141">
                  <c:v>310</c:v>
                </c:pt>
                <c:pt idx="142">
                  <c:v>417</c:v>
                </c:pt>
                <c:pt idx="143">
                  <c:v>223</c:v>
                </c:pt>
                <c:pt idx="144">
                  <c:v>288</c:v>
                </c:pt>
                <c:pt idx="145">
                  <c:v>239</c:v>
                </c:pt>
                <c:pt idx="146">
                  <c:v>336</c:v>
                </c:pt>
                <c:pt idx="147">
                  <c:v>222</c:v>
                </c:pt>
                <c:pt idx="148">
                  <c:v>364</c:v>
                </c:pt>
                <c:pt idx="149">
                  <c:v>150</c:v>
                </c:pt>
                <c:pt idx="150">
                  <c:v>222</c:v>
                </c:pt>
                <c:pt idx="151">
                  <c:v>257</c:v>
                </c:pt>
                <c:pt idx="152">
                  <c:v>308</c:v>
                </c:pt>
                <c:pt idx="153">
                  <c:v>278</c:v>
                </c:pt>
                <c:pt idx="154">
                  <c:v>186</c:v>
                </c:pt>
                <c:pt idx="155">
                  <c:v>289</c:v>
                </c:pt>
                <c:pt idx="156">
                  <c:v>284</c:v>
                </c:pt>
                <c:pt idx="157">
                  <c:v>150</c:v>
                </c:pt>
                <c:pt idx="158">
                  <c:v>291</c:v>
                </c:pt>
                <c:pt idx="159">
                  <c:v>191</c:v>
                </c:pt>
                <c:pt idx="160">
                  <c:v>289</c:v>
                </c:pt>
                <c:pt idx="161">
                  <c:v>324</c:v>
                </c:pt>
                <c:pt idx="162">
                  <c:v>209</c:v>
                </c:pt>
                <c:pt idx="163">
                  <c:v>173</c:v>
                </c:pt>
                <c:pt idx="164">
                  <c:v>283</c:v>
                </c:pt>
                <c:pt idx="165">
                  <c:v>160</c:v>
                </c:pt>
                <c:pt idx="166">
                  <c:v>274</c:v>
                </c:pt>
                <c:pt idx="167">
                  <c:v>310</c:v>
                </c:pt>
                <c:pt idx="168">
                  <c:v>234</c:v>
                </c:pt>
                <c:pt idx="169">
                  <c:v>238</c:v>
                </c:pt>
                <c:pt idx="170">
                  <c:v>338</c:v>
                </c:pt>
                <c:pt idx="171">
                  <c:v>246</c:v>
                </c:pt>
                <c:pt idx="172">
                  <c:v>334</c:v>
                </c:pt>
                <c:pt idx="173">
                  <c:v>259</c:v>
                </c:pt>
                <c:pt idx="174">
                  <c:v>252</c:v>
                </c:pt>
                <c:pt idx="175">
                  <c:v>306</c:v>
                </c:pt>
                <c:pt idx="176">
                  <c:v>182</c:v>
                </c:pt>
                <c:pt idx="177">
                  <c:v>187</c:v>
                </c:pt>
                <c:pt idx="178">
                  <c:v>263</c:v>
                </c:pt>
                <c:pt idx="179">
                  <c:v>150</c:v>
                </c:pt>
                <c:pt idx="180">
                  <c:v>223</c:v>
                </c:pt>
                <c:pt idx="181">
                  <c:v>150</c:v>
                </c:pt>
                <c:pt idx="182">
                  <c:v>395</c:v>
                </c:pt>
                <c:pt idx="183">
                  <c:v>393</c:v>
                </c:pt>
                <c:pt idx="184">
                  <c:v>150</c:v>
                </c:pt>
                <c:pt idx="185">
                  <c:v>168</c:v>
                </c:pt>
                <c:pt idx="186">
                  <c:v>310</c:v>
                </c:pt>
                <c:pt idx="187">
                  <c:v>224</c:v>
                </c:pt>
                <c:pt idx="188">
                  <c:v>220</c:v>
                </c:pt>
                <c:pt idx="189">
                  <c:v>291</c:v>
                </c:pt>
                <c:pt idx="190">
                  <c:v>307</c:v>
                </c:pt>
                <c:pt idx="191">
                  <c:v>262</c:v>
                </c:pt>
                <c:pt idx="192">
                  <c:v>204</c:v>
                </c:pt>
                <c:pt idx="193">
                  <c:v>260</c:v>
                </c:pt>
                <c:pt idx="194">
                  <c:v>157</c:v>
                </c:pt>
                <c:pt idx="195">
                  <c:v>182</c:v>
                </c:pt>
                <c:pt idx="196">
                  <c:v>367</c:v>
                </c:pt>
                <c:pt idx="197">
                  <c:v>194</c:v>
                </c:pt>
                <c:pt idx="198">
                  <c:v>304</c:v>
                </c:pt>
                <c:pt idx="199">
                  <c:v>427</c:v>
                </c:pt>
                <c:pt idx="200">
                  <c:v>151</c:v>
                </c:pt>
                <c:pt idx="201">
                  <c:v>304</c:v>
                </c:pt>
                <c:pt idx="202">
                  <c:v>240</c:v>
                </c:pt>
                <c:pt idx="203">
                  <c:v>323</c:v>
                </c:pt>
                <c:pt idx="204">
                  <c:v>176</c:v>
                </c:pt>
                <c:pt idx="205">
                  <c:v>270</c:v>
                </c:pt>
                <c:pt idx="206">
                  <c:v>167</c:v>
                </c:pt>
                <c:pt idx="207">
                  <c:v>326</c:v>
                </c:pt>
                <c:pt idx="208">
                  <c:v>242</c:v>
                </c:pt>
                <c:pt idx="209">
                  <c:v>244</c:v>
                </c:pt>
                <c:pt idx="210">
                  <c:v>272</c:v>
                </c:pt>
                <c:pt idx="211">
                  <c:v>439</c:v>
                </c:pt>
                <c:pt idx="212">
                  <c:v>220</c:v>
                </c:pt>
                <c:pt idx="213">
                  <c:v>220</c:v>
                </c:pt>
                <c:pt idx="214">
                  <c:v>280</c:v>
                </c:pt>
                <c:pt idx="215">
                  <c:v>191</c:v>
                </c:pt>
                <c:pt idx="216">
                  <c:v>357</c:v>
                </c:pt>
                <c:pt idx="217">
                  <c:v>170</c:v>
                </c:pt>
                <c:pt idx="218">
                  <c:v>160</c:v>
                </c:pt>
                <c:pt idx="219">
                  <c:v>270</c:v>
                </c:pt>
                <c:pt idx="220">
                  <c:v>239</c:v>
                </c:pt>
                <c:pt idx="221">
                  <c:v>198</c:v>
                </c:pt>
                <c:pt idx="222">
                  <c:v>164</c:v>
                </c:pt>
                <c:pt idx="223">
                  <c:v>268</c:v>
                </c:pt>
                <c:pt idx="224">
                  <c:v>281</c:v>
                </c:pt>
                <c:pt idx="225">
                  <c:v>251</c:v>
                </c:pt>
                <c:pt idx="226">
                  <c:v>150</c:v>
                </c:pt>
                <c:pt idx="227">
                  <c:v>325</c:v>
                </c:pt>
                <c:pt idx="228">
                  <c:v>150</c:v>
                </c:pt>
                <c:pt idx="229">
                  <c:v>318</c:v>
                </c:pt>
                <c:pt idx="230">
                  <c:v>293</c:v>
                </c:pt>
                <c:pt idx="231">
                  <c:v>258</c:v>
                </c:pt>
                <c:pt idx="232">
                  <c:v>319</c:v>
                </c:pt>
                <c:pt idx="233">
                  <c:v>180</c:v>
                </c:pt>
                <c:pt idx="234">
                  <c:v>227</c:v>
                </c:pt>
                <c:pt idx="235">
                  <c:v>158</c:v>
                </c:pt>
                <c:pt idx="236">
                  <c:v>205</c:v>
                </c:pt>
                <c:pt idx="237">
                  <c:v>245</c:v>
                </c:pt>
                <c:pt idx="238">
                  <c:v>299</c:v>
                </c:pt>
                <c:pt idx="239">
                  <c:v>300</c:v>
                </c:pt>
                <c:pt idx="240">
                  <c:v>170</c:v>
                </c:pt>
                <c:pt idx="241">
                  <c:v>233</c:v>
                </c:pt>
                <c:pt idx="242">
                  <c:v>317</c:v>
                </c:pt>
                <c:pt idx="243">
                  <c:v>337</c:v>
                </c:pt>
                <c:pt idx="244">
                  <c:v>154</c:v>
                </c:pt>
                <c:pt idx="245">
                  <c:v>226</c:v>
                </c:pt>
                <c:pt idx="246">
                  <c:v>252</c:v>
                </c:pt>
                <c:pt idx="247">
                  <c:v>334</c:v>
                </c:pt>
                <c:pt idx="248">
                  <c:v>288</c:v>
                </c:pt>
                <c:pt idx="249">
                  <c:v>370</c:v>
                </c:pt>
                <c:pt idx="250">
                  <c:v>288</c:v>
                </c:pt>
                <c:pt idx="251">
                  <c:v>150</c:v>
                </c:pt>
                <c:pt idx="252">
                  <c:v>359</c:v>
                </c:pt>
                <c:pt idx="253">
                  <c:v>283</c:v>
                </c:pt>
                <c:pt idx="254">
                  <c:v>428</c:v>
                </c:pt>
                <c:pt idx="255">
                  <c:v>356</c:v>
                </c:pt>
                <c:pt idx="256">
                  <c:v>172</c:v>
                </c:pt>
                <c:pt idx="257">
                  <c:v>293</c:v>
                </c:pt>
                <c:pt idx="258">
                  <c:v>245</c:v>
                </c:pt>
                <c:pt idx="259">
                  <c:v>288</c:v>
                </c:pt>
                <c:pt idx="260">
                  <c:v>337</c:v>
                </c:pt>
                <c:pt idx="261">
                  <c:v>367</c:v>
                </c:pt>
                <c:pt idx="262">
                  <c:v>276</c:v>
                </c:pt>
                <c:pt idx="263">
                  <c:v>241</c:v>
                </c:pt>
                <c:pt idx="264">
                  <c:v>166</c:v>
                </c:pt>
                <c:pt idx="265">
                  <c:v>325</c:v>
                </c:pt>
                <c:pt idx="266">
                  <c:v>250</c:v>
                </c:pt>
                <c:pt idx="267">
                  <c:v>193</c:v>
                </c:pt>
                <c:pt idx="268">
                  <c:v>201</c:v>
                </c:pt>
                <c:pt idx="269">
                  <c:v>291</c:v>
                </c:pt>
                <c:pt idx="270">
                  <c:v>247</c:v>
                </c:pt>
                <c:pt idx="271">
                  <c:v>208</c:v>
                </c:pt>
                <c:pt idx="272">
                  <c:v>323</c:v>
                </c:pt>
                <c:pt idx="273">
                  <c:v>241</c:v>
                </c:pt>
                <c:pt idx="274">
                  <c:v>163</c:v>
                </c:pt>
                <c:pt idx="275">
                  <c:v>359</c:v>
                </c:pt>
                <c:pt idx="276">
                  <c:v>270</c:v>
                </c:pt>
                <c:pt idx="277">
                  <c:v>150</c:v>
                </c:pt>
                <c:pt idx="278">
                  <c:v>312</c:v>
                </c:pt>
                <c:pt idx="279">
                  <c:v>273</c:v>
                </c:pt>
                <c:pt idx="280">
                  <c:v>353</c:v>
                </c:pt>
                <c:pt idx="281">
                  <c:v>263</c:v>
                </c:pt>
                <c:pt idx="282">
                  <c:v>231</c:v>
                </c:pt>
                <c:pt idx="283">
                  <c:v>185</c:v>
                </c:pt>
                <c:pt idx="284">
                  <c:v>305</c:v>
                </c:pt>
                <c:pt idx="285">
                  <c:v>268</c:v>
                </c:pt>
                <c:pt idx="286">
                  <c:v>362</c:v>
                </c:pt>
                <c:pt idx="287">
                  <c:v>411</c:v>
                </c:pt>
                <c:pt idx="288">
                  <c:v>150</c:v>
                </c:pt>
                <c:pt idx="289">
                  <c:v>153</c:v>
                </c:pt>
                <c:pt idx="290">
                  <c:v>150</c:v>
                </c:pt>
                <c:pt idx="291">
                  <c:v>398</c:v>
                </c:pt>
                <c:pt idx="292">
                  <c:v>259</c:v>
                </c:pt>
                <c:pt idx="293">
                  <c:v>250</c:v>
                </c:pt>
                <c:pt idx="294">
                  <c:v>163</c:v>
                </c:pt>
                <c:pt idx="295">
                  <c:v>154</c:v>
                </c:pt>
                <c:pt idx="296">
                  <c:v>267</c:v>
                </c:pt>
                <c:pt idx="297">
                  <c:v>154</c:v>
                </c:pt>
                <c:pt idx="298">
                  <c:v>191</c:v>
                </c:pt>
                <c:pt idx="299">
                  <c:v>191</c:v>
                </c:pt>
                <c:pt idx="300">
                  <c:v>303</c:v>
                </c:pt>
                <c:pt idx="301">
                  <c:v>262</c:v>
                </c:pt>
                <c:pt idx="302">
                  <c:v>197</c:v>
                </c:pt>
                <c:pt idx="303">
                  <c:v>313</c:v>
                </c:pt>
                <c:pt idx="304">
                  <c:v>194</c:v>
                </c:pt>
                <c:pt idx="305">
                  <c:v>235</c:v>
                </c:pt>
                <c:pt idx="306">
                  <c:v>394</c:v>
                </c:pt>
                <c:pt idx="307">
                  <c:v>289</c:v>
                </c:pt>
                <c:pt idx="308">
                  <c:v>224</c:v>
                </c:pt>
                <c:pt idx="309">
                  <c:v>242</c:v>
                </c:pt>
                <c:pt idx="310">
                  <c:v>269</c:v>
                </c:pt>
                <c:pt idx="311">
                  <c:v>150</c:v>
                </c:pt>
                <c:pt idx="312">
                  <c:v>186</c:v>
                </c:pt>
                <c:pt idx="313">
                  <c:v>156</c:v>
                </c:pt>
                <c:pt idx="314">
                  <c:v>329</c:v>
                </c:pt>
                <c:pt idx="315">
                  <c:v>187</c:v>
                </c:pt>
                <c:pt idx="316">
                  <c:v>447</c:v>
                </c:pt>
                <c:pt idx="317">
                  <c:v>287</c:v>
                </c:pt>
                <c:pt idx="318">
                  <c:v>258</c:v>
                </c:pt>
                <c:pt idx="319">
                  <c:v>227</c:v>
                </c:pt>
                <c:pt idx="320">
                  <c:v>228</c:v>
                </c:pt>
                <c:pt idx="321">
                  <c:v>150</c:v>
                </c:pt>
                <c:pt idx="322">
                  <c:v>374</c:v>
                </c:pt>
                <c:pt idx="323">
                  <c:v>431</c:v>
                </c:pt>
                <c:pt idx="324">
                  <c:v>295</c:v>
                </c:pt>
                <c:pt idx="325">
                  <c:v>266</c:v>
                </c:pt>
                <c:pt idx="326">
                  <c:v>245</c:v>
                </c:pt>
                <c:pt idx="327">
                  <c:v>246</c:v>
                </c:pt>
                <c:pt idx="328">
                  <c:v>259</c:v>
                </c:pt>
                <c:pt idx="329">
                  <c:v>240</c:v>
                </c:pt>
                <c:pt idx="330">
                  <c:v>333</c:v>
                </c:pt>
                <c:pt idx="331">
                  <c:v>262</c:v>
                </c:pt>
                <c:pt idx="332">
                  <c:v>262</c:v>
                </c:pt>
                <c:pt idx="333">
                  <c:v>216</c:v>
                </c:pt>
                <c:pt idx="334">
                  <c:v>337</c:v>
                </c:pt>
                <c:pt idx="335">
                  <c:v>319</c:v>
                </c:pt>
                <c:pt idx="336">
                  <c:v>162</c:v>
                </c:pt>
                <c:pt idx="337">
                  <c:v>371</c:v>
                </c:pt>
                <c:pt idx="338">
                  <c:v>177</c:v>
                </c:pt>
                <c:pt idx="339">
                  <c:v>193</c:v>
                </c:pt>
                <c:pt idx="340">
                  <c:v>234</c:v>
                </c:pt>
                <c:pt idx="341">
                  <c:v>150</c:v>
                </c:pt>
                <c:pt idx="342">
                  <c:v>150</c:v>
                </c:pt>
                <c:pt idx="343">
                  <c:v>150</c:v>
                </c:pt>
                <c:pt idx="344">
                  <c:v>168</c:v>
                </c:pt>
                <c:pt idx="345">
                  <c:v>213</c:v>
                </c:pt>
                <c:pt idx="346">
                  <c:v>313</c:v>
                </c:pt>
                <c:pt idx="347">
                  <c:v>286</c:v>
                </c:pt>
                <c:pt idx="348">
                  <c:v>193</c:v>
                </c:pt>
                <c:pt idx="349">
                  <c:v>298</c:v>
                </c:pt>
                <c:pt idx="350">
                  <c:v>268</c:v>
                </c:pt>
                <c:pt idx="351">
                  <c:v>306</c:v>
                </c:pt>
                <c:pt idx="352">
                  <c:v>279</c:v>
                </c:pt>
                <c:pt idx="353">
                  <c:v>160</c:v>
                </c:pt>
                <c:pt idx="354">
                  <c:v>318</c:v>
                </c:pt>
                <c:pt idx="355">
                  <c:v>193</c:v>
                </c:pt>
                <c:pt idx="356">
                  <c:v>229</c:v>
                </c:pt>
                <c:pt idx="357">
                  <c:v>176</c:v>
                </c:pt>
                <c:pt idx="358">
                  <c:v>264</c:v>
                </c:pt>
                <c:pt idx="359">
                  <c:v>184</c:v>
                </c:pt>
                <c:pt idx="360">
                  <c:v>258</c:v>
                </c:pt>
                <c:pt idx="361">
                  <c:v>150</c:v>
                </c:pt>
                <c:pt idx="362">
                  <c:v>217</c:v>
                </c:pt>
                <c:pt idx="363">
                  <c:v>202</c:v>
                </c:pt>
                <c:pt idx="364">
                  <c:v>364</c:v>
                </c:pt>
                <c:pt idx="365">
                  <c:v>260</c:v>
                </c:pt>
                <c:pt idx="366">
                  <c:v>271</c:v>
                </c:pt>
                <c:pt idx="367">
                  <c:v>192</c:v>
                </c:pt>
                <c:pt idx="368">
                  <c:v>289</c:v>
                </c:pt>
                <c:pt idx="369">
                  <c:v>249</c:v>
                </c:pt>
                <c:pt idx="370">
                  <c:v>338</c:v>
                </c:pt>
                <c:pt idx="371">
                  <c:v>285</c:v>
                </c:pt>
                <c:pt idx="372">
                  <c:v>216</c:v>
                </c:pt>
                <c:pt idx="373">
                  <c:v>246</c:v>
                </c:pt>
                <c:pt idx="374">
                  <c:v>224</c:v>
                </c:pt>
                <c:pt idx="375">
                  <c:v>251</c:v>
                </c:pt>
                <c:pt idx="376">
                  <c:v>214</c:v>
                </c:pt>
                <c:pt idx="377">
                  <c:v>195</c:v>
                </c:pt>
                <c:pt idx="378">
                  <c:v>173</c:v>
                </c:pt>
                <c:pt idx="379">
                  <c:v>294</c:v>
                </c:pt>
                <c:pt idx="380">
                  <c:v>323</c:v>
                </c:pt>
                <c:pt idx="381">
                  <c:v>150</c:v>
                </c:pt>
                <c:pt idx="382">
                  <c:v>167</c:v>
                </c:pt>
                <c:pt idx="383">
                  <c:v>322</c:v>
                </c:pt>
                <c:pt idx="384">
                  <c:v>351</c:v>
                </c:pt>
                <c:pt idx="385">
                  <c:v>171</c:v>
                </c:pt>
                <c:pt idx="386">
                  <c:v>362</c:v>
                </c:pt>
                <c:pt idx="387">
                  <c:v>150</c:v>
                </c:pt>
                <c:pt idx="388">
                  <c:v>375</c:v>
                </c:pt>
                <c:pt idx="389">
                  <c:v>266</c:v>
                </c:pt>
                <c:pt idx="390">
                  <c:v>192</c:v>
                </c:pt>
                <c:pt idx="391">
                  <c:v>178</c:v>
                </c:pt>
                <c:pt idx="392">
                  <c:v>231</c:v>
                </c:pt>
                <c:pt idx="393">
                  <c:v>222</c:v>
                </c:pt>
                <c:pt idx="394">
                  <c:v>206</c:v>
                </c:pt>
                <c:pt idx="395">
                  <c:v>294</c:v>
                </c:pt>
                <c:pt idx="396">
                  <c:v>390</c:v>
                </c:pt>
                <c:pt idx="397">
                  <c:v>319</c:v>
                </c:pt>
                <c:pt idx="398">
                  <c:v>209</c:v>
                </c:pt>
                <c:pt idx="399">
                  <c:v>344</c:v>
                </c:pt>
                <c:pt idx="400">
                  <c:v>194</c:v>
                </c:pt>
                <c:pt idx="401">
                  <c:v>260</c:v>
                </c:pt>
                <c:pt idx="402">
                  <c:v>150</c:v>
                </c:pt>
                <c:pt idx="403">
                  <c:v>263</c:v>
                </c:pt>
                <c:pt idx="404">
                  <c:v>323</c:v>
                </c:pt>
                <c:pt idx="405">
                  <c:v>275</c:v>
                </c:pt>
                <c:pt idx="406">
                  <c:v>255</c:v>
                </c:pt>
                <c:pt idx="407">
                  <c:v>236</c:v>
                </c:pt>
                <c:pt idx="408">
                  <c:v>275</c:v>
                </c:pt>
                <c:pt idx="409">
                  <c:v>150</c:v>
                </c:pt>
                <c:pt idx="410">
                  <c:v>175</c:v>
                </c:pt>
                <c:pt idx="411">
                  <c:v>267</c:v>
                </c:pt>
                <c:pt idx="412">
                  <c:v>213</c:v>
                </c:pt>
                <c:pt idx="413">
                  <c:v>210</c:v>
                </c:pt>
                <c:pt idx="414">
                  <c:v>150</c:v>
                </c:pt>
                <c:pt idx="415">
                  <c:v>254</c:v>
                </c:pt>
                <c:pt idx="416">
                  <c:v>353</c:v>
                </c:pt>
                <c:pt idx="417">
                  <c:v>344</c:v>
                </c:pt>
                <c:pt idx="418">
                  <c:v>249</c:v>
                </c:pt>
                <c:pt idx="419">
                  <c:v>286</c:v>
                </c:pt>
                <c:pt idx="420">
                  <c:v>333</c:v>
                </c:pt>
                <c:pt idx="421">
                  <c:v>348</c:v>
                </c:pt>
                <c:pt idx="422">
                  <c:v>196</c:v>
                </c:pt>
                <c:pt idx="423">
                  <c:v>255</c:v>
                </c:pt>
                <c:pt idx="424">
                  <c:v>263</c:v>
                </c:pt>
                <c:pt idx="425">
                  <c:v>284</c:v>
                </c:pt>
                <c:pt idx="426">
                  <c:v>217</c:v>
                </c:pt>
                <c:pt idx="427">
                  <c:v>297</c:v>
                </c:pt>
                <c:pt idx="428">
                  <c:v>285</c:v>
                </c:pt>
                <c:pt idx="429">
                  <c:v>218</c:v>
                </c:pt>
                <c:pt idx="430">
                  <c:v>179</c:v>
                </c:pt>
                <c:pt idx="431">
                  <c:v>186</c:v>
                </c:pt>
                <c:pt idx="432">
                  <c:v>198</c:v>
                </c:pt>
                <c:pt idx="433">
                  <c:v>297</c:v>
                </c:pt>
                <c:pt idx="434">
                  <c:v>178</c:v>
                </c:pt>
                <c:pt idx="435">
                  <c:v>170</c:v>
                </c:pt>
                <c:pt idx="436">
                  <c:v>171</c:v>
                </c:pt>
                <c:pt idx="437">
                  <c:v>257</c:v>
                </c:pt>
                <c:pt idx="438">
                  <c:v>303</c:v>
                </c:pt>
                <c:pt idx="439">
                  <c:v>284</c:v>
                </c:pt>
                <c:pt idx="440">
                  <c:v>159</c:v>
                </c:pt>
                <c:pt idx="441">
                  <c:v>265</c:v>
                </c:pt>
                <c:pt idx="442">
                  <c:v>281</c:v>
                </c:pt>
                <c:pt idx="443">
                  <c:v>256</c:v>
                </c:pt>
                <c:pt idx="444">
                  <c:v>193</c:v>
                </c:pt>
                <c:pt idx="445">
                  <c:v>273</c:v>
                </c:pt>
                <c:pt idx="446">
                  <c:v>288</c:v>
                </c:pt>
                <c:pt idx="447">
                  <c:v>214</c:v>
                </c:pt>
                <c:pt idx="448">
                  <c:v>216</c:v>
                </c:pt>
                <c:pt idx="449">
                  <c:v>284</c:v>
                </c:pt>
                <c:pt idx="450">
                  <c:v>262</c:v>
                </c:pt>
                <c:pt idx="451">
                  <c:v>260</c:v>
                </c:pt>
                <c:pt idx="452">
                  <c:v>151</c:v>
                </c:pt>
                <c:pt idx="453">
                  <c:v>222</c:v>
                </c:pt>
                <c:pt idx="454">
                  <c:v>241</c:v>
                </c:pt>
                <c:pt idx="455">
                  <c:v>150</c:v>
                </c:pt>
                <c:pt idx="456">
                  <c:v>371</c:v>
                </c:pt>
                <c:pt idx="457">
                  <c:v>305</c:v>
                </c:pt>
                <c:pt idx="458">
                  <c:v>186</c:v>
                </c:pt>
                <c:pt idx="459">
                  <c:v>214</c:v>
                </c:pt>
                <c:pt idx="460">
                  <c:v>372</c:v>
                </c:pt>
                <c:pt idx="461">
                  <c:v>273</c:v>
                </c:pt>
                <c:pt idx="462">
                  <c:v>275</c:v>
                </c:pt>
                <c:pt idx="463">
                  <c:v>283</c:v>
                </c:pt>
                <c:pt idx="464">
                  <c:v>324</c:v>
                </c:pt>
                <c:pt idx="465">
                  <c:v>349</c:v>
                </c:pt>
                <c:pt idx="466">
                  <c:v>410</c:v>
                </c:pt>
                <c:pt idx="467">
                  <c:v>344</c:v>
                </c:pt>
                <c:pt idx="468">
                  <c:v>241</c:v>
                </c:pt>
                <c:pt idx="469">
                  <c:v>186</c:v>
                </c:pt>
                <c:pt idx="470">
                  <c:v>247</c:v>
                </c:pt>
                <c:pt idx="471">
                  <c:v>194</c:v>
                </c:pt>
                <c:pt idx="472">
                  <c:v>157</c:v>
                </c:pt>
                <c:pt idx="473">
                  <c:v>377</c:v>
                </c:pt>
                <c:pt idx="474">
                  <c:v>318</c:v>
                </c:pt>
                <c:pt idx="475">
                  <c:v>150</c:v>
                </c:pt>
                <c:pt idx="476">
                  <c:v>210</c:v>
                </c:pt>
                <c:pt idx="477">
                  <c:v>186</c:v>
                </c:pt>
                <c:pt idx="478">
                  <c:v>190</c:v>
                </c:pt>
                <c:pt idx="479">
                  <c:v>203</c:v>
                </c:pt>
                <c:pt idx="480">
                  <c:v>253</c:v>
                </c:pt>
                <c:pt idx="481">
                  <c:v>150</c:v>
                </c:pt>
                <c:pt idx="482">
                  <c:v>373</c:v>
                </c:pt>
                <c:pt idx="483">
                  <c:v>150</c:v>
                </c:pt>
                <c:pt idx="484">
                  <c:v>361</c:v>
                </c:pt>
                <c:pt idx="485">
                  <c:v>278</c:v>
                </c:pt>
                <c:pt idx="486">
                  <c:v>226</c:v>
                </c:pt>
                <c:pt idx="487">
                  <c:v>150</c:v>
                </c:pt>
                <c:pt idx="488">
                  <c:v>215</c:v>
                </c:pt>
                <c:pt idx="489">
                  <c:v>315</c:v>
                </c:pt>
                <c:pt idx="490">
                  <c:v>381</c:v>
                </c:pt>
                <c:pt idx="491">
                  <c:v>197</c:v>
                </c:pt>
                <c:pt idx="492">
                  <c:v>233</c:v>
                </c:pt>
                <c:pt idx="493">
                  <c:v>356</c:v>
                </c:pt>
                <c:pt idx="494">
                  <c:v>160</c:v>
                </c:pt>
                <c:pt idx="495">
                  <c:v>311</c:v>
                </c:pt>
                <c:pt idx="496">
                  <c:v>248</c:v>
                </c:pt>
                <c:pt idx="497">
                  <c:v>284</c:v>
                </c:pt>
                <c:pt idx="498">
                  <c:v>274</c:v>
                </c:pt>
                <c:pt idx="499">
                  <c:v>358</c:v>
                </c:pt>
                <c:pt idx="500">
                  <c:v>285</c:v>
                </c:pt>
                <c:pt idx="501">
                  <c:v>365</c:v>
                </c:pt>
                <c:pt idx="502">
                  <c:v>252</c:v>
                </c:pt>
                <c:pt idx="503">
                  <c:v>253</c:v>
                </c:pt>
                <c:pt idx="504">
                  <c:v>195</c:v>
                </c:pt>
                <c:pt idx="505">
                  <c:v>183</c:v>
                </c:pt>
                <c:pt idx="506">
                  <c:v>278</c:v>
                </c:pt>
                <c:pt idx="507">
                  <c:v>244</c:v>
                </c:pt>
                <c:pt idx="508">
                  <c:v>334</c:v>
                </c:pt>
                <c:pt idx="509">
                  <c:v>164</c:v>
                </c:pt>
                <c:pt idx="510">
                  <c:v>252</c:v>
                </c:pt>
                <c:pt idx="511">
                  <c:v>332</c:v>
                </c:pt>
                <c:pt idx="512">
                  <c:v>285</c:v>
                </c:pt>
                <c:pt idx="513">
                  <c:v>368</c:v>
                </c:pt>
                <c:pt idx="514">
                  <c:v>188</c:v>
                </c:pt>
                <c:pt idx="515">
                  <c:v>241</c:v>
                </c:pt>
                <c:pt idx="516">
                  <c:v>169</c:v>
                </c:pt>
                <c:pt idx="517">
                  <c:v>243</c:v>
                </c:pt>
                <c:pt idx="518">
                  <c:v>408</c:v>
                </c:pt>
                <c:pt idx="519">
                  <c:v>157</c:v>
                </c:pt>
                <c:pt idx="520">
                  <c:v>396</c:v>
                </c:pt>
                <c:pt idx="521">
                  <c:v>224</c:v>
                </c:pt>
                <c:pt idx="522">
                  <c:v>262</c:v>
                </c:pt>
                <c:pt idx="523">
                  <c:v>174</c:v>
                </c:pt>
                <c:pt idx="524">
                  <c:v>208</c:v>
                </c:pt>
                <c:pt idx="525">
                  <c:v>165</c:v>
                </c:pt>
                <c:pt idx="526">
                  <c:v>150</c:v>
                </c:pt>
                <c:pt idx="527">
                  <c:v>232</c:v>
                </c:pt>
                <c:pt idx="528">
                  <c:v>377</c:v>
                </c:pt>
                <c:pt idx="529">
                  <c:v>264</c:v>
                </c:pt>
                <c:pt idx="530">
                  <c:v>364</c:v>
                </c:pt>
                <c:pt idx="531">
                  <c:v>410</c:v>
                </c:pt>
                <c:pt idx="532">
                  <c:v>250</c:v>
                </c:pt>
                <c:pt idx="533">
                  <c:v>324</c:v>
                </c:pt>
                <c:pt idx="534">
                  <c:v>179</c:v>
                </c:pt>
                <c:pt idx="535">
                  <c:v>201</c:v>
                </c:pt>
                <c:pt idx="536">
                  <c:v>375</c:v>
                </c:pt>
                <c:pt idx="537">
                  <c:v>164</c:v>
                </c:pt>
                <c:pt idx="538">
                  <c:v>267</c:v>
                </c:pt>
                <c:pt idx="539">
                  <c:v>289</c:v>
                </c:pt>
                <c:pt idx="540">
                  <c:v>324</c:v>
                </c:pt>
                <c:pt idx="541">
                  <c:v>226</c:v>
                </c:pt>
                <c:pt idx="542">
                  <c:v>347</c:v>
                </c:pt>
                <c:pt idx="543">
                  <c:v>150</c:v>
                </c:pt>
                <c:pt idx="544">
                  <c:v>174</c:v>
                </c:pt>
                <c:pt idx="545">
                  <c:v>194</c:v>
                </c:pt>
                <c:pt idx="546">
                  <c:v>158</c:v>
                </c:pt>
                <c:pt idx="547">
                  <c:v>251</c:v>
                </c:pt>
                <c:pt idx="548">
                  <c:v>305</c:v>
                </c:pt>
                <c:pt idx="549">
                  <c:v>157</c:v>
                </c:pt>
                <c:pt idx="550">
                  <c:v>278</c:v>
                </c:pt>
                <c:pt idx="551">
                  <c:v>242</c:v>
                </c:pt>
                <c:pt idx="552">
                  <c:v>207</c:v>
                </c:pt>
                <c:pt idx="553">
                  <c:v>230</c:v>
                </c:pt>
                <c:pt idx="554">
                  <c:v>195</c:v>
                </c:pt>
                <c:pt idx="555">
                  <c:v>161</c:v>
                </c:pt>
                <c:pt idx="556">
                  <c:v>284</c:v>
                </c:pt>
                <c:pt idx="557">
                  <c:v>163</c:v>
                </c:pt>
                <c:pt idx="558">
                  <c:v>362</c:v>
                </c:pt>
                <c:pt idx="559">
                  <c:v>242</c:v>
                </c:pt>
                <c:pt idx="560">
                  <c:v>288</c:v>
                </c:pt>
                <c:pt idx="561">
                  <c:v>318</c:v>
                </c:pt>
                <c:pt idx="562">
                  <c:v>194</c:v>
                </c:pt>
                <c:pt idx="563">
                  <c:v>289</c:v>
                </c:pt>
                <c:pt idx="564">
                  <c:v>290</c:v>
                </c:pt>
                <c:pt idx="565">
                  <c:v>304</c:v>
                </c:pt>
                <c:pt idx="566">
                  <c:v>155</c:v>
                </c:pt>
                <c:pt idx="567">
                  <c:v>271</c:v>
                </c:pt>
                <c:pt idx="568">
                  <c:v>224</c:v>
                </c:pt>
                <c:pt idx="569">
                  <c:v>252</c:v>
                </c:pt>
                <c:pt idx="570">
                  <c:v>265</c:v>
                </c:pt>
                <c:pt idx="571">
                  <c:v>284</c:v>
                </c:pt>
                <c:pt idx="572">
                  <c:v>324</c:v>
                </c:pt>
                <c:pt idx="573">
                  <c:v>280</c:v>
                </c:pt>
                <c:pt idx="574">
                  <c:v>421</c:v>
                </c:pt>
                <c:pt idx="575">
                  <c:v>160</c:v>
                </c:pt>
                <c:pt idx="576">
                  <c:v>315</c:v>
                </c:pt>
                <c:pt idx="577">
                  <c:v>243</c:v>
                </c:pt>
                <c:pt idx="578">
                  <c:v>240</c:v>
                </c:pt>
                <c:pt idx="579">
                  <c:v>166</c:v>
                </c:pt>
                <c:pt idx="580">
                  <c:v>170</c:v>
                </c:pt>
                <c:pt idx="581">
                  <c:v>219</c:v>
                </c:pt>
                <c:pt idx="582">
                  <c:v>150</c:v>
                </c:pt>
                <c:pt idx="583">
                  <c:v>151</c:v>
                </c:pt>
                <c:pt idx="584">
                  <c:v>195</c:v>
                </c:pt>
                <c:pt idx="585">
                  <c:v>223</c:v>
                </c:pt>
                <c:pt idx="586">
                  <c:v>184</c:v>
                </c:pt>
                <c:pt idx="587">
                  <c:v>185</c:v>
                </c:pt>
                <c:pt idx="588">
                  <c:v>201</c:v>
                </c:pt>
                <c:pt idx="589">
                  <c:v>197</c:v>
                </c:pt>
                <c:pt idx="590">
                  <c:v>343</c:v>
                </c:pt>
                <c:pt idx="591">
                  <c:v>337</c:v>
                </c:pt>
                <c:pt idx="592">
                  <c:v>266</c:v>
                </c:pt>
                <c:pt idx="593">
                  <c:v>325</c:v>
                </c:pt>
                <c:pt idx="594">
                  <c:v>161</c:v>
                </c:pt>
                <c:pt idx="595">
                  <c:v>351</c:v>
                </c:pt>
                <c:pt idx="596">
                  <c:v>251</c:v>
                </c:pt>
                <c:pt idx="597">
                  <c:v>188</c:v>
                </c:pt>
                <c:pt idx="598">
                  <c:v>225</c:v>
                </c:pt>
                <c:pt idx="599">
                  <c:v>287</c:v>
                </c:pt>
                <c:pt idx="600">
                  <c:v>272</c:v>
                </c:pt>
                <c:pt idx="601">
                  <c:v>342</c:v>
                </c:pt>
                <c:pt idx="602">
                  <c:v>340</c:v>
                </c:pt>
                <c:pt idx="603">
                  <c:v>177</c:v>
                </c:pt>
                <c:pt idx="604">
                  <c:v>256</c:v>
                </c:pt>
                <c:pt idx="605">
                  <c:v>215</c:v>
                </c:pt>
                <c:pt idx="606">
                  <c:v>173</c:v>
                </c:pt>
                <c:pt idx="607">
                  <c:v>308</c:v>
                </c:pt>
                <c:pt idx="608">
                  <c:v>434</c:v>
                </c:pt>
                <c:pt idx="609">
                  <c:v>177</c:v>
                </c:pt>
                <c:pt idx="610">
                  <c:v>322</c:v>
                </c:pt>
                <c:pt idx="611">
                  <c:v>233</c:v>
                </c:pt>
                <c:pt idx="612">
                  <c:v>177</c:v>
                </c:pt>
                <c:pt idx="613">
                  <c:v>295</c:v>
                </c:pt>
                <c:pt idx="614">
                  <c:v>278</c:v>
                </c:pt>
                <c:pt idx="615">
                  <c:v>386</c:v>
                </c:pt>
                <c:pt idx="616">
                  <c:v>211</c:v>
                </c:pt>
                <c:pt idx="617">
                  <c:v>255</c:v>
                </c:pt>
                <c:pt idx="618">
                  <c:v>163</c:v>
                </c:pt>
                <c:pt idx="619">
                  <c:v>150</c:v>
                </c:pt>
                <c:pt idx="620">
                  <c:v>189</c:v>
                </c:pt>
                <c:pt idx="621">
                  <c:v>427</c:v>
                </c:pt>
                <c:pt idx="622">
                  <c:v>199</c:v>
                </c:pt>
                <c:pt idx="623">
                  <c:v>150</c:v>
                </c:pt>
                <c:pt idx="624">
                  <c:v>248</c:v>
                </c:pt>
                <c:pt idx="625">
                  <c:v>175</c:v>
                </c:pt>
                <c:pt idx="626">
                  <c:v>225</c:v>
                </c:pt>
                <c:pt idx="627">
                  <c:v>253</c:v>
                </c:pt>
                <c:pt idx="628">
                  <c:v>260</c:v>
                </c:pt>
                <c:pt idx="629">
                  <c:v>351</c:v>
                </c:pt>
                <c:pt idx="630">
                  <c:v>207</c:v>
                </c:pt>
                <c:pt idx="631">
                  <c:v>189</c:v>
                </c:pt>
                <c:pt idx="632">
                  <c:v>296</c:v>
                </c:pt>
                <c:pt idx="633">
                  <c:v>234</c:v>
                </c:pt>
                <c:pt idx="634">
                  <c:v>359</c:v>
                </c:pt>
                <c:pt idx="635">
                  <c:v>246</c:v>
                </c:pt>
                <c:pt idx="636">
                  <c:v>247</c:v>
                </c:pt>
                <c:pt idx="637">
                  <c:v>150</c:v>
                </c:pt>
                <c:pt idx="638">
                  <c:v>163</c:v>
                </c:pt>
                <c:pt idx="639">
                  <c:v>420</c:v>
                </c:pt>
                <c:pt idx="640">
                  <c:v>370</c:v>
                </c:pt>
                <c:pt idx="641">
                  <c:v>180</c:v>
                </c:pt>
                <c:pt idx="642">
                  <c:v>262</c:v>
                </c:pt>
                <c:pt idx="643">
                  <c:v>255</c:v>
                </c:pt>
                <c:pt idx="644">
                  <c:v>235</c:v>
                </c:pt>
                <c:pt idx="645">
                  <c:v>236</c:v>
                </c:pt>
                <c:pt idx="646">
                  <c:v>262</c:v>
                </c:pt>
                <c:pt idx="647">
                  <c:v>185</c:v>
                </c:pt>
                <c:pt idx="648">
                  <c:v>209</c:v>
                </c:pt>
                <c:pt idx="649">
                  <c:v>185</c:v>
                </c:pt>
                <c:pt idx="650">
                  <c:v>246</c:v>
                </c:pt>
                <c:pt idx="651">
                  <c:v>295</c:v>
                </c:pt>
                <c:pt idx="652">
                  <c:v>249</c:v>
                </c:pt>
                <c:pt idx="653">
                  <c:v>289</c:v>
                </c:pt>
                <c:pt idx="654">
                  <c:v>382</c:v>
                </c:pt>
                <c:pt idx="655">
                  <c:v>367</c:v>
                </c:pt>
                <c:pt idx="656">
                  <c:v>231</c:v>
                </c:pt>
                <c:pt idx="657">
                  <c:v>199</c:v>
                </c:pt>
                <c:pt idx="658">
                  <c:v>295</c:v>
                </c:pt>
                <c:pt idx="659">
                  <c:v>197</c:v>
                </c:pt>
                <c:pt idx="660">
                  <c:v>186</c:v>
                </c:pt>
                <c:pt idx="661">
                  <c:v>252</c:v>
                </c:pt>
                <c:pt idx="662">
                  <c:v>226</c:v>
                </c:pt>
                <c:pt idx="663">
                  <c:v>186</c:v>
                </c:pt>
                <c:pt idx="664">
                  <c:v>420</c:v>
                </c:pt>
                <c:pt idx="665">
                  <c:v>250</c:v>
                </c:pt>
                <c:pt idx="666">
                  <c:v>301</c:v>
                </c:pt>
                <c:pt idx="667">
                  <c:v>150</c:v>
                </c:pt>
                <c:pt idx="668">
                  <c:v>296</c:v>
                </c:pt>
                <c:pt idx="669">
                  <c:v>253</c:v>
                </c:pt>
                <c:pt idx="670">
                  <c:v>268</c:v>
                </c:pt>
                <c:pt idx="671">
                  <c:v>220</c:v>
                </c:pt>
                <c:pt idx="672">
                  <c:v>255</c:v>
                </c:pt>
                <c:pt idx="673">
                  <c:v>274</c:v>
                </c:pt>
                <c:pt idx="674">
                  <c:v>204</c:v>
                </c:pt>
                <c:pt idx="675">
                  <c:v>155</c:v>
                </c:pt>
                <c:pt idx="676">
                  <c:v>262</c:v>
                </c:pt>
                <c:pt idx="677">
                  <c:v>283</c:v>
                </c:pt>
                <c:pt idx="678">
                  <c:v>271</c:v>
                </c:pt>
                <c:pt idx="679">
                  <c:v>235</c:v>
                </c:pt>
                <c:pt idx="680">
                  <c:v>280</c:v>
                </c:pt>
                <c:pt idx="681">
                  <c:v>227</c:v>
                </c:pt>
                <c:pt idx="682">
                  <c:v>297</c:v>
                </c:pt>
                <c:pt idx="683">
                  <c:v>331</c:v>
                </c:pt>
                <c:pt idx="684">
                  <c:v>429</c:v>
                </c:pt>
                <c:pt idx="685">
                  <c:v>372</c:v>
                </c:pt>
                <c:pt idx="686">
                  <c:v>330</c:v>
                </c:pt>
                <c:pt idx="687">
                  <c:v>195</c:v>
                </c:pt>
                <c:pt idx="688">
                  <c:v>193</c:v>
                </c:pt>
                <c:pt idx="689">
                  <c:v>173</c:v>
                </c:pt>
                <c:pt idx="690">
                  <c:v>386</c:v>
                </c:pt>
                <c:pt idx="691">
                  <c:v>159</c:v>
                </c:pt>
                <c:pt idx="692">
                  <c:v>167</c:v>
                </c:pt>
                <c:pt idx="693">
                  <c:v>426</c:v>
                </c:pt>
                <c:pt idx="694">
                  <c:v>239</c:v>
                </c:pt>
                <c:pt idx="695">
                  <c:v>263</c:v>
                </c:pt>
                <c:pt idx="696">
                  <c:v>326</c:v>
                </c:pt>
                <c:pt idx="697">
                  <c:v>404</c:v>
                </c:pt>
                <c:pt idx="698">
                  <c:v>358</c:v>
                </c:pt>
                <c:pt idx="699">
                  <c:v>176</c:v>
                </c:pt>
                <c:pt idx="700">
                  <c:v>260</c:v>
                </c:pt>
                <c:pt idx="701">
                  <c:v>238</c:v>
                </c:pt>
                <c:pt idx="702">
                  <c:v>180</c:v>
                </c:pt>
                <c:pt idx="703">
                  <c:v>395</c:v>
                </c:pt>
                <c:pt idx="704">
                  <c:v>290</c:v>
                </c:pt>
                <c:pt idx="705">
                  <c:v>251</c:v>
                </c:pt>
                <c:pt idx="706">
                  <c:v>260</c:v>
                </c:pt>
                <c:pt idx="707">
                  <c:v>293</c:v>
                </c:pt>
                <c:pt idx="708">
                  <c:v>204</c:v>
                </c:pt>
                <c:pt idx="709">
                  <c:v>343</c:v>
                </c:pt>
                <c:pt idx="710">
                  <c:v>226</c:v>
                </c:pt>
                <c:pt idx="711">
                  <c:v>215</c:v>
                </c:pt>
                <c:pt idx="712">
                  <c:v>333</c:v>
                </c:pt>
                <c:pt idx="713">
                  <c:v>383</c:v>
                </c:pt>
                <c:pt idx="714">
                  <c:v>262</c:v>
                </c:pt>
                <c:pt idx="715">
                  <c:v>262</c:v>
                </c:pt>
                <c:pt idx="716">
                  <c:v>309</c:v>
                </c:pt>
                <c:pt idx="717">
                  <c:v>286</c:v>
                </c:pt>
                <c:pt idx="718">
                  <c:v>251</c:v>
                </c:pt>
                <c:pt idx="719">
                  <c:v>223</c:v>
                </c:pt>
                <c:pt idx="720">
                  <c:v>160</c:v>
                </c:pt>
                <c:pt idx="721">
                  <c:v>287</c:v>
                </c:pt>
                <c:pt idx="722">
                  <c:v>255</c:v>
                </c:pt>
                <c:pt idx="723">
                  <c:v>282</c:v>
                </c:pt>
                <c:pt idx="724">
                  <c:v>203</c:v>
                </c:pt>
                <c:pt idx="725">
                  <c:v>265</c:v>
                </c:pt>
                <c:pt idx="726">
                  <c:v>372</c:v>
                </c:pt>
                <c:pt idx="727">
                  <c:v>295</c:v>
                </c:pt>
                <c:pt idx="728">
                  <c:v>289</c:v>
                </c:pt>
                <c:pt idx="729">
                  <c:v>264</c:v>
                </c:pt>
                <c:pt idx="730">
                  <c:v>159</c:v>
                </c:pt>
                <c:pt idx="731">
                  <c:v>291</c:v>
                </c:pt>
                <c:pt idx="732">
                  <c:v>211</c:v>
                </c:pt>
                <c:pt idx="733">
                  <c:v>277</c:v>
                </c:pt>
                <c:pt idx="734">
                  <c:v>256</c:v>
                </c:pt>
                <c:pt idx="735">
                  <c:v>232</c:v>
                </c:pt>
                <c:pt idx="736">
                  <c:v>299</c:v>
                </c:pt>
                <c:pt idx="737">
                  <c:v>268</c:v>
                </c:pt>
                <c:pt idx="738">
                  <c:v>392</c:v>
                </c:pt>
                <c:pt idx="739">
                  <c:v>284</c:v>
                </c:pt>
                <c:pt idx="740">
                  <c:v>372</c:v>
                </c:pt>
                <c:pt idx="741">
                  <c:v>277</c:v>
                </c:pt>
                <c:pt idx="742">
                  <c:v>152</c:v>
                </c:pt>
                <c:pt idx="743">
                  <c:v>288</c:v>
                </c:pt>
                <c:pt idx="744">
                  <c:v>313</c:v>
                </c:pt>
                <c:pt idx="745">
                  <c:v>165</c:v>
                </c:pt>
                <c:pt idx="746">
                  <c:v>327</c:v>
                </c:pt>
                <c:pt idx="747">
                  <c:v>150</c:v>
                </c:pt>
                <c:pt idx="748">
                  <c:v>160</c:v>
                </c:pt>
                <c:pt idx="749">
                  <c:v>228</c:v>
                </c:pt>
                <c:pt idx="750">
                  <c:v>350</c:v>
                </c:pt>
                <c:pt idx="751">
                  <c:v>270</c:v>
                </c:pt>
                <c:pt idx="752">
                  <c:v>171</c:v>
                </c:pt>
                <c:pt idx="753">
                  <c:v>197</c:v>
                </c:pt>
                <c:pt idx="754">
                  <c:v>271</c:v>
                </c:pt>
                <c:pt idx="755">
                  <c:v>211</c:v>
                </c:pt>
                <c:pt idx="756">
                  <c:v>288</c:v>
                </c:pt>
                <c:pt idx="757">
                  <c:v>271</c:v>
                </c:pt>
                <c:pt idx="758">
                  <c:v>301</c:v>
                </c:pt>
                <c:pt idx="759">
                  <c:v>218</c:v>
                </c:pt>
                <c:pt idx="760">
                  <c:v>257</c:v>
                </c:pt>
                <c:pt idx="761">
                  <c:v>310</c:v>
                </c:pt>
                <c:pt idx="762">
                  <c:v>403</c:v>
                </c:pt>
                <c:pt idx="763">
                  <c:v>257</c:v>
                </c:pt>
                <c:pt idx="764">
                  <c:v>288</c:v>
                </c:pt>
                <c:pt idx="765">
                  <c:v>219</c:v>
                </c:pt>
                <c:pt idx="766">
                  <c:v>198</c:v>
                </c:pt>
                <c:pt idx="767">
                  <c:v>231</c:v>
                </c:pt>
                <c:pt idx="768">
                  <c:v>296</c:v>
                </c:pt>
                <c:pt idx="769">
                  <c:v>300</c:v>
                </c:pt>
                <c:pt idx="770">
                  <c:v>324</c:v>
                </c:pt>
                <c:pt idx="771">
                  <c:v>338</c:v>
                </c:pt>
                <c:pt idx="772">
                  <c:v>163</c:v>
                </c:pt>
                <c:pt idx="773">
                  <c:v>359</c:v>
                </c:pt>
                <c:pt idx="774">
                  <c:v>157</c:v>
                </c:pt>
                <c:pt idx="775">
                  <c:v>171</c:v>
                </c:pt>
                <c:pt idx="776">
                  <c:v>400</c:v>
                </c:pt>
                <c:pt idx="777">
                  <c:v>156</c:v>
                </c:pt>
                <c:pt idx="778">
                  <c:v>161</c:v>
                </c:pt>
                <c:pt idx="779">
                  <c:v>238</c:v>
                </c:pt>
                <c:pt idx="780">
                  <c:v>248</c:v>
                </c:pt>
                <c:pt idx="781">
                  <c:v>200</c:v>
                </c:pt>
                <c:pt idx="782">
                  <c:v>381</c:v>
                </c:pt>
                <c:pt idx="783">
                  <c:v>254</c:v>
                </c:pt>
                <c:pt idx="784">
                  <c:v>150</c:v>
                </c:pt>
                <c:pt idx="785">
                  <c:v>263</c:v>
                </c:pt>
                <c:pt idx="786">
                  <c:v>154</c:v>
                </c:pt>
                <c:pt idx="787">
                  <c:v>208</c:v>
                </c:pt>
                <c:pt idx="788">
                  <c:v>321</c:v>
                </c:pt>
                <c:pt idx="789">
                  <c:v>377</c:v>
                </c:pt>
                <c:pt idx="790">
                  <c:v>241</c:v>
                </c:pt>
                <c:pt idx="791">
                  <c:v>182</c:v>
                </c:pt>
                <c:pt idx="792">
                  <c:v>251</c:v>
                </c:pt>
                <c:pt idx="793">
                  <c:v>175</c:v>
                </c:pt>
                <c:pt idx="794">
                  <c:v>173</c:v>
                </c:pt>
                <c:pt idx="795">
                  <c:v>241</c:v>
                </c:pt>
                <c:pt idx="796">
                  <c:v>288</c:v>
                </c:pt>
                <c:pt idx="797">
                  <c:v>197</c:v>
                </c:pt>
                <c:pt idx="798">
                  <c:v>198</c:v>
                </c:pt>
                <c:pt idx="799">
                  <c:v>236</c:v>
                </c:pt>
                <c:pt idx="800">
                  <c:v>198</c:v>
                </c:pt>
                <c:pt idx="801">
                  <c:v>284</c:v>
                </c:pt>
                <c:pt idx="802">
                  <c:v>244</c:v>
                </c:pt>
                <c:pt idx="803">
                  <c:v>178</c:v>
                </c:pt>
                <c:pt idx="804">
                  <c:v>263</c:v>
                </c:pt>
                <c:pt idx="805">
                  <c:v>255</c:v>
                </c:pt>
                <c:pt idx="806">
                  <c:v>380</c:v>
                </c:pt>
                <c:pt idx="807">
                  <c:v>316</c:v>
                </c:pt>
                <c:pt idx="808">
                  <c:v>261</c:v>
                </c:pt>
                <c:pt idx="809">
                  <c:v>171</c:v>
                </c:pt>
                <c:pt idx="810">
                  <c:v>296</c:v>
                </c:pt>
                <c:pt idx="811">
                  <c:v>267</c:v>
                </c:pt>
                <c:pt idx="812">
                  <c:v>273</c:v>
                </c:pt>
                <c:pt idx="813">
                  <c:v>184</c:v>
                </c:pt>
                <c:pt idx="814">
                  <c:v>264</c:v>
                </c:pt>
                <c:pt idx="815">
                  <c:v>283</c:v>
                </c:pt>
                <c:pt idx="816">
                  <c:v>319</c:v>
                </c:pt>
                <c:pt idx="817">
                  <c:v>356</c:v>
                </c:pt>
                <c:pt idx="818">
                  <c:v>298</c:v>
                </c:pt>
                <c:pt idx="819">
                  <c:v>200</c:v>
                </c:pt>
                <c:pt idx="820">
                  <c:v>274</c:v>
                </c:pt>
                <c:pt idx="821">
                  <c:v>157</c:v>
                </c:pt>
                <c:pt idx="822">
                  <c:v>330</c:v>
                </c:pt>
                <c:pt idx="823">
                  <c:v>330</c:v>
                </c:pt>
                <c:pt idx="824">
                  <c:v>278</c:v>
                </c:pt>
                <c:pt idx="825">
                  <c:v>150</c:v>
                </c:pt>
                <c:pt idx="826">
                  <c:v>201</c:v>
                </c:pt>
                <c:pt idx="827">
                  <c:v>347</c:v>
                </c:pt>
                <c:pt idx="828">
                  <c:v>258</c:v>
                </c:pt>
                <c:pt idx="829">
                  <c:v>297</c:v>
                </c:pt>
                <c:pt idx="830">
                  <c:v>430</c:v>
                </c:pt>
                <c:pt idx="831">
                  <c:v>293</c:v>
                </c:pt>
                <c:pt idx="832">
                  <c:v>361</c:v>
                </c:pt>
                <c:pt idx="833">
                  <c:v>156</c:v>
                </c:pt>
                <c:pt idx="834">
                  <c:v>260</c:v>
                </c:pt>
                <c:pt idx="835">
                  <c:v>348</c:v>
                </c:pt>
                <c:pt idx="836">
                  <c:v>163</c:v>
                </c:pt>
                <c:pt idx="837">
                  <c:v>241</c:v>
                </c:pt>
                <c:pt idx="838">
                  <c:v>203</c:v>
                </c:pt>
                <c:pt idx="839">
                  <c:v>249</c:v>
                </c:pt>
                <c:pt idx="840">
                  <c:v>268</c:v>
                </c:pt>
                <c:pt idx="841">
                  <c:v>254</c:v>
                </c:pt>
                <c:pt idx="842">
                  <c:v>333</c:v>
                </c:pt>
                <c:pt idx="843">
                  <c:v>234</c:v>
                </c:pt>
                <c:pt idx="844">
                  <c:v>254</c:v>
                </c:pt>
                <c:pt idx="845">
                  <c:v>200</c:v>
                </c:pt>
                <c:pt idx="846">
                  <c:v>288</c:v>
                </c:pt>
                <c:pt idx="847">
                  <c:v>304</c:v>
                </c:pt>
                <c:pt idx="848">
                  <c:v>299</c:v>
                </c:pt>
                <c:pt idx="849">
                  <c:v>217</c:v>
                </c:pt>
                <c:pt idx="850">
                  <c:v>271</c:v>
                </c:pt>
                <c:pt idx="851">
                  <c:v>313</c:v>
                </c:pt>
                <c:pt idx="852">
                  <c:v>280</c:v>
                </c:pt>
                <c:pt idx="853">
                  <c:v>267</c:v>
                </c:pt>
                <c:pt idx="854">
                  <c:v>314</c:v>
                </c:pt>
                <c:pt idx="855">
                  <c:v>295</c:v>
                </c:pt>
                <c:pt idx="856">
                  <c:v>405</c:v>
                </c:pt>
                <c:pt idx="857">
                  <c:v>301</c:v>
                </c:pt>
                <c:pt idx="858">
                  <c:v>283</c:v>
                </c:pt>
                <c:pt idx="859">
                  <c:v>192</c:v>
                </c:pt>
                <c:pt idx="860">
                  <c:v>277</c:v>
                </c:pt>
                <c:pt idx="861">
                  <c:v>207</c:v>
                </c:pt>
                <c:pt idx="862">
                  <c:v>340</c:v>
                </c:pt>
                <c:pt idx="863">
                  <c:v>319</c:v>
                </c:pt>
                <c:pt idx="864">
                  <c:v>240</c:v>
                </c:pt>
                <c:pt idx="865">
                  <c:v>255</c:v>
                </c:pt>
                <c:pt idx="866">
                  <c:v>274</c:v>
                </c:pt>
                <c:pt idx="867">
                  <c:v>203</c:v>
                </c:pt>
                <c:pt idx="868">
                  <c:v>321</c:v>
                </c:pt>
                <c:pt idx="869">
                  <c:v>281</c:v>
                </c:pt>
                <c:pt idx="870">
                  <c:v>237</c:v>
                </c:pt>
                <c:pt idx="871">
                  <c:v>235</c:v>
                </c:pt>
                <c:pt idx="872">
                  <c:v>390</c:v>
                </c:pt>
                <c:pt idx="873">
                  <c:v>212</c:v>
                </c:pt>
                <c:pt idx="874">
                  <c:v>193</c:v>
                </c:pt>
                <c:pt idx="875">
                  <c:v>301</c:v>
                </c:pt>
                <c:pt idx="876">
                  <c:v>258</c:v>
                </c:pt>
                <c:pt idx="877">
                  <c:v>209</c:v>
                </c:pt>
                <c:pt idx="878">
                  <c:v>265</c:v>
                </c:pt>
                <c:pt idx="879">
                  <c:v>283</c:v>
                </c:pt>
                <c:pt idx="880">
                  <c:v>217</c:v>
                </c:pt>
                <c:pt idx="881">
                  <c:v>224</c:v>
                </c:pt>
                <c:pt idx="882">
                  <c:v>370</c:v>
                </c:pt>
                <c:pt idx="883">
                  <c:v>350</c:v>
                </c:pt>
                <c:pt idx="884">
                  <c:v>274</c:v>
                </c:pt>
                <c:pt idx="885">
                  <c:v>307</c:v>
                </c:pt>
                <c:pt idx="886">
                  <c:v>258</c:v>
                </c:pt>
                <c:pt idx="887">
                  <c:v>268</c:v>
                </c:pt>
                <c:pt idx="888">
                  <c:v>299</c:v>
                </c:pt>
                <c:pt idx="889">
                  <c:v>308</c:v>
                </c:pt>
                <c:pt idx="890">
                  <c:v>331</c:v>
                </c:pt>
                <c:pt idx="891">
                  <c:v>195</c:v>
                </c:pt>
                <c:pt idx="892">
                  <c:v>305</c:v>
                </c:pt>
                <c:pt idx="893">
                  <c:v>334</c:v>
                </c:pt>
                <c:pt idx="894">
                  <c:v>181</c:v>
                </c:pt>
                <c:pt idx="895">
                  <c:v>253</c:v>
                </c:pt>
                <c:pt idx="896">
                  <c:v>251</c:v>
                </c:pt>
                <c:pt idx="897">
                  <c:v>269</c:v>
                </c:pt>
                <c:pt idx="898">
                  <c:v>261</c:v>
                </c:pt>
                <c:pt idx="899">
                  <c:v>395</c:v>
                </c:pt>
                <c:pt idx="900">
                  <c:v>302</c:v>
                </c:pt>
                <c:pt idx="901">
                  <c:v>166</c:v>
                </c:pt>
                <c:pt idx="902">
                  <c:v>153</c:v>
                </c:pt>
                <c:pt idx="903">
                  <c:v>407</c:v>
                </c:pt>
                <c:pt idx="904">
                  <c:v>231</c:v>
                </c:pt>
                <c:pt idx="905">
                  <c:v>247</c:v>
                </c:pt>
                <c:pt idx="906">
                  <c:v>207</c:v>
                </c:pt>
                <c:pt idx="907">
                  <c:v>277</c:v>
                </c:pt>
                <c:pt idx="908">
                  <c:v>249</c:v>
                </c:pt>
                <c:pt idx="909">
                  <c:v>248</c:v>
                </c:pt>
                <c:pt idx="910">
                  <c:v>267</c:v>
                </c:pt>
                <c:pt idx="911">
                  <c:v>171</c:v>
                </c:pt>
                <c:pt idx="912">
                  <c:v>232</c:v>
                </c:pt>
                <c:pt idx="913">
                  <c:v>225</c:v>
                </c:pt>
                <c:pt idx="914">
                  <c:v>257</c:v>
                </c:pt>
                <c:pt idx="915">
                  <c:v>312</c:v>
                </c:pt>
                <c:pt idx="916">
                  <c:v>188</c:v>
                </c:pt>
                <c:pt idx="917">
                  <c:v>381</c:v>
                </c:pt>
                <c:pt idx="918">
                  <c:v>423</c:v>
                </c:pt>
                <c:pt idx="919">
                  <c:v>153</c:v>
                </c:pt>
                <c:pt idx="920">
                  <c:v>281</c:v>
                </c:pt>
                <c:pt idx="921">
                  <c:v>195</c:v>
                </c:pt>
                <c:pt idx="922">
                  <c:v>268</c:v>
                </c:pt>
                <c:pt idx="923">
                  <c:v>304</c:v>
                </c:pt>
                <c:pt idx="924">
                  <c:v>290</c:v>
                </c:pt>
                <c:pt idx="925">
                  <c:v>190</c:v>
                </c:pt>
                <c:pt idx="926">
                  <c:v>362</c:v>
                </c:pt>
                <c:pt idx="927">
                  <c:v>209</c:v>
                </c:pt>
                <c:pt idx="928">
                  <c:v>409</c:v>
                </c:pt>
                <c:pt idx="929">
                  <c:v>150</c:v>
                </c:pt>
                <c:pt idx="930">
                  <c:v>235</c:v>
                </c:pt>
                <c:pt idx="931">
                  <c:v>248</c:v>
                </c:pt>
                <c:pt idx="932">
                  <c:v>383</c:v>
                </c:pt>
                <c:pt idx="933">
                  <c:v>218</c:v>
                </c:pt>
                <c:pt idx="934">
                  <c:v>270</c:v>
                </c:pt>
                <c:pt idx="935">
                  <c:v>238</c:v>
                </c:pt>
                <c:pt idx="936">
                  <c:v>281</c:v>
                </c:pt>
                <c:pt idx="937">
                  <c:v>280</c:v>
                </c:pt>
                <c:pt idx="938">
                  <c:v>345</c:v>
                </c:pt>
                <c:pt idx="939">
                  <c:v>350</c:v>
                </c:pt>
                <c:pt idx="940">
                  <c:v>242</c:v>
                </c:pt>
                <c:pt idx="941">
                  <c:v>278</c:v>
                </c:pt>
                <c:pt idx="942">
                  <c:v>316</c:v>
                </c:pt>
                <c:pt idx="943">
                  <c:v>357</c:v>
                </c:pt>
                <c:pt idx="944">
                  <c:v>177</c:v>
                </c:pt>
                <c:pt idx="945">
                  <c:v>220</c:v>
                </c:pt>
                <c:pt idx="946">
                  <c:v>178</c:v>
                </c:pt>
                <c:pt idx="947">
                  <c:v>150</c:v>
                </c:pt>
                <c:pt idx="948">
                  <c:v>250</c:v>
                </c:pt>
                <c:pt idx="949">
                  <c:v>194</c:v>
                </c:pt>
                <c:pt idx="950">
                  <c:v>170</c:v>
                </c:pt>
                <c:pt idx="951">
                  <c:v>337</c:v>
                </c:pt>
                <c:pt idx="952">
                  <c:v>153</c:v>
                </c:pt>
                <c:pt idx="953">
                  <c:v>249</c:v>
                </c:pt>
                <c:pt idx="954">
                  <c:v>197</c:v>
                </c:pt>
                <c:pt idx="955">
                  <c:v>217</c:v>
                </c:pt>
                <c:pt idx="956">
                  <c:v>252</c:v>
                </c:pt>
                <c:pt idx="957">
                  <c:v>172</c:v>
                </c:pt>
                <c:pt idx="958">
                  <c:v>286</c:v>
                </c:pt>
                <c:pt idx="959">
                  <c:v>308</c:v>
                </c:pt>
                <c:pt idx="960">
                  <c:v>409</c:v>
                </c:pt>
                <c:pt idx="961">
                  <c:v>304</c:v>
                </c:pt>
                <c:pt idx="962">
                  <c:v>224</c:v>
                </c:pt>
                <c:pt idx="963">
                  <c:v>264</c:v>
                </c:pt>
                <c:pt idx="964">
                  <c:v>307</c:v>
                </c:pt>
                <c:pt idx="965">
                  <c:v>330</c:v>
                </c:pt>
                <c:pt idx="966">
                  <c:v>176</c:v>
                </c:pt>
                <c:pt idx="967">
                  <c:v>285</c:v>
                </c:pt>
                <c:pt idx="968">
                  <c:v>369</c:v>
                </c:pt>
                <c:pt idx="969">
                  <c:v>399</c:v>
                </c:pt>
                <c:pt idx="970">
                  <c:v>168</c:v>
                </c:pt>
                <c:pt idx="971">
                  <c:v>277</c:v>
                </c:pt>
                <c:pt idx="972">
                  <c:v>300</c:v>
                </c:pt>
                <c:pt idx="973">
                  <c:v>365</c:v>
                </c:pt>
                <c:pt idx="974">
                  <c:v>350</c:v>
                </c:pt>
                <c:pt idx="975">
                  <c:v>214</c:v>
                </c:pt>
                <c:pt idx="976">
                  <c:v>351</c:v>
                </c:pt>
                <c:pt idx="977">
                  <c:v>272</c:v>
                </c:pt>
                <c:pt idx="978">
                  <c:v>184</c:v>
                </c:pt>
                <c:pt idx="979">
                  <c:v>150</c:v>
                </c:pt>
                <c:pt idx="980">
                  <c:v>150</c:v>
                </c:pt>
                <c:pt idx="981">
                  <c:v>207</c:v>
                </c:pt>
                <c:pt idx="982">
                  <c:v>203</c:v>
                </c:pt>
                <c:pt idx="983">
                  <c:v>309</c:v>
                </c:pt>
                <c:pt idx="984">
                  <c:v>326</c:v>
                </c:pt>
                <c:pt idx="985">
                  <c:v>161</c:v>
                </c:pt>
                <c:pt idx="986">
                  <c:v>232</c:v>
                </c:pt>
                <c:pt idx="987">
                  <c:v>150</c:v>
                </c:pt>
                <c:pt idx="988">
                  <c:v>235</c:v>
                </c:pt>
                <c:pt idx="989">
                  <c:v>309</c:v>
                </c:pt>
                <c:pt idx="990">
                  <c:v>197</c:v>
                </c:pt>
                <c:pt idx="991">
                  <c:v>369</c:v>
                </c:pt>
                <c:pt idx="992">
                  <c:v>290</c:v>
                </c:pt>
                <c:pt idx="993">
                  <c:v>342</c:v>
                </c:pt>
                <c:pt idx="994">
                  <c:v>170</c:v>
                </c:pt>
                <c:pt idx="995">
                  <c:v>150</c:v>
                </c:pt>
                <c:pt idx="996">
                  <c:v>216</c:v>
                </c:pt>
                <c:pt idx="997">
                  <c:v>290</c:v>
                </c:pt>
                <c:pt idx="998">
                  <c:v>208</c:v>
                </c:pt>
                <c:pt idx="999">
                  <c:v>227</c:v>
                </c:pt>
                <c:pt idx="1000">
                  <c:v>365</c:v>
                </c:pt>
                <c:pt idx="1001">
                  <c:v>181</c:v>
                </c:pt>
                <c:pt idx="1002">
                  <c:v>243</c:v>
                </c:pt>
                <c:pt idx="1003">
                  <c:v>303</c:v>
                </c:pt>
                <c:pt idx="1004">
                  <c:v>322</c:v>
                </c:pt>
                <c:pt idx="1005">
                  <c:v>177</c:v>
                </c:pt>
                <c:pt idx="1006">
                  <c:v>232</c:v>
                </c:pt>
                <c:pt idx="1007">
                  <c:v>328</c:v>
                </c:pt>
                <c:pt idx="1008">
                  <c:v>273</c:v>
                </c:pt>
                <c:pt idx="1009">
                  <c:v>214</c:v>
                </c:pt>
                <c:pt idx="1010">
                  <c:v>363</c:v>
                </c:pt>
                <c:pt idx="1011">
                  <c:v>291</c:v>
                </c:pt>
                <c:pt idx="1012">
                  <c:v>203</c:v>
                </c:pt>
                <c:pt idx="1013">
                  <c:v>197</c:v>
                </c:pt>
                <c:pt idx="1014">
                  <c:v>214</c:v>
                </c:pt>
                <c:pt idx="1015">
                  <c:v>358</c:v>
                </c:pt>
                <c:pt idx="1016">
                  <c:v>177</c:v>
                </c:pt>
                <c:pt idx="1017">
                  <c:v>240</c:v>
                </c:pt>
                <c:pt idx="1018">
                  <c:v>263</c:v>
                </c:pt>
                <c:pt idx="1019">
                  <c:v>267</c:v>
                </c:pt>
                <c:pt idx="1020">
                  <c:v>150</c:v>
                </c:pt>
                <c:pt idx="1021">
                  <c:v>344</c:v>
                </c:pt>
                <c:pt idx="1022">
                  <c:v>172</c:v>
                </c:pt>
                <c:pt idx="1023">
                  <c:v>296</c:v>
                </c:pt>
                <c:pt idx="1024">
                  <c:v>336</c:v>
                </c:pt>
                <c:pt idx="1025">
                  <c:v>150</c:v>
                </c:pt>
                <c:pt idx="1026">
                  <c:v>250</c:v>
                </c:pt>
                <c:pt idx="1027">
                  <c:v>257</c:v>
                </c:pt>
                <c:pt idx="1028">
                  <c:v>221</c:v>
                </c:pt>
                <c:pt idx="1029">
                  <c:v>223</c:v>
                </c:pt>
                <c:pt idx="1030">
                  <c:v>150</c:v>
                </c:pt>
                <c:pt idx="1031">
                  <c:v>152</c:v>
                </c:pt>
                <c:pt idx="1032">
                  <c:v>261</c:v>
                </c:pt>
                <c:pt idx="1033">
                  <c:v>216</c:v>
                </c:pt>
                <c:pt idx="1034">
                  <c:v>360</c:v>
                </c:pt>
                <c:pt idx="1035">
                  <c:v>376</c:v>
                </c:pt>
                <c:pt idx="1036">
                  <c:v>170</c:v>
                </c:pt>
                <c:pt idx="1037">
                  <c:v>379</c:v>
                </c:pt>
                <c:pt idx="1038">
                  <c:v>274</c:v>
                </c:pt>
                <c:pt idx="1039">
                  <c:v>253</c:v>
                </c:pt>
                <c:pt idx="1040">
                  <c:v>345</c:v>
                </c:pt>
                <c:pt idx="1041">
                  <c:v>237</c:v>
                </c:pt>
                <c:pt idx="1042">
                  <c:v>173</c:v>
                </c:pt>
                <c:pt idx="1043">
                  <c:v>364</c:v>
                </c:pt>
                <c:pt idx="1044">
                  <c:v>360</c:v>
                </c:pt>
                <c:pt idx="1045">
                  <c:v>279</c:v>
                </c:pt>
                <c:pt idx="1046">
                  <c:v>268</c:v>
                </c:pt>
                <c:pt idx="1047">
                  <c:v>215</c:v>
                </c:pt>
                <c:pt idx="1048">
                  <c:v>262</c:v>
                </c:pt>
                <c:pt idx="1049">
                  <c:v>150</c:v>
                </c:pt>
                <c:pt idx="1050">
                  <c:v>396</c:v>
                </c:pt>
                <c:pt idx="1051">
                  <c:v>269</c:v>
                </c:pt>
                <c:pt idx="1052">
                  <c:v>218</c:v>
                </c:pt>
                <c:pt idx="1053">
                  <c:v>396</c:v>
                </c:pt>
                <c:pt idx="1054">
                  <c:v>243</c:v>
                </c:pt>
                <c:pt idx="1055">
                  <c:v>237</c:v>
                </c:pt>
                <c:pt idx="1056">
                  <c:v>215</c:v>
                </c:pt>
                <c:pt idx="1057">
                  <c:v>383</c:v>
                </c:pt>
                <c:pt idx="1058">
                  <c:v>285</c:v>
                </c:pt>
                <c:pt idx="1059">
                  <c:v>191</c:v>
                </c:pt>
                <c:pt idx="1060">
                  <c:v>208</c:v>
                </c:pt>
                <c:pt idx="1061">
                  <c:v>234</c:v>
                </c:pt>
                <c:pt idx="1062">
                  <c:v>191</c:v>
                </c:pt>
                <c:pt idx="1063">
                  <c:v>369</c:v>
                </c:pt>
                <c:pt idx="1064">
                  <c:v>333</c:v>
                </c:pt>
                <c:pt idx="1065">
                  <c:v>204</c:v>
                </c:pt>
                <c:pt idx="1066">
                  <c:v>260</c:v>
                </c:pt>
                <c:pt idx="1067">
                  <c:v>339</c:v>
                </c:pt>
                <c:pt idx="1068">
                  <c:v>331</c:v>
                </c:pt>
                <c:pt idx="1069">
                  <c:v>271</c:v>
                </c:pt>
                <c:pt idx="1070">
                  <c:v>349</c:v>
                </c:pt>
                <c:pt idx="1071">
                  <c:v>348</c:v>
                </c:pt>
                <c:pt idx="1072">
                  <c:v>338</c:v>
                </c:pt>
                <c:pt idx="1073">
                  <c:v>314</c:v>
                </c:pt>
                <c:pt idx="1074">
                  <c:v>213</c:v>
                </c:pt>
                <c:pt idx="1075">
                  <c:v>158</c:v>
                </c:pt>
                <c:pt idx="1076">
                  <c:v>226</c:v>
                </c:pt>
                <c:pt idx="1077">
                  <c:v>257</c:v>
                </c:pt>
                <c:pt idx="1078">
                  <c:v>331</c:v>
                </c:pt>
                <c:pt idx="1079">
                  <c:v>314</c:v>
                </c:pt>
                <c:pt idx="1080">
                  <c:v>258</c:v>
                </c:pt>
                <c:pt idx="1081">
                  <c:v>178</c:v>
                </c:pt>
                <c:pt idx="1082">
                  <c:v>297</c:v>
                </c:pt>
                <c:pt idx="1083">
                  <c:v>384</c:v>
                </c:pt>
                <c:pt idx="1084">
                  <c:v>199</c:v>
                </c:pt>
                <c:pt idx="1085">
                  <c:v>256</c:v>
                </c:pt>
                <c:pt idx="1086">
                  <c:v>269</c:v>
                </c:pt>
                <c:pt idx="1087">
                  <c:v>253</c:v>
                </c:pt>
                <c:pt idx="1088">
                  <c:v>373</c:v>
                </c:pt>
                <c:pt idx="1089">
                  <c:v>209</c:v>
                </c:pt>
                <c:pt idx="1090">
                  <c:v>383</c:v>
                </c:pt>
                <c:pt idx="1091">
                  <c:v>287</c:v>
                </c:pt>
                <c:pt idx="1092">
                  <c:v>294</c:v>
                </c:pt>
                <c:pt idx="1093">
                  <c:v>241</c:v>
                </c:pt>
                <c:pt idx="1094">
                  <c:v>308</c:v>
                </c:pt>
                <c:pt idx="1095">
                  <c:v>150</c:v>
                </c:pt>
                <c:pt idx="1096">
                  <c:v>208</c:v>
                </c:pt>
                <c:pt idx="1097">
                  <c:v>314</c:v>
                </c:pt>
                <c:pt idx="1098">
                  <c:v>213</c:v>
                </c:pt>
                <c:pt idx="1099">
                  <c:v>210</c:v>
                </c:pt>
                <c:pt idx="1100">
                  <c:v>397</c:v>
                </c:pt>
                <c:pt idx="1101">
                  <c:v>193</c:v>
                </c:pt>
                <c:pt idx="1102">
                  <c:v>305</c:v>
                </c:pt>
                <c:pt idx="1103">
                  <c:v>249</c:v>
                </c:pt>
                <c:pt idx="1104">
                  <c:v>316</c:v>
                </c:pt>
                <c:pt idx="1105">
                  <c:v>242</c:v>
                </c:pt>
                <c:pt idx="1106">
                  <c:v>357</c:v>
                </c:pt>
                <c:pt idx="1107">
                  <c:v>150</c:v>
                </c:pt>
                <c:pt idx="1108">
                  <c:v>262</c:v>
                </c:pt>
                <c:pt idx="1109">
                  <c:v>287</c:v>
                </c:pt>
                <c:pt idx="1110">
                  <c:v>415</c:v>
                </c:pt>
                <c:pt idx="1111">
                  <c:v>282</c:v>
                </c:pt>
                <c:pt idx="1112">
                  <c:v>315</c:v>
                </c:pt>
                <c:pt idx="1113">
                  <c:v>217</c:v>
                </c:pt>
                <c:pt idx="1114">
                  <c:v>150</c:v>
                </c:pt>
                <c:pt idx="1115">
                  <c:v>333</c:v>
                </c:pt>
                <c:pt idx="1116">
                  <c:v>391</c:v>
                </c:pt>
                <c:pt idx="1117">
                  <c:v>310</c:v>
                </c:pt>
                <c:pt idx="1118">
                  <c:v>232</c:v>
                </c:pt>
                <c:pt idx="1119">
                  <c:v>150</c:v>
                </c:pt>
                <c:pt idx="1120">
                  <c:v>293</c:v>
                </c:pt>
                <c:pt idx="1121">
                  <c:v>238</c:v>
                </c:pt>
                <c:pt idx="1122">
                  <c:v>165</c:v>
                </c:pt>
                <c:pt idx="1123">
                  <c:v>280</c:v>
                </c:pt>
                <c:pt idx="1124">
                  <c:v>193</c:v>
                </c:pt>
                <c:pt idx="1125">
                  <c:v>275</c:v>
                </c:pt>
                <c:pt idx="1126">
                  <c:v>150</c:v>
                </c:pt>
                <c:pt idx="1127">
                  <c:v>274</c:v>
                </c:pt>
                <c:pt idx="1128">
                  <c:v>190</c:v>
                </c:pt>
                <c:pt idx="1129">
                  <c:v>173</c:v>
                </c:pt>
                <c:pt idx="1130">
                  <c:v>150</c:v>
                </c:pt>
                <c:pt idx="1131">
                  <c:v>283</c:v>
                </c:pt>
                <c:pt idx="1132">
                  <c:v>224</c:v>
                </c:pt>
                <c:pt idx="1133">
                  <c:v>178</c:v>
                </c:pt>
                <c:pt idx="1134">
                  <c:v>288</c:v>
                </c:pt>
                <c:pt idx="1135">
                  <c:v>237</c:v>
                </c:pt>
                <c:pt idx="1136">
                  <c:v>157</c:v>
                </c:pt>
                <c:pt idx="1137">
                  <c:v>196</c:v>
                </c:pt>
                <c:pt idx="1138">
                  <c:v>353</c:v>
                </c:pt>
                <c:pt idx="1139">
                  <c:v>218</c:v>
                </c:pt>
                <c:pt idx="1140">
                  <c:v>162</c:v>
                </c:pt>
                <c:pt idx="1141">
                  <c:v>150</c:v>
                </c:pt>
                <c:pt idx="1142">
                  <c:v>152</c:v>
                </c:pt>
                <c:pt idx="1143">
                  <c:v>376</c:v>
                </c:pt>
                <c:pt idx="1144">
                  <c:v>205</c:v>
                </c:pt>
                <c:pt idx="1145">
                  <c:v>223</c:v>
                </c:pt>
                <c:pt idx="1146">
                  <c:v>150</c:v>
                </c:pt>
                <c:pt idx="1147">
                  <c:v>426</c:v>
                </c:pt>
                <c:pt idx="1148">
                  <c:v>179</c:v>
                </c:pt>
                <c:pt idx="1149">
                  <c:v>189</c:v>
                </c:pt>
                <c:pt idx="1150">
                  <c:v>282</c:v>
                </c:pt>
                <c:pt idx="1151">
                  <c:v>253</c:v>
                </c:pt>
                <c:pt idx="1152">
                  <c:v>287</c:v>
                </c:pt>
                <c:pt idx="1153">
                  <c:v>366</c:v>
                </c:pt>
                <c:pt idx="1154">
                  <c:v>270</c:v>
                </c:pt>
                <c:pt idx="1155">
                  <c:v>165</c:v>
                </c:pt>
                <c:pt idx="1156">
                  <c:v>353</c:v>
                </c:pt>
                <c:pt idx="1157">
                  <c:v>166</c:v>
                </c:pt>
                <c:pt idx="1158">
                  <c:v>365</c:v>
                </c:pt>
                <c:pt idx="1159">
                  <c:v>297</c:v>
                </c:pt>
                <c:pt idx="1160">
                  <c:v>225</c:v>
                </c:pt>
                <c:pt idx="1161">
                  <c:v>175</c:v>
                </c:pt>
                <c:pt idx="1162">
                  <c:v>376</c:v>
                </c:pt>
                <c:pt idx="1163">
                  <c:v>186</c:v>
                </c:pt>
                <c:pt idx="1164">
                  <c:v>172</c:v>
                </c:pt>
                <c:pt idx="1165">
                  <c:v>262</c:v>
                </c:pt>
                <c:pt idx="1166">
                  <c:v>265</c:v>
                </c:pt>
                <c:pt idx="1167">
                  <c:v>154</c:v>
                </c:pt>
                <c:pt idx="1168">
                  <c:v>319</c:v>
                </c:pt>
                <c:pt idx="1169">
                  <c:v>188</c:v>
                </c:pt>
                <c:pt idx="1170">
                  <c:v>227</c:v>
                </c:pt>
                <c:pt idx="1171">
                  <c:v>204</c:v>
                </c:pt>
                <c:pt idx="1172">
                  <c:v>258</c:v>
                </c:pt>
                <c:pt idx="1173">
                  <c:v>180</c:v>
                </c:pt>
                <c:pt idx="1174">
                  <c:v>257</c:v>
                </c:pt>
                <c:pt idx="1175">
                  <c:v>288</c:v>
                </c:pt>
                <c:pt idx="1176">
                  <c:v>263</c:v>
                </c:pt>
                <c:pt idx="1177">
                  <c:v>211</c:v>
                </c:pt>
                <c:pt idx="1178">
                  <c:v>244</c:v>
                </c:pt>
                <c:pt idx="1179">
                  <c:v>278</c:v>
                </c:pt>
                <c:pt idx="1180">
                  <c:v>257</c:v>
                </c:pt>
                <c:pt idx="1181">
                  <c:v>346</c:v>
                </c:pt>
                <c:pt idx="1182">
                  <c:v>277</c:v>
                </c:pt>
                <c:pt idx="1183">
                  <c:v>263</c:v>
                </c:pt>
                <c:pt idx="1184">
                  <c:v>249</c:v>
                </c:pt>
                <c:pt idx="1185">
                  <c:v>171</c:v>
                </c:pt>
                <c:pt idx="1186">
                  <c:v>276</c:v>
                </c:pt>
                <c:pt idx="1187">
                  <c:v>277</c:v>
                </c:pt>
                <c:pt idx="1188">
                  <c:v>166</c:v>
                </c:pt>
                <c:pt idx="1189">
                  <c:v>279</c:v>
                </c:pt>
                <c:pt idx="1190">
                  <c:v>164</c:v>
                </c:pt>
                <c:pt idx="1191">
                  <c:v>371</c:v>
                </c:pt>
                <c:pt idx="1192">
                  <c:v>260</c:v>
                </c:pt>
                <c:pt idx="1193">
                  <c:v>263</c:v>
                </c:pt>
                <c:pt idx="1194">
                  <c:v>230</c:v>
                </c:pt>
                <c:pt idx="1195">
                  <c:v>347</c:v>
                </c:pt>
                <c:pt idx="1196">
                  <c:v>402</c:v>
                </c:pt>
                <c:pt idx="1197">
                  <c:v>313</c:v>
                </c:pt>
                <c:pt idx="1198">
                  <c:v>150</c:v>
                </c:pt>
                <c:pt idx="1199">
                  <c:v>305</c:v>
                </c:pt>
                <c:pt idx="1200">
                  <c:v>168</c:v>
                </c:pt>
                <c:pt idx="1201">
                  <c:v>280</c:v>
                </c:pt>
                <c:pt idx="1202">
                  <c:v>400</c:v>
                </c:pt>
                <c:pt idx="1203">
                  <c:v>261</c:v>
                </c:pt>
                <c:pt idx="1204">
                  <c:v>367</c:v>
                </c:pt>
                <c:pt idx="1205">
                  <c:v>189</c:v>
                </c:pt>
                <c:pt idx="1206">
                  <c:v>304</c:v>
                </c:pt>
                <c:pt idx="1207">
                  <c:v>213</c:v>
                </c:pt>
                <c:pt idx="1208">
                  <c:v>150</c:v>
                </c:pt>
                <c:pt idx="1209">
                  <c:v>190</c:v>
                </c:pt>
                <c:pt idx="1210">
                  <c:v>198</c:v>
                </c:pt>
                <c:pt idx="1211">
                  <c:v>187</c:v>
                </c:pt>
                <c:pt idx="1212">
                  <c:v>305</c:v>
                </c:pt>
                <c:pt idx="1213">
                  <c:v>393</c:v>
                </c:pt>
                <c:pt idx="1214">
                  <c:v>150</c:v>
                </c:pt>
                <c:pt idx="1215">
                  <c:v>315</c:v>
                </c:pt>
                <c:pt idx="1216">
                  <c:v>329</c:v>
                </c:pt>
                <c:pt idx="1217">
                  <c:v>261</c:v>
                </c:pt>
                <c:pt idx="1218">
                  <c:v>296</c:v>
                </c:pt>
                <c:pt idx="1219">
                  <c:v>278</c:v>
                </c:pt>
                <c:pt idx="1220">
                  <c:v>233</c:v>
                </c:pt>
                <c:pt idx="1221">
                  <c:v>317</c:v>
                </c:pt>
                <c:pt idx="1222">
                  <c:v>282</c:v>
                </c:pt>
                <c:pt idx="1223">
                  <c:v>161</c:v>
                </c:pt>
                <c:pt idx="1224">
                  <c:v>264</c:v>
                </c:pt>
                <c:pt idx="1225">
                  <c:v>423</c:v>
                </c:pt>
                <c:pt idx="1226">
                  <c:v>399</c:v>
                </c:pt>
                <c:pt idx="1227">
                  <c:v>321</c:v>
                </c:pt>
                <c:pt idx="1228">
                  <c:v>257</c:v>
                </c:pt>
                <c:pt idx="1229">
                  <c:v>290</c:v>
                </c:pt>
                <c:pt idx="1230">
                  <c:v>254</c:v>
                </c:pt>
                <c:pt idx="1231">
                  <c:v>391</c:v>
                </c:pt>
                <c:pt idx="1232">
                  <c:v>270</c:v>
                </c:pt>
                <c:pt idx="1233">
                  <c:v>300</c:v>
                </c:pt>
                <c:pt idx="1234">
                  <c:v>242</c:v>
                </c:pt>
                <c:pt idx="1235">
                  <c:v>282</c:v>
                </c:pt>
                <c:pt idx="1236">
                  <c:v>200</c:v>
                </c:pt>
                <c:pt idx="1237">
                  <c:v>358</c:v>
                </c:pt>
                <c:pt idx="1238">
                  <c:v>270</c:v>
                </c:pt>
                <c:pt idx="1239">
                  <c:v>197</c:v>
                </c:pt>
                <c:pt idx="1240">
                  <c:v>216</c:v>
                </c:pt>
                <c:pt idx="1241">
                  <c:v>194</c:v>
                </c:pt>
                <c:pt idx="1242">
                  <c:v>299</c:v>
                </c:pt>
                <c:pt idx="1243">
                  <c:v>281</c:v>
                </c:pt>
                <c:pt idx="1244">
                  <c:v>277</c:v>
                </c:pt>
                <c:pt idx="1245">
                  <c:v>249</c:v>
                </c:pt>
                <c:pt idx="1246">
                  <c:v>287</c:v>
                </c:pt>
                <c:pt idx="1247">
                  <c:v>281</c:v>
                </c:pt>
                <c:pt idx="1248">
                  <c:v>248</c:v>
                </c:pt>
                <c:pt idx="1249">
                  <c:v>257</c:v>
                </c:pt>
                <c:pt idx="1250">
                  <c:v>342</c:v>
                </c:pt>
                <c:pt idx="1251">
                  <c:v>288</c:v>
                </c:pt>
                <c:pt idx="1252">
                  <c:v>197</c:v>
                </c:pt>
                <c:pt idx="1253">
                  <c:v>336</c:v>
                </c:pt>
                <c:pt idx="1254">
                  <c:v>164</c:v>
                </c:pt>
                <c:pt idx="1255">
                  <c:v>261</c:v>
                </c:pt>
                <c:pt idx="1256">
                  <c:v>189</c:v>
                </c:pt>
                <c:pt idx="1257">
                  <c:v>357</c:v>
                </c:pt>
                <c:pt idx="1258">
                  <c:v>262</c:v>
                </c:pt>
                <c:pt idx="1259">
                  <c:v>177</c:v>
                </c:pt>
                <c:pt idx="1260">
                  <c:v>162</c:v>
                </c:pt>
                <c:pt idx="1261">
                  <c:v>233</c:v>
                </c:pt>
                <c:pt idx="1262">
                  <c:v>294</c:v>
                </c:pt>
                <c:pt idx="1263">
                  <c:v>179</c:v>
                </c:pt>
                <c:pt idx="1264">
                  <c:v>373</c:v>
                </c:pt>
                <c:pt idx="1265">
                  <c:v>300</c:v>
                </c:pt>
                <c:pt idx="1266">
                  <c:v>350</c:v>
                </c:pt>
                <c:pt idx="1267">
                  <c:v>285</c:v>
                </c:pt>
                <c:pt idx="1268">
                  <c:v>391</c:v>
                </c:pt>
                <c:pt idx="1269">
                  <c:v>290</c:v>
                </c:pt>
                <c:pt idx="1270">
                  <c:v>389</c:v>
                </c:pt>
                <c:pt idx="1271">
                  <c:v>286</c:v>
                </c:pt>
                <c:pt idx="1272">
                  <c:v>176</c:v>
                </c:pt>
                <c:pt idx="1273">
                  <c:v>269</c:v>
                </c:pt>
                <c:pt idx="1274">
                  <c:v>286</c:v>
                </c:pt>
                <c:pt idx="1275">
                  <c:v>345</c:v>
                </c:pt>
                <c:pt idx="1276">
                  <c:v>378</c:v>
                </c:pt>
                <c:pt idx="1277">
                  <c:v>281</c:v>
                </c:pt>
                <c:pt idx="1278">
                  <c:v>181</c:v>
                </c:pt>
                <c:pt idx="1279">
                  <c:v>259</c:v>
                </c:pt>
                <c:pt idx="1280">
                  <c:v>334</c:v>
                </c:pt>
                <c:pt idx="1281">
                  <c:v>172</c:v>
                </c:pt>
                <c:pt idx="1282">
                  <c:v>229</c:v>
                </c:pt>
                <c:pt idx="1283">
                  <c:v>218</c:v>
                </c:pt>
                <c:pt idx="1284">
                  <c:v>308</c:v>
                </c:pt>
                <c:pt idx="1285">
                  <c:v>253</c:v>
                </c:pt>
                <c:pt idx="1286">
                  <c:v>182</c:v>
                </c:pt>
                <c:pt idx="1287">
                  <c:v>191</c:v>
                </c:pt>
                <c:pt idx="1288">
                  <c:v>305</c:v>
                </c:pt>
                <c:pt idx="1289">
                  <c:v>319</c:v>
                </c:pt>
                <c:pt idx="1290">
                  <c:v>169</c:v>
                </c:pt>
                <c:pt idx="1291">
                  <c:v>212</c:v>
                </c:pt>
                <c:pt idx="1292">
                  <c:v>291</c:v>
                </c:pt>
                <c:pt idx="1293">
                  <c:v>334</c:v>
                </c:pt>
                <c:pt idx="1294">
                  <c:v>239</c:v>
                </c:pt>
                <c:pt idx="1295">
                  <c:v>164</c:v>
                </c:pt>
                <c:pt idx="1296">
                  <c:v>192</c:v>
                </c:pt>
                <c:pt idx="1297">
                  <c:v>362</c:v>
                </c:pt>
                <c:pt idx="1298">
                  <c:v>398</c:v>
                </c:pt>
                <c:pt idx="1299">
                  <c:v>274</c:v>
                </c:pt>
                <c:pt idx="1300">
                  <c:v>282</c:v>
                </c:pt>
                <c:pt idx="1301">
                  <c:v>174</c:v>
                </c:pt>
                <c:pt idx="1302">
                  <c:v>162</c:v>
                </c:pt>
                <c:pt idx="1303">
                  <c:v>150</c:v>
                </c:pt>
                <c:pt idx="1304">
                  <c:v>297</c:v>
                </c:pt>
                <c:pt idx="1305">
                  <c:v>323</c:v>
                </c:pt>
                <c:pt idx="1306">
                  <c:v>273</c:v>
                </c:pt>
                <c:pt idx="1307">
                  <c:v>221</c:v>
                </c:pt>
                <c:pt idx="1308">
                  <c:v>265</c:v>
                </c:pt>
                <c:pt idx="1309">
                  <c:v>186</c:v>
                </c:pt>
                <c:pt idx="1310">
                  <c:v>269</c:v>
                </c:pt>
                <c:pt idx="1311">
                  <c:v>180</c:v>
                </c:pt>
                <c:pt idx="1312">
                  <c:v>379</c:v>
                </c:pt>
                <c:pt idx="1313">
                  <c:v>281</c:v>
                </c:pt>
                <c:pt idx="1314">
                  <c:v>406</c:v>
                </c:pt>
                <c:pt idx="1315">
                  <c:v>254</c:v>
                </c:pt>
                <c:pt idx="1316">
                  <c:v>232</c:v>
                </c:pt>
                <c:pt idx="1317">
                  <c:v>282</c:v>
                </c:pt>
                <c:pt idx="1318">
                  <c:v>239</c:v>
                </c:pt>
                <c:pt idx="1319">
                  <c:v>204</c:v>
                </c:pt>
                <c:pt idx="1320">
                  <c:v>409</c:v>
                </c:pt>
                <c:pt idx="1321">
                  <c:v>200</c:v>
                </c:pt>
                <c:pt idx="1322">
                  <c:v>260</c:v>
                </c:pt>
                <c:pt idx="1323">
                  <c:v>369</c:v>
                </c:pt>
                <c:pt idx="1324">
                  <c:v>150</c:v>
                </c:pt>
                <c:pt idx="1325">
                  <c:v>383</c:v>
                </c:pt>
                <c:pt idx="1326">
                  <c:v>238</c:v>
                </c:pt>
                <c:pt idx="1327">
                  <c:v>344</c:v>
                </c:pt>
                <c:pt idx="1328">
                  <c:v>331</c:v>
                </c:pt>
                <c:pt idx="1329">
                  <c:v>259</c:v>
                </c:pt>
                <c:pt idx="1330">
                  <c:v>275</c:v>
                </c:pt>
                <c:pt idx="1331">
                  <c:v>299</c:v>
                </c:pt>
                <c:pt idx="1332">
                  <c:v>328</c:v>
                </c:pt>
                <c:pt idx="1333">
                  <c:v>150</c:v>
                </c:pt>
                <c:pt idx="1334">
                  <c:v>276</c:v>
                </c:pt>
                <c:pt idx="1335">
                  <c:v>240</c:v>
                </c:pt>
                <c:pt idx="1336">
                  <c:v>291</c:v>
                </c:pt>
                <c:pt idx="1337">
                  <c:v>276</c:v>
                </c:pt>
                <c:pt idx="1338">
                  <c:v>188</c:v>
                </c:pt>
                <c:pt idx="1339">
                  <c:v>162</c:v>
                </c:pt>
                <c:pt idx="1340">
                  <c:v>376</c:v>
                </c:pt>
                <c:pt idx="1341">
                  <c:v>284</c:v>
                </c:pt>
                <c:pt idx="1342">
                  <c:v>412</c:v>
                </c:pt>
                <c:pt idx="1343">
                  <c:v>331</c:v>
                </c:pt>
                <c:pt idx="1344">
                  <c:v>230</c:v>
                </c:pt>
                <c:pt idx="1345">
                  <c:v>184</c:v>
                </c:pt>
                <c:pt idx="1346">
                  <c:v>389</c:v>
                </c:pt>
                <c:pt idx="1347">
                  <c:v>352</c:v>
                </c:pt>
                <c:pt idx="1348">
                  <c:v>242</c:v>
                </c:pt>
                <c:pt idx="1349">
                  <c:v>225</c:v>
                </c:pt>
                <c:pt idx="1350">
                  <c:v>194</c:v>
                </c:pt>
                <c:pt idx="1351">
                  <c:v>180</c:v>
                </c:pt>
                <c:pt idx="1352">
                  <c:v>182</c:v>
                </c:pt>
                <c:pt idx="1353">
                  <c:v>242</c:v>
                </c:pt>
                <c:pt idx="1354">
                  <c:v>209</c:v>
                </c:pt>
                <c:pt idx="1355">
                  <c:v>241</c:v>
                </c:pt>
                <c:pt idx="1356">
                  <c:v>186</c:v>
                </c:pt>
                <c:pt idx="1357">
                  <c:v>237</c:v>
                </c:pt>
                <c:pt idx="1358">
                  <c:v>325</c:v>
                </c:pt>
                <c:pt idx="1359">
                  <c:v>254</c:v>
                </c:pt>
                <c:pt idx="1360">
                  <c:v>257</c:v>
                </c:pt>
                <c:pt idx="1361">
                  <c:v>240</c:v>
                </c:pt>
                <c:pt idx="1362">
                  <c:v>283</c:v>
                </c:pt>
                <c:pt idx="1363">
                  <c:v>308</c:v>
                </c:pt>
                <c:pt idx="1364">
                  <c:v>299</c:v>
                </c:pt>
                <c:pt idx="1365">
                  <c:v>240</c:v>
                </c:pt>
                <c:pt idx="1366">
                  <c:v>206</c:v>
                </c:pt>
                <c:pt idx="1367">
                  <c:v>265</c:v>
                </c:pt>
                <c:pt idx="1368">
                  <c:v>322</c:v>
                </c:pt>
                <c:pt idx="1369">
                  <c:v>150</c:v>
                </c:pt>
                <c:pt idx="1370">
                  <c:v>297</c:v>
                </c:pt>
                <c:pt idx="1371">
                  <c:v>277</c:v>
                </c:pt>
                <c:pt idx="1372">
                  <c:v>267</c:v>
                </c:pt>
                <c:pt idx="1373">
                  <c:v>240</c:v>
                </c:pt>
                <c:pt idx="1374">
                  <c:v>334</c:v>
                </c:pt>
                <c:pt idx="1375">
                  <c:v>359</c:v>
                </c:pt>
                <c:pt idx="1376">
                  <c:v>257</c:v>
                </c:pt>
                <c:pt idx="1377">
                  <c:v>265</c:v>
                </c:pt>
                <c:pt idx="1378">
                  <c:v>150</c:v>
                </c:pt>
                <c:pt idx="1379">
                  <c:v>242</c:v>
                </c:pt>
                <c:pt idx="1380">
                  <c:v>238</c:v>
                </c:pt>
                <c:pt idx="1381">
                  <c:v>158</c:v>
                </c:pt>
                <c:pt idx="1382">
                  <c:v>150</c:v>
                </c:pt>
                <c:pt idx="1383">
                  <c:v>159</c:v>
                </c:pt>
                <c:pt idx="1384">
                  <c:v>369</c:v>
                </c:pt>
                <c:pt idx="1385">
                  <c:v>421</c:v>
                </c:pt>
                <c:pt idx="1386">
                  <c:v>282</c:v>
                </c:pt>
                <c:pt idx="1387">
                  <c:v>352</c:v>
                </c:pt>
                <c:pt idx="1388">
                  <c:v>290</c:v>
                </c:pt>
                <c:pt idx="1389">
                  <c:v>168</c:v>
                </c:pt>
                <c:pt idx="1390">
                  <c:v>268</c:v>
                </c:pt>
                <c:pt idx="1391">
                  <c:v>249</c:v>
                </c:pt>
                <c:pt idx="1392">
                  <c:v>357</c:v>
                </c:pt>
                <c:pt idx="1393">
                  <c:v>309</c:v>
                </c:pt>
                <c:pt idx="1394">
                  <c:v>325</c:v>
                </c:pt>
                <c:pt idx="1395">
                  <c:v>324</c:v>
                </c:pt>
                <c:pt idx="1396">
                  <c:v>173</c:v>
                </c:pt>
                <c:pt idx="1397">
                  <c:v>278</c:v>
                </c:pt>
                <c:pt idx="1398">
                  <c:v>235</c:v>
                </c:pt>
                <c:pt idx="1399">
                  <c:v>365</c:v>
                </c:pt>
                <c:pt idx="1400">
                  <c:v>226</c:v>
                </c:pt>
                <c:pt idx="1401">
                  <c:v>321</c:v>
                </c:pt>
                <c:pt idx="1402">
                  <c:v>393</c:v>
                </c:pt>
                <c:pt idx="1403">
                  <c:v>264</c:v>
                </c:pt>
                <c:pt idx="1404">
                  <c:v>365</c:v>
                </c:pt>
                <c:pt idx="1405">
                  <c:v>310</c:v>
                </c:pt>
                <c:pt idx="1406">
                  <c:v>150</c:v>
                </c:pt>
                <c:pt idx="1407">
                  <c:v>289</c:v>
                </c:pt>
                <c:pt idx="1408">
                  <c:v>159</c:v>
                </c:pt>
                <c:pt idx="1409">
                  <c:v>311</c:v>
                </c:pt>
                <c:pt idx="1410">
                  <c:v>150</c:v>
                </c:pt>
                <c:pt idx="1411">
                  <c:v>150</c:v>
                </c:pt>
                <c:pt idx="1412">
                  <c:v>279</c:v>
                </c:pt>
                <c:pt idx="1413">
                  <c:v>283</c:v>
                </c:pt>
                <c:pt idx="1414">
                  <c:v>335</c:v>
                </c:pt>
                <c:pt idx="1415">
                  <c:v>236</c:v>
                </c:pt>
                <c:pt idx="1416">
                  <c:v>222</c:v>
                </c:pt>
                <c:pt idx="1417">
                  <c:v>183</c:v>
                </c:pt>
                <c:pt idx="1418">
                  <c:v>243</c:v>
                </c:pt>
                <c:pt idx="1419">
                  <c:v>352</c:v>
                </c:pt>
                <c:pt idx="1420">
                  <c:v>161</c:v>
                </c:pt>
                <c:pt idx="1421">
                  <c:v>324</c:v>
                </c:pt>
                <c:pt idx="1422">
                  <c:v>240</c:v>
                </c:pt>
                <c:pt idx="1423">
                  <c:v>150</c:v>
                </c:pt>
                <c:pt idx="1424">
                  <c:v>224</c:v>
                </c:pt>
                <c:pt idx="1425">
                  <c:v>259</c:v>
                </c:pt>
                <c:pt idx="1426">
                  <c:v>256</c:v>
                </c:pt>
                <c:pt idx="1427">
                  <c:v>218</c:v>
                </c:pt>
                <c:pt idx="1428">
                  <c:v>245</c:v>
                </c:pt>
                <c:pt idx="1429">
                  <c:v>264</c:v>
                </c:pt>
                <c:pt idx="1430">
                  <c:v>213</c:v>
                </c:pt>
                <c:pt idx="1431">
                  <c:v>323</c:v>
                </c:pt>
                <c:pt idx="1432">
                  <c:v>415</c:v>
                </c:pt>
                <c:pt idx="1433">
                  <c:v>287</c:v>
                </c:pt>
                <c:pt idx="1434">
                  <c:v>336</c:v>
                </c:pt>
                <c:pt idx="1435">
                  <c:v>285</c:v>
                </c:pt>
                <c:pt idx="1436">
                  <c:v>202</c:v>
                </c:pt>
                <c:pt idx="1437">
                  <c:v>335</c:v>
                </c:pt>
                <c:pt idx="1438">
                  <c:v>249</c:v>
                </c:pt>
                <c:pt idx="1439">
                  <c:v>150</c:v>
                </c:pt>
                <c:pt idx="1440">
                  <c:v>225</c:v>
                </c:pt>
                <c:pt idx="1441">
                  <c:v>350</c:v>
                </c:pt>
                <c:pt idx="1442">
                  <c:v>250</c:v>
                </c:pt>
                <c:pt idx="1443">
                  <c:v>273</c:v>
                </c:pt>
                <c:pt idx="1444">
                  <c:v>298</c:v>
                </c:pt>
                <c:pt idx="1445">
                  <c:v>153</c:v>
                </c:pt>
                <c:pt idx="1446">
                  <c:v>328</c:v>
                </c:pt>
                <c:pt idx="1447">
                  <c:v>382</c:v>
                </c:pt>
                <c:pt idx="1448">
                  <c:v>366</c:v>
                </c:pt>
                <c:pt idx="1449">
                  <c:v>250</c:v>
                </c:pt>
                <c:pt idx="1450">
                  <c:v>164</c:v>
                </c:pt>
                <c:pt idx="1451">
                  <c:v>151</c:v>
                </c:pt>
                <c:pt idx="1452">
                  <c:v>335</c:v>
                </c:pt>
                <c:pt idx="1453">
                  <c:v>237</c:v>
                </c:pt>
                <c:pt idx="1454">
                  <c:v>240</c:v>
                </c:pt>
                <c:pt idx="1455">
                  <c:v>157</c:v>
                </c:pt>
                <c:pt idx="1456">
                  <c:v>246</c:v>
                </c:pt>
                <c:pt idx="1457">
                  <c:v>340</c:v>
                </c:pt>
                <c:pt idx="1458">
                  <c:v>367</c:v>
                </c:pt>
                <c:pt idx="1459">
                  <c:v>174</c:v>
                </c:pt>
                <c:pt idx="1460">
                  <c:v>268</c:v>
                </c:pt>
                <c:pt idx="1461">
                  <c:v>405</c:v>
                </c:pt>
                <c:pt idx="1462">
                  <c:v>252</c:v>
                </c:pt>
                <c:pt idx="1463">
                  <c:v>239</c:v>
                </c:pt>
                <c:pt idx="1464">
                  <c:v>242</c:v>
                </c:pt>
                <c:pt idx="1465">
                  <c:v>205</c:v>
                </c:pt>
                <c:pt idx="1466">
                  <c:v>216</c:v>
                </c:pt>
                <c:pt idx="1467">
                  <c:v>161</c:v>
                </c:pt>
                <c:pt idx="1468">
                  <c:v>262</c:v>
                </c:pt>
                <c:pt idx="1469">
                  <c:v>165</c:v>
                </c:pt>
                <c:pt idx="1470">
                  <c:v>247</c:v>
                </c:pt>
                <c:pt idx="1471">
                  <c:v>207</c:v>
                </c:pt>
                <c:pt idx="1472">
                  <c:v>334</c:v>
                </c:pt>
                <c:pt idx="1473">
                  <c:v>150</c:v>
                </c:pt>
                <c:pt idx="1474">
                  <c:v>278</c:v>
                </c:pt>
                <c:pt idx="1475">
                  <c:v>353</c:v>
                </c:pt>
                <c:pt idx="1476">
                  <c:v>278</c:v>
                </c:pt>
                <c:pt idx="1477">
                  <c:v>370</c:v>
                </c:pt>
                <c:pt idx="1478">
                  <c:v>150</c:v>
                </c:pt>
                <c:pt idx="1479">
                  <c:v>352</c:v>
                </c:pt>
                <c:pt idx="1480">
                  <c:v>324</c:v>
                </c:pt>
                <c:pt idx="1481">
                  <c:v>178</c:v>
                </c:pt>
                <c:pt idx="1482">
                  <c:v>154</c:v>
                </c:pt>
                <c:pt idx="1483">
                  <c:v>277</c:v>
                </c:pt>
                <c:pt idx="1484">
                  <c:v>160</c:v>
                </c:pt>
                <c:pt idx="1485">
                  <c:v>150</c:v>
                </c:pt>
                <c:pt idx="1486">
                  <c:v>242</c:v>
                </c:pt>
                <c:pt idx="1487">
                  <c:v>299</c:v>
                </c:pt>
                <c:pt idx="1488">
                  <c:v>293</c:v>
                </c:pt>
                <c:pt idx="1489">
                  <c:v>178</c:v>
                </c:pt>
                <c:pt idx="1490">
                  <c:v>403</c:v>
                </c:pt>
                <c:pt idx="1491">
                  <c:v>312</c:v>
                </c:pt>
                <c:pt idx="1492">
                  <c:v>290</c:v>
                </c:pt>
                <c:pt idx="1493">
                  <c:v>335</c:v>
                </c:pt>
                <c:pt idx="1494">
                  <c:v>157</c:v>
                </c:pt>
                <c:pt idx="1495">
                  <c:v>322</c:v>
                </c:pt>
                <c:pt idx="1496">
                  <c:v>286</c:v>
                </c:pt>
                <c:pt idx="1497">
                  <c:v>340</c:v>
                </c:pt>
                <c:pt idx="1498">
                  <c:v>238</c:v>
                </c:pt>
                <c:pt idx="1499">
                  <c:v>296</c:v>
                </c:pt>
                <c:pt idx="1500">
                  <c:v>363</c:v>
                </c:pt>
                <c:pt idx="1501">
                  <c:v>251</c:v>
                </c:pt>
                <c:pt idx="1502">
                  <c:v>264</c:v>
                </c:pt>
                <c:pt idx="1503">
                  <c:v>330</c:v>
                </c:pt>
                <c:pt idx="1504">
                  <c:v>297</c:v>
                </c:pt>
                <c:pt idx="1505">
                  <c:v>349</c:v>
                </c:pt>
                <c:pt idx="1506">
                  <c:v>297</c:v>
                </c:pt>
                <c:pt idx="1507">
                  <c:v>359</c:v>
                </c:pt>
                <c:pt idx="1508">
                  <c:v>266</c:v>
                </c:pt>
                <c:pt idx="1509">
                  <c:v>219</c:v>
                </c:pt>
                <c:pt idx="1510">
                  <c:v>331</c:v>
                </c:pt>
                <c:pt idx="1511">
                  <c:v>250</c:v>
                </c:pt>
                <c:pt idx="1512">
                  <c:v>295</c:v>
                </c:pt>
                <c:pt idx="1513">
                  <c:v>150</c:v>
                </c:pt>
                <c:pt idx="1514">
                  <c:v>396</c:v>
                </c:pt>
                <c:pt idx="1515">
                  <c:v>213</c:v>
                </c:pt>
                <c:pt idx="1516">
                  <c:v>391</c:v>
                </c:pt>
                <c:pt idx="1517">
                  <c:v>202</c:v>
                </c:pt>
                <c:pt idx="1518">
                  <c:v>321</c:v>
                </c:pt>
                <c:pt idx="1519">
                  <c:v>341</c:v>
                </c:pt>
                <c:pt idx="1520">
                  <c:v>353</c:v>
                </c:pt>
                <c:pt idx="1521">
                  <c:v>308</c:v>
                </c:pt>
                <c:pt idx="1522">
                  <c:v>150</c:v>
                </c:pt>
                <c:pt idx="1523">
                  <c:v>261</c:v>
                </c:pt>
                <c:pt idx="1524">
                  <c:v>300</c:v>
                </c:pt>
                <c:pt idx="1525">
                  <c:v>172</c:v>
                </c:pt>
                <c:pt idx="1526">
                  <c:v>254</c:v>
                </c:pt>
                <c:pt idx="1527">
                  <c:v>255</c:v>
                </c:pt>
                <c:pt idx="1528">
                  <c:v>153</c:v>
                </c:pt>
                <c:pt idx="1529">
                  <c:v>349</c:v>
                </c:pt>
                <c:pt idx="1530">
                  <c:v>257</c:v>
                </c:pt>
                <c:pt idx="1531">
                  <c:v>207</c:v>
                </c:pt>
                <c:pt idx="1532">
                  <c:v>230</c:v>
                </c:pt>
                <c:pt idx="1533">
                  <c:v>385</c:v>
                </c:pt>
                <c:pt idx="1534">
                  <c:v>163</c:v>
                </c:pt>
                <c:pt idx="1535">
                  <c:v>245</c:v>
                </c:pt>
                <c:pt idx="1536">
                  <c:v>392</c:v>
                </c:pt>
                <c:pt idx="1537">
                  <c:v>240</c:v>
                </c:pt>
                <c:pt idx="1538">
                  <c:v>150</c:v>
                </c:pt>
                <c:pt idx="1539">
                  <c:v>205</c:v>
                </c:pt>
                <c:pt idx="1540">
                  <c:v>323</c:v>
                </c:pt>
                <c:pt idx="1541">
                  <c:v>352</c:v>
                </c:pt>
                <c:pt idx="1542">
                  <c:v>339</c:v>
                </c:pt>
                <c:pt idx="1543">
                  <c:v>272</c:v>
                </c:pt>
                <c:pt idx="1544">
                  <c:v>298</c:v>
                </c:pt>
                <c:pt idx="1545">
                  <c:v>400</c:v>
                </c:pt>
                <c:pt idx="1546">
                  <c:v>301</c:v>
                </c:pt>
                <c:pt idx="1547">
                  <c:v>364</c:v>
                </c:pt>
                <c:pt idx="1548">
                  <c:v>202</c:v>
                </c:pt>
                <c:pt idx="1549">
                  <c:v>287</c:v>
                </c:pt>
                <c:pt idx="1550">
                  <c:v>213</c:v>
                </c:pt>
                <c:pt idx="1551">
                  <c:v>370</c:v>
                </c:pt>
                <c:pt idx="1552">
                  <c:v>150</c:v>
                </c:pt>
                <c:pt idx="1553">
                  <c:v>232</c:v>
                </c:pt>
                <c:pt idx="1554">
                  <c:v>236</c:v>
                </c:pt>
                <c:pt idx="1555">
                  <c:v>257</c:v>
                </c:pt>
                <c:pt idx="1556">
                  <c:v>404</c:v>
                </c:pt>
                <c:pt idx="1557">
                  <c:v>363</c:v>
                </c:pt>
                <c:pt idx="1558">
                  <c:v>380</c:v>
                </c:pt>
                <c:pt idx="1559">
                  <c:v>229</c:v>
                </c:pt>
                <c:pt idx="1560">
                  <c:v>299</c:v>
                </c:pt>
                <c:pt idx="1561">
                  <c:v>150</c:v>
                </c:pt>
                <c:pt idx="1562">
                  <c:v>237</c:v>
                </c:pt>
                <c:pt idx="1563">
                  <c:v>216</c:v>
                </c:pt>
                <c:pt idx="1564">
                  <c:v>150</c:v>
                </c:pt>
                <c:pt idx="1565">
                  <c:v>267</c:v>
                </c:pt>
                <c:pt idx="1566">
                  <c:v>285</c:v>
                </c:pt>
                <c:pt idx="1567">
                  <c:v>298</c:v>
                </c:pt>
                <c:pt idx="1568">
                  <c:v>348</c:v>
                </c:pt>
                <c:pt idx="1569">
                  <c:v>221</c:v>
                </c:pt>
                <c:pt idx="1570">
                  <c:v>337</c:v>
                </c:pt>
                <c:pt idx="1571">
                  <c:v>258</c:v>
                </c:pt>
                <c:pt idx="1572">
                  <c:v>343</c:v>
                </c:pt>
                <c:pt idx="1573">
                  <c:v>248</c:v>
                </c:pt>
                <c:pt idx="1574">
                  <c:v>276</c:v>
                </c:pt>
                <c:pt idx="1575">
                  <c:v>222</c:v>
                </c:pt>
                <c:pt idx="1576">
                  <c:v>194</c:v>
                </c:pt>
                <c:pt idx="1577">
                  <c:v>363</c:v>
                </c:pt>
                <c:pt idx="1578">
                  <c:v>198</c:v>
                </c:pt>
                <c:pt idx="1579">
                  <c:v>194</c:v>
                </c:pt>
                <c:pt idx="1580">
                  <c:v>295</c:v>
                </c:pt>
                <c:pt idx="1581">
                  <c:v>250</c:v>
                </c:pt>
                <c:pt idx="1582">
                  <c:v>327</c:v>
                </c:pt>
                <c:pt idx="1583">
                  <c:v>273</c:v>
                </c:pt>
                <c:pt idx="1584">
                  <c:v>290</c:v>
                </c:pt>
                <c:pt idx="1585">
                  <c:v>386</c:v>
                </c:pt>
                <c:pt idx="1586">
                  <c:v>354</c:v>
                </c:pt>
                <c:pt idx="1587">
                  <c:v>377</c:v>
                </c:pt>
                <c:pt idx="1588">
                  <c:v>195</c:v>
                </c:pt>
                <c:pt idx="1589">
                  <c:v>270</c:v>
                </c:pt>
                <c:pt idx="1590">
                  <c:v>150</c:v>
                </c:pt>
                <c:pt idx="1591">
                  <c:v>422</c:v>
                </c:pt>
                <c:pt idx="1592">
                  <c:v>252</c:v>
                </c:pt>
                <c:pt idx="1593">
                  <c:v>217</c:v>
                </c:pt>
                <c:pt idx="1594">
                  <c:v>322</c:v>
                </c:pt>
                <c:pt idx="1595">
                  <c:v>375</c:v>
                </c:pt>
                <c:pt idx="1596">
                  <c:v>159</c:v>
                </c:pt>
                <c:pt idx="1597">
                  <c:v>340</c:v>
                </c:pt>
                <c:pt idx="1598">
                  <c:v>231</c:v>
                </c:pt>
                <c:pt idx="1599">
                  <c:v>355</c:v>
                </c:pt>
                <c:pt idx="1600">
                  <c:v>150</c:v>
                </c:pt>
                <c:pt idx="1601">
                  <c:v>150</c:v>
                </c:pt>
                <c:pt idx="1602">
                  <c:v>365</c:v>
                </c:pt>
                <c:pt idx="1603">
                  <c:v>151</c:v>
                </c:pt>
                <c:pt idx="1604">
                  <c:v>383</c:v>
                </c:pt>
                <c:pt idx="1605">
                  <c:v>167</c:v>
                </c:pt>
                <c:pt idx="1606">
                  <c:v>223</c:v>
                </c:pt>
                <c:pt idx="1607">
                  <c:v>227</c:v>
                </c:pt>
                <c:pt idx="1608">
                  <c:v>191</c:v>
                </c:pt>
                <c:pt idx="1609">
                  <c:v>289</c:v>
                </c:pt>
                <c:pt idx="1610">
                  <c:v>161</c:v>
                </c:pt>
                <c:pt idx="1611">
                  <c:v>225</c:v>
                </c:pt>
                <c:pt idx="1612">
                  <c:v>178</c:v>
                </c:pt>
                <c:pt idx="1613">
                  <c:v>328</c:v>
                </c:pt>
                <c:pt idx="1614">
                  <c:v>271</c:v>
                </c:pt>
                <c:pt idx="1615">
                  <c:v>217</c:v>
                </c:pt>
                <c:pt idx="1616">
                  <c:v>396</c:v>
                </c:pt>
                <c:pt idx="1617">
                  <c:v>275</c:v>
                </c:pt>
                <c:pt idx="1618">
                  <c:v>183</c:v>
                </c:pt>
                <c:pt idx="1619">
                  <c:v>370</c:v>
                </c:pt>
                <c:pt idx="1620">
                  <c:v>176</c:v>
                </c:pt>
                <c:pt idx="1621">
                  <c:v>384</c:v>
                </c:pt>
                <c:pt idx="1622">
                  <c:v>250</c:v>
                </c:pt>
                <c:pt idx="1623">
                  <c:v>216</c:v>
                </c:pt>
                <c:pt idx="1624">
                  <c:v>229</c:v>
                </c:pt>
                <c:pt idx="1625">
                  <c:v>213</c:v>
                </c:pt>
                <c:pt idx="1626">
                  <c:v>341</c:v>
                </c:pt>
                <c:pt idx="1627">
                  <c:v>262</c:v>
                </c:pt>
                <c:pt idx="1628">
                  <c:v>250</c:v>
                </c:pt>
                <c:pt idx="1629">
                  <c:v>288</c:v>
                </c:pt>
                <c:pt idx="1630">
                  <c:v>237</c:v>
                </c:pt>
                <c:pt idx="1631">
                  <c:v>317</c:v>
                </c:pt>
                <c:pt idx="1632">
                  <c:v>150</c:v>
                </c:pt>
                <c:pt idx="1633">
                  <c:v>261</c:v>
                </c:pt>
                <c:pt idx="1634">
                  <c:v>219</c:v>
                </c:pt>
                <c:pt idx="1635">
                  <c:v>343</c:v>
                </c:pt>
                <c:pt idx="1636">
                  <c:v>165</c:v>
                </c:pt>
                <c:pt idx="1637">
                  <c:v>209</c:v>
                </c:pt>
                <c:pt idx="1638">
                  <c:v>291</c:v>
                </c:pt>
                <c:pt idx="1639">
                  <c:v>280</c:v>
                </c:pt>
                <c:pt idx="1640">
                  <c:v>300</c:v>
                </c:pt>
                <c:pt idx="1641">
                  <c:v>222</c:v>
                </c:pt>
                <c:pt idx="1642">
                  <c:v>412</c:v>
                </c:pt>
                <c:pt idx="1643">
                  <c:v>275</c:v>
                </c:pt>
                <c:pt idx="1644">
                  <c:v>357</c:v>
                </c:pt>
                <c:pt idx="1645">
                  <c:v>363</c:v>
                </c:pt>
                <c:pt idx="1646">
                  <c:v>163</c:v>
                </c:pt>
                <c:pt idx="1647">
                  <c:v>150</c:v>
                </c:pt>
                <c:pt idx="1648">
                  <c:v>376</c:v>
                </c:pt>
                <c:pt idx="1649">
                  <c:v>202</c:v>
                </c:pt>
                <c:pt idx="1650">
                  <c:v>303</c:v>
                </c:pt>
                <c:pt idx="1651">
                  <c:v>259</c:v>
                </c:pt>
                <c:pt idx="1652">
                  <c:v>319</c:v>
                </c:pt>
                <c:pt idx="1653">
                  <c:v>294</c:v>
                </c:pt>
                <c:pt idx="1654">
                  <c:v>253</c:v>
                </c:pt>
                <c:pt idx="1655">
                  <c:v>161</c:v>
                </c:pt>
                <c:pt idx="1656">
                  <c:v>336</c:v>
                </c:pt>
                <c:pt idx="1657">
                  <c:v>380</c:v>
                </c:pt>
                <c:pt idx="1658">
                  <c:v>276</c:v>
                </c:pt>
                <c:pt idx="1659">
                  <c:v>303</c:v>
                </c:pt>
                <c:pt idx="1660">
                  <c:v>325</c:v>
                </c:pt>
                <c:pt idx="1661">
                  <c:v>359</c:v>
                </c:pt>
                <c:pt idx="1662">
                  <c:v>261</c:v>
                </c:pt>
                <c:pt idx="1663">
                  <c:v>150</c:v>
                </c:pt>
                <c:pt idx="1664">
                  <c:v>156</c:v>
                </c:pt>
                <c:pt idx="1665">
                  <c:v>354</c:v>
                </c:pt>
                <c:pt idx="1666">
                  <c:v>270</c:v>
                </c:pt>
                <c:pt idx="1667">
                  <c:v>206</c:v>
                </c:pt>
                <c:pt idx="1668">
                  <c:v>301</c:v>
                </c:pt>
                <c:pt idx="1669">
                  <c:v>328</c:v>
                </c:pt>
                <c:pt idx="1670">
                  <c:v>242</c:v>
                </c:pt>
                <c:pt idx="1671">
                  <c:v>254</c:v>
                </c:pt>
                <c:pt idx="1672">
                  <c:v>168</c:v>
                </c:pt>
                <c:pt idx="1673">
                  <c:v>287</c:v>
                </c:pt>
                <c:pt idx="1674">
                  <c:v>150</c:v>
                </c:pt>
                <c:pt idx="1675">
                  <c:v>235</c:v>
                </c:pt>
                <c:pt idx="1676">
                  <c:v>226</c:v>
                </c:pt>
                <c:pt idx="1677">
                  <c:v>285</c:v>
                </c:pt>
                <c:pt idx="1678">
                  <c:v>150</c:v>
                </c:pt>
                <c:pt idx="1679">
                  <c:v>238</c:v>
                </c:pt>
                <c:pt idx="1680">
                  <c:v>161</c:v>
                </c:pt>
                <c:pt idx="1681">
                  <c:v>351</c:v>
                </c:pt>
                <c:pt idx="1682">
                  <c:v>326</c:v>
                </c:pt>
                <c:pt idx="1683">
                  <c:v>182</c:v>
                </c:pt>
                <c:pt idx="1684">
                  <c:v>220</c:v>
                </c:pt>
                <c:pt idx="1685">
                  <c:v>259</c:v>
                </c:pt>
                <c:pt idx="1686">
                  <c:v>387</c:v>
                </c:pt>
                <c:pt idx="1687">
                  <c:v>368</c:v>
                </c:pt>
                <c:pt idx="1688">
                  <c:v>193</c:v>
                </c:pt>
                <c:pt idx="1689">
                  <c:v>373</c:v>
                </c:pt>
                <c:pt idx="1690">
                  <c:v>163</c:v>
                </c:pt>
                <c:pt idx="1691">
                  <c:v>279</c:v>
                </c:pt>
                <c:pt idx="1692">
                  <c:v>362</c:v>
                </c:pt>
                <c:pt idx="1693">
                  <c:v>361</c:v>
                </c:pt>
                <c:pt idx="1694">
                  <c:v>278</c:v>
                </c:pt>
                <c:pt idx="1695">
                  <c:v>229</c:v>
                </c:pt>
                <c:pt idx="1696">
                  <c:v>278</c:v>
                </c:pt>
                <c:pt idx="1697">
                  <c:v>329</c:v>
                </c:pt>
                <c:pt idx="1698">
                  <c:v>274</c:v>
                </c:pt>
                <c:pt idx="1699">
                  <c:v>288</c:v>
                </c:pt>
                <c:pt idx="1700">
                  <c:v>200</c:v>
                </c:pt>
                <c:pt idx="1701">
                  <c:v>258</c:v>
                </c:pt>
                <c:pt idx="1702">
                  <c:v>150</c:v>
                </c:pt>
                <c:pt idx="1703">
                  <c:v>218</c:v>
                </c:pt>
                <c:pt idx="1704">
                  <c:v>367</c:v>
                </c:pt>
                <c:pt idx="1705">
                  <c:v>316</c:v>
                </c:pt>
                <c:pt idx="1706">
                  <c:v>150</c:v>
                </c:pt>
                <c:pt idx="1707">
                  <c:v>298</c:v>
                </c:pt>
                <c:pt idx="1708">
                  <c:v>167</c:v>
                </c:pt>
                <c:pt idx="1709">
                  <c:v>189</c:v>
                </c:pt>
                <c:pt idx="1710">
                  <c:v>374</c:v>
                </c:pt>
                <c:pt idx="1711">
                  <c:v>210</c:v>
                </c:pt>
                <c:pt idx="1712">
                  <c:v>251</c:v>
                </c:pt>
                <c:pt idx="1713">
                  <c:v>262</c:v>
                </c:pt>
                <c:pt idx="1714">
                  <c:v>373</c:v>
                </c:pt>
                <c:pt idx="1715">
                  <c:v>150</c:v>
                </c:pt>
                <c:pt idx="1716">
                  <c:v>379</c:v>
                </c:pt>
                <c:pt idx="1717">
                  <c:v>295</c:v>
                </c:pt>
                <c:pt idx="1718">
                  <c:v>337</c:v>
                </c:pt>
                <c:pt idx="1719">
                  <c:v>294</c:v>
                </c:pt>
                <c:pt idx="1720">
                  <c:v>251</c:v>
                </c:pt>
                <c:pt idx="1721">
                  <c:v>418</c:v>
                </c:pt>
                <c:pt idx="1722">
                  <c:v>286</c:v>
                </c:pt>
                <c:pt idx="1723">
                  <c:v>227</c:v>
                </c:pt>
                <c:pt idx="1724">
                  <c:v>321</c:v>
                </c:pt>
                <c:pt idx="1725">
                  <c:v>315</c:v>
                </c:pt>
                <c:pt idx="1726">
                  <c:v>249</c:v>
                </c:pt>
                <c:pt idx="1727">
                  <c:v>208</c:v>
                </c:pt>
                <c:pt idx="1728">
                  <c:v>286</c:v>
                </c:pt>
                <c:pt idx="1729">
                  <c:v>154</c:v>
                </c:pt>
                <c:pt idx="1730">
                  <c:v>233</c:v>
                </c:pt>
                <c:pt idx="1731">
                  <c:v>308</c:v>
                </c:pt>
                <c:pt idx="1732">
                  <c:v>397</c:v>
                </c:pt>
                <c:pt idx="1733">
                  <c:v>261</c:v>
                </c:pt>
                <c:pt idx="1734">
                  <c:v>259</c:v>
                </c:pt>
                <c:pt idx="1735">
                  <c:v>156</c:v>
                </c:pt>
                <c:pt idx="1736">
                  <c:v>339</c:v>
                </c:pt>
                <c:pt idx="1737">
                  <c:v>169</c:v>
                </c:pt>
                <c:pt idx="1738">
                  <c:v>323</c:v>
                </c:pt>
                <c:pt idx="1739">
                  <c:v>278</c:v>
                </c:pt>
                <c:pt idx="1740">
                  <c:v>274</c:v>
                </c:pt>
                <c:pt idx="1741">
                  <c:v>385</c:v>
                </c:pt>
                <c:pt idx="1742">
                  <c:v>150</c:v>
                </c:pt>
                <c:pt idx="1743">
                  <c:v>206</c:v>
                </c:pt>
                <c:pt idx="1744">
                  <c:v>164</c:v>
                </c:pt>
                <c:pt idx="1745">
                  <c:v>302</c:v>
                </c:pt>
                <c:pt idx="1746">
                  <c:v>304</c:v>
                </c:pt>
                <c:pt idx="1747">
                  <c:v>352</c:v>
                </c:pt>
                <c:pt idx="1748">
                  <c:v>388</c:v>
                </c:pt>
                <c:pt idx="1749">
                  <c:v>404</c:v>
                </c:pt>
                <c:pt idx="1750">
                  <c:v>298</c:v>
                </c:pt>
                <c:pt idx="1751">
                  <c:v>153</c:v>
                </c:pt>
                <c:pt idx="1752">
                  <c:v>227</c:v>
                </c:pt>
                <c:pt idx="1753">
                  <c:v>166</c:v>
                </c:pt>
                <c:pt idx="1754">
                  <c:v>281</c:v>
                </c:pt>
                <c:pt idx="1755">
                  <c:v>253</c:v>
                </c:pt>
                <c:pt idx="1756">
                  <c:v>375</c:v>
                </c:pt>
                <c:pt idx="1757">
                  <c:v>250</c:v>
                </c:pt>
                <c:pt idx="1758">
                  <c:v>219</c:v>
                </c:pt>
                <c:pt idx="1759">
                  <c:v>392</c:v>
                </c:pt>
                <c:pt idx="1760">
                  <c:v>298</c:v>
                </c:pt>
                <c:pt idx="1761">
                  <c:v>379</c:v>
                </c:pt>
                <c:pt idx="1762">
                  <c:v>201</c:v>
                </c:pt>
                <c:pt idx="1763">
                  <c:v>330</c:v>
                </c:pt>
                <c:pt idx="1764">
                  <c:v>183</c:v>
                </c:pt>
                <c:pt idx="1765">
                  <c:v>176</c:v>
                </c:pt>
                <c:pt idx="1766">
                  <c:v>150</c:v>
                </c:pt>
                <c:pt idx="1767">
                  <c:v>290</c:v>
                </c:pt>
                <c:pt idx="1768">
                  <c:v>178</c:v>
                </c:pt>
                <c:pt idx="1769">
                  <c:v>219</c:v>
                </c:pt>
                <c:pt idx="1770">
                  <c:v>286</c:v>
                </c:pt>
                <c:pt idx="1771">
                  <c:v>340</c:v>
                </c:pt>
                <c:pt idx="1772">
                  <c:v>197</c:v>
                </c:pt>
                <c:pt idx="1773">
                  <c:v>325</c:v>
                </c:pt>
                <c:pt idx="1774">
                  <c:v>347</c:v>
                </c:pt>
                <c:pt idx="1775">
                  <c:v>367</c:v>
                </c:pt>
                <c:pt idx="1776">
                  <c:v>279</c:v>
                </c:pt>
                <c:pt idx="1777">
                  <c:v>387</c:v>
                </c:pt>
                <c:pt idx="1778">
                  <c:v>329</c:v>
                </c:pt>
                <c:pt idx="1779">
                  <c:v>154</c:v>
                </c:pt>
                <c:pt idx="1780">
                  <c:v>150</c:v>
                </c:pt>
                <c:pt idx="1781">
                  <c:v>150</c:v>
                </c:pt>
                <c:pt idx="1782">
                  <c:v>161</c:v>
                </c:pt>
                <c:pt idx="1783">
                  <c:v>370</c:v>
                </c:pt>
                <c:pt idx="1784">
                  <c:v>150</c:v>
                </c:pt>
                <c:pt idx="1785">
                  <c:v>246</c:v>
                </c:pt>
                <c:pt idx="1786">
                  <c:v>292</c:v>
                </c:pt>
                <c:pt idx="1787">
                  <c:v>294</c:v>
                </c:pt>
                <c:pt idx="1788">
                  <c:v>274</c:v>
                </c:pt>
                <c:pt idx="1789">
                  <c:v>270</c:v>
                </c:pt>
                <c:pt idx="1790">
                  <c:v>290</c:v>
                </c:pt>
                <c:pt idx="1791">
                  <c:v>304</c:v>
                </c:pt>
                <c:pt idx="1792">
                  <c:v>253</c:v>
                </c:pt>
                <c:pt idx="1793">
                  <c:v>238</c:v>
                </c:pt>
                <c:pt idx="1794">
                  <c:v>364</c:v>
                </c:pt>
                <c:pt idx="1795">
                  <c:v>277</c:v>
                </c:pt>
                <c:pt idx="1796">
                  <c:v>275</c:v>
                </c:pt>
                <c:pt idx="1797">
                  <c:v>389</c:v>
                </c:pt>
                <c:pt idx="1798">
                  <c:v>217</c:v>
                </c:pt>
                <c:pt idx="1799">
                  <c:v>235</c:v>
                </c:pt>
                <c:pt idx="1800">
                  <c:v>165</c:v>
                </c:pt>
                <c:pt idx="1801">
                  <c:v>204</c:v>
                </c:pt>
                <c:pt idx="1802">
                  <c:v>300</c:v>
                </c:pt>
                <c:pt idx="1803">
                  <c:v>178</c:v>
                </c:pt>
                <c:pt idx="1804">
                  <c:v>238</c:v>
                </c:pt>
                <c:pt idx="1805">
                  <c:v>237</c:v>
                </c:pt>
                <c:pt idx="1806">
                  <c:v>161</c:v>
                </c:pt>
                <c:pt idx="1807">
                  <c:v>241</c:v>
                </c:pt>
                <c:pt idx="1808">
                  <c:v>305</c:v>
                </c:pt>
                <c:pt idx="1809">
                  <c:v>150</c:v>
                </c:pt>
                <c:pt idx="1810">
                  <c:v>263</c:v>
                </c:pt>
                <c:pt idx="1811">
                  <c:v>262</c:v>
                </c:pt>
                <c:pt idx="1812">
                  <c:v>185</c:v>
                </c:pt>
                <c:pt idx="1813">
                  <c:v>242</c:v>
                </c:pt>
                <c:pt idx="1814">
                  <c:v>305</c:v>
                </c:pt>
                <c:pt idx="1815">
                  <c:v>254</c:v>
                </c:pt>
                <c:pt idx="1816">
                  <c:v>236</c:v>
                </c:pt>
                <c:pt idx="1817">
                  <c:v>242</c:v>
                </c:pt>
                <c:pt idx="1818">
                  <c:v>291</c:v>
                </c:pt>
                <c:pt idx="1819">
                  <c:v>275</c:v>
                </c:pt>
                <c:pt idx="1820">
                  <c:v>171</c:v>
                </c:pt>
                <c:pt idx="1821">
                  <c:v>301</c:v>
                </c:pt>
                <c:pt idx="1822">
                  <c:v>444</c:v>
                </c:pt>
                <c:pt idx="1823">
                  <c:v>200</c:v>
                </c:pt>
                <c:pt idx="1824">
                  <c:v>258</c:v>
                </c:pt>
                <c:pt idx="1825">
                  <c:v>348</c:v>
                </c:pt>
                <c:pt idx="1826">
                  <c:v>150</c:v>
                </c:pt>
                <c:pt idx="1827">
                  <c:v>186</c:v>
                </c:pt>
                <c:pt idx="1828">
                  <c:v>203</c:v>
                </c:pt>
                <c:pt idx="1829">
                  <c:v>282</c:v>
                </c:pt>
                <c:pt idx="1830">
                  <c:v>337</c:v>
                </c:pt>
                <c:pt idx="1831">
                  <c:v>256</c:v>
                </c:pt>
                <c:pt idx="1832">
                  <c:v>150</c:v>
                </c:pt>
                <c:pt idx="1833">
                  <c:v>270</c:v>
                </c:pt>
                <c:pt idx="1834">
                  <c:v>152</c:v>
                </c:pt>
                <c:pt idx="1835">
                  <c:v>367</c:v>
                </c:pt>
                <c:pt idx="1836">
                  <c:v>301</c:v>
                </c:pt>
                <c:pt idx="1837">
                  <c:v>300</c:v>
                </c:pt>
                <c:pt idx="1838">
                  <c:v>150</c:v>
                </c:pt>
                <c:pt idx="1839">
                  <c:v>239</c:v>
                </c:pt>
                <c:pt idx="1840">
                  <c:v>287</c:v>
                </c:pt>
                <c:pt idx="1841">
                  <c:v>196</c:v>
                </c:pt>
                <c:pt idx="1842">
                  <c:v>317</c:v>
                </c:pt>
                <c:pt idx="1843">
                  <c:v>407</c:v>
                </c:pt>
                <c:pt idx="1844">
                  <c:v>237</c:v>
                </c:pt>
                <c:pt idx="1845">
                  <c:v>373</c:v>
                </c:pt>
                <c:pt idx="1846">
                  <c:v>324</c:v>
                </c:pt>
                <c:pt idx="1847">
                  <c:v>311</c:v>
                </c:pt>
                <c:pt idx="1848">
                  <c:v>250</c:v>
                </c:pt>
                <c:pt idx="1849">
                  <c:v>150</c:v>
                </c:pt>
                <c:pt idx="1850">
                  <c:v>170</c:v>
                </c:pt>
                <c:pt idx="1851">
                  <c:v>198</c:v>
                </c:pt>
                <c:pt idx="1852">
                  <c:v>306</c:v>
                </c:pt>
                <c:pt idx="1853">
                  <c:v>367</c:v>
                </c:pt>
                <c:pt idx="1854">
                  <c:v>274</c:v>
                </c:pt>
                <c:pt idx="1855">
                  <c:v>342</c:v>
                </c:pt>
                <c:pt idx="1856">
                  <c:v>341</c:v>
                </c:pt>
                <c:pt idx="1857">
                  <c:v>166</c:v>
                </c:pt>
                <c:pt idx="1858">
                  <c:v>340</c:v>
                </c:pt>
                <c:pt idx="1859">
                  <c:v>278</c:v>
                </c:pt>
                <c:pt idx="1860">
                  <c:v>184</c:v>
                </c:pt>
                <c:pt idx="1861">
                  <c:v>335</c:v>
                </c:pt>
                <c:pt idx="1862">
                  <c:v>433</c:v>
                </c:pt>
                <c:pt idx="1863">
                  <c:v>167</c:v>
                </c:pt>
                <c:pt idx="1864">
                  <c:v>282</c:v>
                </c:pt>
                <c:pt idx="1865">
                  <c:v>331</c:v>
                </c:pt>
                <c:pt idx="1866">
                  <c:v>150</c:v>
                </c:pt>
                <c:pt idx="1867">
                  <c:v>175</c:v>
                </c:pt>
                <c:pt idx="1868">
                  <c:v>166</c:v>
                </c:pt>
                <c:pt idx="1869">
                  <c:v>201</c:v>
                </c:pt>
                <c:pt idx="1870">
                  <c:v>265</c:v>
                </c:pt>
                <c:pt idx="1871">
                  <c:v>195</c:v>
                </c:pt>
                <c:pt idx="1872">
                  <c:v>266</c:v>
                </c:pt>
                <c:pt idx="1873">
                  <c:v>307</c:v>
                </c:pt>
                <c:pt idx="1874">
                  <c:v>342</c:v>
                </c:pt>
                <c:pt idx="1875">
                  <c:v>222</c:v>
                </c:pt>
                <c:pt idx="1876">
                  <c:v>274</c:v>
                </c:pt>
                <c:pt idx="1877">
                  <c:v>274</c:v>
                </c:pt>
                <c:pt idx="1878">
                  <c:v>355</c:v>
                </c:pt>
                <c:pt idx="1879">
                  <c:v>328</c:v>
                </c:pt>
                <c:pt idx="1880">
                  <c:v>221</c:v>
                </c:pt>
                <c:pt idx="1881">
                  <c:v>243</c:v>
                </c:pt>
                <c:pt idx="1882">
                  <c:v>204</c:v>
                </c:pt>
                <c:pt idx="1883">
                  <c:v>293</c:v>
                </c:pt>
                <c:pt idx="1884">
                  <c:v>183</c:v>
                </c:pt>
                <c:pt idx="1885">
                  <c:v>289</c:v>
                </c:pt>
                <c:pt idx="1886">
                  <c:v>265</c:v>
                </c:pt>
                <c:pt idx="1887">
                  <c:v>299</c:v>
                </c:pt>
                <c:pt idx="1888">
                  <c:v>276</c:v>
                </c:pt>
                <c:pt idx="1889">
                  <c:v>150</c:v>
                </c:pt>
                <c:pt idx="1890">
                  <c:v>254</c:v>
                </c:pt>
                <c:pt idx="1891">
                  <c:v>345</c:v>
                </c:pt>
                <c:pt idx="1892">
                  <c:v>354</c:v>
                </c:pt>
                <c:pt idx="1893">
                  <c:v>320</c:v>
                </c:pt>
                <c:pt idx="1894">
                  <c:v>208</c:v>
                </c:pt>
                <c:pt idx="1895">
                  <c:v>208</c:v>
                </c:pt>
                <c:pt idx="1896">
                  <c:v>403</c:v>
                </c:pt>
                <c:pt idx="1897">
                  <c:v>191</c:v>
                </c:pt>
                <c:pt idx="1898">
                  <c:v>187</c:v>
                </c:pt>
                <c:pt idx="1899">
                  <c:v>201</c:v>
                </c:pt>
                <c:pt idx="1900">
                  <c:v>345</c:v>
                </c:pt>
                <c:pt idx="1901">
                  <c:v>286</c:v>
                </c:pt>
                <c:pt idx="1902">
                  <c:v>166</c:v>
                </c:pt>
                <c:pt idx="1903">
                  <c:v>300</c:v>
                </c:pt>
                <c:pt idx="1904">
                  <c:v>267</c:v>
                </c:pt>
                <c:pt idx="1905">
                  <c:v>168</c:v>
                </c:pt>
                <c:pt idx="1906">
                  <c:v>215</c:v>
                </c:pt>
                <c:pt idx="1907">
                  <c:v>338</c:v>
                </c:pt>
                <c:pt idx="1908">
                  <c:v>333</c:v>
                </c:pt>
                <c:pt idx="1909">
                  <c:v>303</c:v>
                </c:pt>
                <c:pt idx="1910">
                  <c:v>266</c:v>
                </c:pt>
                <c:pt idx="1911">
                  <c:v>283</c:v>
                </c:pt>
                <c:pt idx="1912">
                  <c:v>266</c:v>
                </c:pt>
                <c:pt idx="1913">
                  <c:v>167</c:v>
                </c:pt>
                <c:pt idx="1914">
                  <c:v>178</c:v>
                </c:pt>
                <c:pt idx="1915">
                  <c:v>253</c:v>
                </c:pt>
                <c:pt idx="1916">
                  <c:v>272</c:v>
                </c:pt>
                <c:pt idx="1917">
                  <c:v>200</c:v>
                </c:pt>
                <c:pt idx="1918">
                  <c:v>240</c:v>
                </c:pt>
                <c:pt idx="1919">
                  <c:v>370</c:v>
                </c:pt>
                <c:pt idx="1920">
                  <c:v>196</c:v>
                </c:pt>
                <c:pt idx="1921">
                  <c:v>249</c:v>
                </c:pt>
                <c:pt idx="1922">
                  <c:v>250</c:v>
                </c:pt>
                <c:pt idx="1923">
                  <c:v>381</c:v>
                </c:pt>
                <c:pt idx="1924">
                  <c:v>355</c:v>
                </c:pt>
                <c:pt idx="1925">
                  <c:v>328</c:v>
                </c:pt>
                <c:pt idx="1926">
                  <c:v>176</c:v>
                </c:pt>
                <c:pt idx="1927">
                  <c:v>150</c:v>
                </c:pt>
                <c:pt idx="1928">
                  <c:v>428</c:v>
                </c:pt>
                <c:pt idx="1929">
                  <c:v>250</c:v>
                </c:pt>
                <c:pt idx="1930">
                  <c:v>235</c:v>
                </c:pt>
                <c:pt idx="1931">
                  <c:v>389</c:v>
                </c:pt>
                <c:pt idx="1932">
                  <c:v>228</c:v>
                </c:pt>
                <c:pt idx="1933">
                  <c:v>211</c:v>
                </c:pt>
                <c:pt idx="1934">
                  <c:v>348</c:v>
                </c:pt>
                <c:pt idx="1935">
                  <c:v>370</c:v>
                </c:pt>
                <c:pt idx="1936">
                  <c:v>209</c:v>
                </c:pt>
                <c:pt idx="1937">
                  <c:v>236</c:v>
                </c:pt>
                <c:pt idx="1938">
                  <c:v>175</c:v>
                </c:pt>
                <c:pt idx="1939">
                  <c:v>332</c:v>
                </c:pt>
                <c:pt idx="1940">
                  <c:v>358</c:v>
                </c:pt>
                <c:pt idx="1941">
                  <c:v>270</c:v>
                </c:pt>
                <c:pt idx="1942">
                  <c:v>294</c:v>
                </c:pt>
                <c:pt idx="1943">
                  <c:v>282</c:v>
                </c:pt>
                <c:pt idx="1944">
                  <c:v>220</c:v>
                </c:pt>
                <c:pt idx="1945">
                  <c:v>266</c:v>
                </c:pt>
                <c:pt idx="1946">
                  <c:v>405</c:v>
                </c:pt>
                <c:pt idx="1947">
                  <c:v>186</c:v>
                </c:pt>
                <c:pt idx="1948">
                  <c:v>287</c:v>
                </c:pt>
                <c:pt idx="1949">
                  <c:v>250</c:v>
                </c:pt>
                <c:pt idx="1950">
                  <c:v>332</c:v>
                </c:pt>
                <c:pt idx="1951">
                  <c:v>285</c:v>
                </c:pt>
                <c:pt idx="1952">
                  <c:v>333</c:v>
                </c:pt>
                <c:pt idx="1953">
                  <c:v>409</c:v>
                </c:pt>
                <c:pt idx="1954">
                  <c:v>182</c:v>
                </c:pt>
                <c:pt idx="1955">
                  <c:v>292</c:v>
                </c:pt>
                <c:pt idx="1956">
                  <c:v>360</c:v>
                </c:pt>
                <c:pt idx="1957">
                  <c:v>219</c:v>
                </c:pt>
                <c:pt idx="1958">
                  <c:v>162</c:v>
                </c:pt>
                <c:pt idx="1959">
                  <c:v>171</c:v>
                </c:pt>
                <c:pt idx="1960">
                  <c:v>188</c:v>
                </c:pt>
                <c:pt idx="1961">
                  <c:v>350</c:v>
                </c:pt>
                <c:pt idx="1962">
                  <c:v>274</c:v>
                </c:pt>
                <c:pt idx="1963">
                  <c:v>243</c:v>
                </c:pt>
                <c:pt idx="1964">
                  <c:v>366</c:v>
                </c:pt>
                <c:pt idx="1965">
                  <c:v>291</c:v>
                </c:pt>
                <c:pt idx="1966">
                  <c:v>286</c:v>
                </c:pt>
                <c:pt idx="1967">
                  <c:v>296</c:v>
                </c:pt>
                <c:pt idx="1968">
                  <c:v>209</c:v>
                </c:pt>
                <c:pt idx="1969">
                  <c:v>172</c:v>
                </c:pt>
                <c:pt idx="1970">
                  <c:v>268</c:v>
                </c:pt>
                <c:pt idx="1971">
                  <c:v>199</c:v>
                </c:pt>
                <c:pt idx="1972">
                  <c:v>159</c:v>
                </c:pt>
                <c:pt idx="1973">
                  <c:v>315</c:v>
                </c:pt>
                <c:pt idx="1974">
                  <c:v>286</c:v>
                </c:pt>
                <c:pt idx="1975">
                  <c:v>252</c:v>
                </c:pt>
                <c:pt idx="1976">
                  <c:v>232</c:v>
                </c:pt>
                <c:pt idx="1977">
                  <c:v>150</c:v>
                </c:pt>
                <c:pt idx="1978">
                  <c:v>312</c:v>
                </c:pt>
                <c:pt idx="1979">
                  <c:v>282</c:v>
                </c:pt>
                <c:pt idx="1980">
                  <c:v>371</c:v>
                </c:pt>
                <c:pt idx="1981">
                  <c:v>299</c:v>
                </c:pt>
                <c:pt idx="1982">
                  <c:v>156</c:v>
                </c:pt>
                <c:pt idx="1983">
                  <c:v>164</c:v>
                </c:pt>
                <c:pt idx="1984">
                  <c:v>327</c:v>
                </c:pt>
                <c:pt idx="1985">
                  <c:v>289</c:v>
                </c:pt>
                <c:pt idx="1986">
                  <c:v>305</c:v>
                </c:pt>
                <c:pt idx="1987">
                  <c:v>330</c:v>
                </c:pt>
                <c:pt idx="1988">
                  <c:v>224</c:v>
                </c:pt>
                <c:pt idx="1989">
                  <c:v>340</c:v>
                </c:pt>
                <c:pt idx="1990">
                  <c:v>221</c:v>
                </c:pt>
                <c:pt idx="1991">
                  <c:v>289</c:v>
                </c:pt>
                <c:pt idx="1992">
                  <c:v>368</c:v>
                </c:pt>
                <c:pt idx="1993">
                  <c:v>248</c:v>
                </c:pt>
                <c:pt idx="1994">
                  <c:v>218</c:v>
                </c:pt>
                <c:pt idx="1995">
                  <c:v>360</c:v>
                </c:pt>
                <c:pt idx="1996">
                  <c:v>367</c:v>
                </c:pt>
                <c:pt idx="1997">
                  <c:v>325</c:v>
                </c:pt>
                <c:pt idx="1998">
                  <c:v>248</c:v>
                </c:pt>
                <c:pt idx="1999">
                  <c:v>246</c:v>
                </c:pt>
              </c:numCache>
            </c:numRef>
          </c:yVal>
          <c:smooth val="0"/>
          <c:extLst>
            <c:ext xmlns:c16="http://schemas.microsoft.com/office/drawing/2014/chart" uri="{C3380CC4-5D6E-409C-BE32-E72D297353CC}">
              <c16:uniqueId val="{00000000-1A06-45A5-915C-B14213051CC8}"/>
            </c:ext>
          </c:extLst>
        </c:ser>
        <c:dLbls>
          <c:showLegendKey val="0"/>
          <c:showVal val="0"/>
          <c:showCatName val="0"/>
          <c:showSerName val="0"/>
          <c:showPercent val="0"/>
          <c:showBubbleSize val="0"/>
        </c:dLbls>
        <c:axId val="1996108559"/>
        <c:axId val="1996112879"/>
      </c:scatterChart>
      <c:valAx>
        <c:axId val="1996108559"/>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1" i="0" u="none" strike="noStrike" kern="1200" baseline="0">
                    <a:solidFill>
                      <a:srgbClr val="00B050"/>
                    </a:solidFill>
                    <a:latin typeface="+mn-lt"/>
                    <a:ea typeface="+mn-ea"/>
                    <a:cs typeface="+mn-cs"/>
                  </a:defRPr>
                </a:pPr>
                <a:r>
                  <a:rPr lang="en-US" b="1" baseline="0">
                    <a:solidFill>
                      <a:srgbClr val="00B050"/>
                    </a:solidFill>
                  </a:rPr>
                  <a:t>Price (USD)</a:t>
                </a:r>
              </a:p>
            </c:rich>
          </c:tx>
          <c:layout>
            <c:manualLayout>
              <c:xMode val="edge"/>
              <c:yMode val="edge"/>
              <c:x val="0.51864457567804023"/>
              <c:y val="0.88793963254593178"/>
            </c:manualLayout>
          </c:layout>
          <c:overlay val="0"/>
          <c:spPr>
            <a:noFill/>
            <a:ln>
              <a:noFill/>
            </a:ln>
            <a:effectLst/>
          </c:spPr>
          <c:txPr>
            <a:bodyPr rot="0" spcFirstLastPara="1" vertOverflow="ellipsis" vert="horz" wrap="square" anchor="ctr" anchorCtr="1"/>
            <a:lstStyle/>
            <a:p>
              <a:pPr>
                <a:defRPr sz="1000" b="1" i="0" u="none" strike="noStrike" kern="1200" baseline="0">
                  <a:solidFill>
                    <a:srgbClr val="00B050"/>
                  </a:solidFill>
                  <a:latin typeface="+mn-lt"/>
                  <a:ea typeface="+mn-ea"/>
                  <a:cs typeface="+mn-cs"/>
                </a:defRPr>
              </a:pPr>
              <a:endParaRPr lang="en-US"/>
            </a:p>
          </c:txPr>
        </c:title>
        <c:numFmt formatCode="0,&quot;K&quot;"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1" i="0" u="none" strike="noStrike" kern="1200" baseline="0">
                <a:solidFill>
                  <a:srgbClr val="00B050"/>
                </a:solidFill>
                <a:latin typeface="+mn-lt"/>
                <a:ea typeface="+mn-ea"/>
                <a:cs typeface="+mn-cs"/>
              </a:defRPr>
            </a:pPr>
            <a:endParaRPr lang="en-US"/>
          </a:p>
        </c:txPr>
        <c:crossAx val="1996112879"/>
        <c:crosses val="autoZero"/>
        <c:crossBetween val="midCat"/>
      </c:valAx>
      <c:valAx>
        <c:axId val="199611287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baseline="0">
                    <a:solidFill>
                      <a:srgbClr val="00B050"/>
                    </a:solidFill>
                  </a:rPr>
                  <a:t>Driving Range (Miles)</a:t>
                </a:r>
              </a:p>
            </c:rich>
          </c:tx>
          <c:layout>
            <c:manualLayout>
              <c:xMode val="edge"/>
              <c:yMode val="edge"/>
              <c:x val="1.9444444444444445E-2"/>
              <c:y val="0.26377697579469234"/>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rgbClr val="00B050"/>
                </a:solidFill>
                <a:latin typeface="+mn-lt"/>
                <a:ea typeface="+mn-ea"/>
                <a:cs typeface="+mn-cs"/>
              </a:defRPr>
            </a:pPr>
            <a:endParaRPr lang="en-US"/>
          </a:p>
        </c:txPr>
        <c:crossAx val="1996108559"/>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[EV Market Analytics Dataset - Excel.xlsx]Country Wise Sales!PivotTable1</c:name>
    <c:fmtId val="2"/>
  </c:pivotSource>
  <c:chart>
    <c:title>
      <c:tx>
        <c:rich>
          <a:bodyPr rot="0" spcFirstLastPara="1" vertOverflow="ellipsis" vert="horz" wrap="square" anchor="ctr" anchorCtr="1"/>
          <a:lstStyle/>
          <a:p>
            <a:pPr>
              <a:defRPr sz="1400" b="1" i="0" u="none" strike="noStrike" kern="1200" spc="0" baseline="0">
                <a:solidFill>
                  <a:srgbClr val="00B050"/>
                </a:solidFill>
                <a:latin typeface="+mn-lt"/>
                <a:ea typeface="+mn-ea"/>
                <a:cs typeface="+mn-cs"/>
              </a:defRPr>
            </a:pPr>
            <a:r>
              <a:rPr lang="en-US" b="1" baseline="0">
                <a:solidFill>
                  <a:srgbClr val="00B050"/>
                </a:solidFill>
              </a:rPr>
              <a:t>Country Wise Sales </a:t>
            </a: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00B050"/>
              </a:solidFill>
              <a:latin typeface="+mn-lt"/>
              <a:ea typeface="+mn-ea"/>
              <a:cs typeface="+mn-cs"/>
            </a:defRPr>
          </a:pPr>
          <a:endParaRPr lang="en-US"/>
        </a:p>
      </c:txPr>
    </c:title>
    <c:autoTitleDeleted val="0"/>
    <c:pivotFmts>
      <c:pivotFmt>
        <c:idx val="0"/>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B05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B050"/>
          </a:solidFill>
          <a:ln>
            <a:noFill/>
          </a:ln>
          <a:effectLst/>
        </c:spPr>
      </c:pivotFmt>
      <c:pivotFmt>
        <c:idx val="2"/>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B05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B05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'Country Wise Sales'!$B$3</c:f>
              <c:strCache>
                <c:ptCount val="1"/>
                <c:pt idx="0">
                  <c:v>Total</c:v>
                </c:pt>
              </c:strCache>
            </c:strRef>
          </c:tx>
          <c:spPr>
            <a:solidFill>
              <a:srgbClr val="00B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B05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 Wise Sales'!$A$4:$A$10</c:f>
              <c:strCache>
                <c:ptCount val="6"/>
                <c:pt idx="0">
                  <c:v>US</c:v>
                </c:pt>
                <c:pt idx="1">
                  <c:v>Germany</c:v>
                </c:pt>
                <c:pt idx="2">
                  <c:v>China</c:v>
                </c:pt>
                <c:pt idx="3">
                  <c:v>South Korea</c:v>
                </c:pt>
                <c:pt idx="4">
                  <c:v>Japan</c:v>
                </c:pt>
                <c:pt idx="5">
                  <c:v>Sweden</c:v>
                </c:pt>
              </c:strCache>
            </c:strRef>
          </c:cat>
          <c:val>
            <c:numRef>
              <c:f>'Country Wise Sales'!$B$4:$B$10</c:f>
              <c:numCache>
                <c:formatCode>0.0,,"M"</c:formatCode>
                <c:ptCount val="6"/>
                <c:pt idx="0">
                  <c:v>110893602</c:v>
                </c:pt>
                <c:pt idx="1">
                  <c:v>64652058</c:v>
                </c:pt>
                <c:pt idx="2">
                  <c:v>51034721</c:v>
                </c:pt>
                <c:pt idx="3">
                  <c:v>31835174</c:v>
                </c:pt>
                <c:pt idx="4">
                  <c:v>621044</c:v>
                </c:pt>
                <c:pt idx="5">
                  <c:v>270585</c:v>
                </c:pt>
              </c:numCache>
            </c:numRef>
          </c:val>
          <c:extLst>
            <c:ext xmlns:c16="http://schemas.microsoft.com/office/drawing/2014/chart" uri="{C3380CC4-5D6E-409C-BE32-E72D297353CC}">
              <c16:uniqueId val="{00000000-9CE4-4B2F-A2CF-FDBAB49CE775}"/>
            </c:ext>
          </c:extLst>
        </c:ser>
        <c:dLbls>
          <c:dLblPos val="outEnd"/>
          <c:showLegendKey val="0"/>
          <c:showVal val="1"/>
          <c:showCatName val="0"/>
          <c:showSerName val="0"/>
          <c:showPercent val="0"/>
          <c:showBubbleSize val="0"/>
        </c:dLbls>
        <c:gapWidth val="182"/>
        <c:axId val="1362843935"/>
        <c:axId val="1362837695"/>
      </c:barChart>
      <c:catAx>
        <c:axId val="1362843935"/>
        <c:scaling>
          <c:orientation val="minMax"/>
        </c:scaling>
        <c:delete val="0"/>
        <c:axPos val="l"/>
        <c:title>
          <c:tx>
            <c:rich>
              <a:bodyPr rot="-5400000" spcFirstLastPara="1" vertOverflow="ellipsis" vert="horz" wrap="square" anchor="ctr" anchorCtr="1"/>
              <a:lstStyle/>
              <a:p>
                <a:pPr>
                  <a:defRPr sz="1000" b="1" i="0" u="none" strike="noStrike" kern="1200" baseline="0">
                    <a:solidFill>
                      <a:srgbClr val="00B050"/>
                    </a:solidFill>
                    <a:latin typeface="+mn-lt"/>
                    <a:ea typeface="+mn-ea"/>
                    <a:cs typeface="+mn-cs"/>
                  </a:defRPr>
                </a:pPr>
                <a:r>
                  <a:rPr lang="en-US" b="1" baseline="0">
                    <a:solidFill>
                      <a:srgbClr val="00B050"/>
                    </a:solidFill>
                  </a:rPr>
                  <a:t>Country</a:t>
                </a:r>
              </a:p>
            </c:rich>
          </c:tx>
          <c:layout>
            <c:manualLayout>
              <c:xMode val="edge"/>
              <c:yMode val="edge"/>
              <c:x val="2.2222222222222223E-2"/>
              <c:y val="0.47734179060950716"/>
            </c:manualLayout>
          </c:layout>
          <c:overlay val="0"/>
          <c:spPr>
            <a:noFill/>
            <a:ln>
              <a:noFill/>
            </a:ln>
            <a:effectLst/>
          </c:spPr>
          <c:txPr>
            <a:bodyPr rot="-5400000" spcFirstLastPara="1" vertOverflow="ellipsis" vert="horz" wrap="square" anchor="ctr" anchorCtr="1"/>
            <a:lstStyle/>
            <a:p>
              <a:pPr>
                <a:defRPr sz="1000" b="1" i="0" u="none" strike="noStrike" kern="1200" baseline="0">
                  <a:solidFill>
                    <a:srgbClr val="00B050"/>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rgbClr val="00B050"/>
                </a:solidFill>
                <a:latin typeface="+mn-lt"/>
                <a:ea typeface="+mn-ea"/>
                <a:cs typeface="+mn-cs"/>
              </a:defRPr>
            </a:pPr>
            <a:endParaRPr lang="en-US"/>
          </a:p>
        </c:txPr>
        <c:crossAx val="1362837695"/>
        <c:crosses val="autoZero"/>
        <c:auto val="1"/>
        <c:lblAlgn val="ctr"/>
        <c:lblOffset val="100"/>
        <c:noMultiLvlLbl val="0"/>
      </c:catAx>
      <c:valAx>
        <c:axId val="1362837695"/>
        <c:scaling>
          <c:orientation val="minMax"/>
        </c:scaling>
        <c:delete val="0"/>
        <c:axPos val="b"/>
        <c:title>
          <c:tx>
            <c:rich>
              <a:bodyPr rot="0" spcFirstLastPara="1" vertOverflow="ellipsis" vert="horz" wrap="square" anchor="ctr" anchorCtr="1"/>
              <a:lstStyle/>
              <a:p>
                <a:pPr>
                  <a:defRPr sz="1000" b="1" i="0" u="none" strike="noStrike" kern="1200" baseline="0">
                    <a:solidFill>
                      <a:srgbClr val="00B050"/>
                    </a:solidFill>
                    <a:latin typeface="+mn-lt"/>
                    <a:ea typeface="+mn-ea"/>
                    <a:cs typeface="+mn-cs"/>
                  </a:defRPr>
                </a:pPr>
                <a:r>
                  <a:rPr lang="en-US" b="1" baseline="0">
                    <a:solidFill>
                      <a:srgbClr val="00B050"/>
                    </a:solidFill>
                  </a:rPr>
                  <a:t>Annual Sales </a:t>
                </a:r>
              </a:p>
            </c:rich>
          </c:tx>
          <c:layout>
            <c:manualLayout>
              <c:xMode val="edge"/>
              <c:yMode val="edge"/>
              <c:x val="0.44198862642169734"/>
              <c:y val="0.89256926217556143"/>
            </c:manualLayout>
          </c:layout>
          <c:overlay val="0"/>
          <c:spPr>
            <a:noFill/>
            <a:ln>
              <a:noFill/>
            </a:ln>
            <a:effectLst/>
          </c:spPr>
          <c:txPr>
            <a:bodyPr rot="0" spcFirstLastPara="1" vertOverflow="ellipsis" vert="horz" wrap="square" anchor="ctr" anchorCtr="1"/>
            <a:lstStyle/>
            <a:p>
              <a:pPr>
                <a:defRPr sz="1000" b="1" i="0" u="none" strike="noStrike" kern="1200" baseline="0">
                  <a:solidFill>
                    <a:srgbClr val="00B050"/>
                  </a:solidFill>
                  <a:latin typeface="+mn-lt"/>
                  <a:ea typeface="+mn-ea"/>
                  <a:cs typeface="+mn-cs"/>
                </a:defRPr>
              </a:pPr>
              <a:endParaRPr lang="en-US"/>
            </a:p>
          </c:txPr>
        </c:title>
        <c:numFmt formatCode="0.0,,&quot;M&quot;"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rgbClr val="00B050"/>
                </a:solidFill>
                <a:latin typeface="+mn-lt"/>
                <a:ea typeface="+mn-ea"/>
                <a:cs typeface="+mn-cs"/>
              </a:defRPr>
            </a:pPr>
            <a:endParaRPr lang="en-US"/>
          </a:p>
        </c:txPr>
        <c:crossAx val="13628439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[EV Market Analytics Dataset - Excel.xlsx]Performance Type Distribution!PivotTable1</c:name>
    <c:fmtId val="2"/>
  </c:pivotSource>
  <c:chart>
    <c:title>
      <c:tx>
        <c:rich>
          <a:bodyPr rot="0" spcFirstLastPara="1" vertOverflow="ellipsis" vert="horz" wrap="square" anchor="ctr" anchorCtr="1"/>
          <a:lstStyle/>
          <a:p>
            <a:pPr>
              <a:defRPr sz="1400" b="1" i="0" u="none" strike="noStrike" kern="1200" spc="0" baseline="0">
                <a:solidFill>
                  <a:srgbClr val="00B050"/>
                </a:solidFill>
                <a:latin typeface="+mn-lt"/>
                <a:ea typeface="+mn-ea"/>
                <a:cs typeface="+mn-cs"/>
              </a:defRPr>
            </a:pPr>
            <a:r>
              <a:rPr lang="en-US" b="1"/>
              <a:t>Vehicle Performance Distribution</a:t>
            </a: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00B050"/>
              </a:solidFill>
              <a:latin typeface="+mn-lt"/>
              <a:ea typeface="+mn-ea"/>
              <a:cs typeface="+mn-cs"/>
            </a:defRPr>
          </a:pPr>
          <a:endParaRPr lang="en-US"/>
        </a:p>
      </c:txPr>
    </c:title>
    <c:autoTitleDeleted val="0"/>
    <c:pivotFmts>
      <c:pivotFmt>
        <c:idx val="0"/>
        <c:spPr>
          <a:solidFill>
            <a:srgbClr val="00B050"/>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B050"/>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B050"/>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'Performance Type Distribution'!$B$3</c:f>
              <c:strCache>
                <c:ptCount val="1"/>
                <c:pt idx="0">
                  <c:v>Total</c:v>
                </c:pt>
              </c:strCache>
            </c:strRef>
          </c:tx>
          <c:spPr>
            <a:solidFill>
              <a:srgbClr val="00B050"/>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'Performance Type Distribution'!$A$4:$A$7</c:f>
              <c:strCache>
                <c:ptCount val="3"/>
                <c:pt idx="0">
                  <c:v>Normal</c:v>
                </c:pt>
                <c:pt idx="1">
                  <c:v>Medium</c:v>
                </c:pt>
                <c:pt idx="2">
                  <c:v>High Performance</c:v>
                </c:pt>
              </c:strCache>
            </c:strRef>
          </c:cat>
          <c:val>
            <c:numRef>
              <c:f>'Performance Type Distribution'!$B$4:$B$7</c:f>
              <c:numCache>
                <c:formatCode>General</c:formatCode>
                <c:ptCount val="3"/>
                <c:pt idx="0">
                  <c:v>413</c:v>
                </c:pt>
                <c:pt idx="1">
                  <c:v>1302</c:v>
                </c:pt>
                <c:pt idx="2">
                  <c:v>285</c:v>
                </c:pt>
              </c:numCache>
            </c:numRef>
          </c:val>
          <c:extLst>
            <c:ext xmlns:c16="http://schemas.microsoft.com/office/drawing/2014/chart" uri="{C3380CC4-5D6E-409C-BE32-E72D297353CC}">
              <c16:uniqueId val="{00000000-F159-478E-97F5-613D03A9106C}"/>
            </c:ext>
          </c:extLst>
        </c:ser>
        <c:dLbls>
          <c:dLblPos val="ctr"/>
          <c:showLegendKey val="0"/>
          <c:showVal val="1"/>
          <c:showCatName val="0"/>
          <c:showSerName val="0"/>
          <c:showPercent val="0"/>
          <c:showBubbleSize val="0"/>
        </c:dLbls>
        <c:gapWidth val="219"/>
        <c:overlap val="-27"/>
        <c:axId val="1627703600"/>
        <c:axId val="1627702160"/>
      </c:barChart>
      <c:catAx>
        <c:axId val="1627703600"/>
        <c:scaling>
          <c:orientation val="minMax"/>
        </c:scaling>
        <c:delete val="0"/>
        <c:axPos val="b"/>
        <c:title>
          <c:tx>
            <c:rich>
              <a:bodyPr rot="0" spcFirstLastPara="1" vertOverflow="ellipsis" vert="horz" wrap="square" anchor="ctr" anchorCtr="1"/>
              <a:lstStyle/>
              <a:p>
                <a:pPr>
                  <a:defRPr sz="1000" b="1" i="0" u="none" strike="noStrike" kern="1200" baseline="0">
                    <a:solidFill>
                      <a:srgbClr val="00B050"/>
                    </a:solidFill>
                    <a:latin typeface="+mn-lt"/>
                    <a:ea typeface="+mn-ea"/>
                    <a:cs typeface="+mn-cs"/>
                  </a:defRPr>
                </a:pPr>
                <a:r>
                  <a:rPr lang="en-US" b="1"/>
                  <a:t>Performance Type </a:t>
                </a:r>
              </a:p>
            </c:rich>
          </c:tx>
          <c:overlay val="0"/>
          <c:spPr>
            <a:noFill/>
            <a:ln>
              <a:noFill/>
            </a:ln>
            <a:effectLst/>
          </c:spPr>
          <c:txPr>
            <a:bodyPr rot="0" spcFirstLastPara="1" vertOverflow="ellipsis" vert="horz" wrap="square" anchor="ctr" anchorCtr="1"/>
            <a:lstStyle/>
            <a:p>
              <a:pPr>
                <a:defRPr sz="1000" b="1" i="0" u="none" strike="noStrike" kern="1200" baseline="0">
                  <a:solidFill>
                    <a:srgbClr val="00B050"/>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rgbClr val="00B050"/>
                </a:solidFill>
                <a:latin typeface="+mn-lt"/>
                <a:ea typeface="+mn-ea"/>
                <a:cs typeface="+mn-cs"/>
              </a:defRPr>
            </a:pPr>
            <a:endParaRPr lang="en-US"/>
          </a:p>
        </c:txPr>
        <c:crossAx val="1627702160"/>
        <c:crosses val="autoZero"/>
        <c:auto val="1"/>
        <c:lblAlgn val="ctr"/>
        <c:lblOffset val="100"/>
        <c:noMultiLvlLbl val="0"/>
      </c:catAx>
      <c:valAx>
        <c:axId val="1627702160"/>
        <c:scaling>
          <c:orientation val="minMax"/>
        </c:scaling>
        <c:delete val="0"/>
        <c:axPos val="l"/>
        <c:title>
          <c:tx>
            <c:rich>
              <a:bodyPr rot="-5400000" spcFirstLastPara="1" vertOverflow="ellipsis" vert="horz" wrap="square" anchor="ctr" anchorCtr="1"/>
              <a:lstStyle/>
              <a:p>
                <a:pPr>
                  <a:defRPr sz="1000" b="1" i="0" u="none" strike="noStrike" kern="1200" baseline="0">
                    <a:solidFill>
                      <a:srgbClr val="00B050"/>
                    </a:solidFill>
                    <a:latin typeface="+mn-lt"/>
                    <a:ea typeface="+mn-ea"/>
                    <a:cs typeface="+mn-cs"/>
                  </a:defRPr>
                </a:pPr>
                <a:r>
                  <a:rPr lang="en-US" b="1"/>
                  <a:t>Total Vehicles </a:t>
                </a:r>
              </a:p>
            </c:rich>
          </c:tx>
          <c:overlay val="0"/>
          <c:spPr>
            <a:noFill/>
            <a:ln>
              <a:noFill/>
            </a:ln>
            <a:effectLst/>
          </c:spPr>
          <c:txPr>
            <a:bodyPr rot="-5400000" spcFirstLastPara="1" vertOverflow="ellipsis" vert="horz" wrap="square" anchor="ctr" anchorCtr="1"/>
            <a:lstStyle/>
            <a:p>
              <a:pPr>
                <a:defRPr sz="1000" b="1" i="0" u="none" strike="noStrike" kern="1200" baseline="0">
                  <a:solidFill>
                    <a:srgbClr val="00B050"/>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rgbClr val="00B050"/>
                </a:solidFill>
                <a:latin typeface="+mn-lt"/>
                <a:ea typeface="+mn-ea"/>
                <a:cs typeface="+mn-cs"/>
              </a:defRPr>
            </a:pPr>
            <a:endParaRPr lang="en-US"/>
          </a:p>
        </c:txPr>
        <c:crossAx val="16277036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baseline="0">
          <a:solidFill>
            <a:srgbClr val="00B05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[EV Market Analytics Dataset - Excel.xlsx]Efficiency By Brand !PivotTable5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00B050"/>
                </a:solidFill>
              </a:rPr>
              <a:t>Top</a:t>
            </a:r>
            <a:r>
              <a:rPr lang="en-US" b="1" baseline="0">
                <a:solidFill>
                  <a:srgbClr val="00B050"/>
                </a:solidFill>
              </a:rPr>
              <a:t> 10 </a:t>
            </a:r>
            <a:r>
              <a:rPr lang="en-US" b="1">
                <a:solidFill>
                  <a:srgbClr val="00B050"/>
                </a:solidFill>
              </a:rPr>
              <a:t>Most Efficient EV Brands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975298446674707"/>
          <c:y val="9.3851130282908604E-2"/>
          <c:w val="0.73992453200120356"/>
          <c:h val="0.74458819167110979"/>
        </c:manualLayout>
      </c:layout>
      <c:barChart>
        <c:barDir val="bar"/>
        <c:grouping val="clustered"/>
        <c:varyColors val="0"/>
        <c:ser>
          <c:idx val="0"/>
          <c:order val="0"/>
          <c:tx>
            <c:strRef>
              <c:f>'Efficiency By Brand '!$B$3</c:f>
              <c:strCache>
                <c:ptCount val="1"/>
                <c:pt idx="0">
                  <c:v>Total</c:v>
                </c:pt>
              </c:strCache>
            </c:strRef>
          </c:tx>
          <c:spPr>
            <a:solidFill>
              <a:srgbClr val="00B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'Efficiency By Brand '!$A$4:$A$13</c:f>
              <c:strCache>
                <c:ptCount val="10"/>
                <c:pt idx="0">
                  <c:v>Lucid</c:v>
                </c:pt>
                <c:pt idx="1">
                  <c:v>Polestar</c:v>
                </c:pt>
                <c:pt idx="2">
                  <c:v>Volvo</c:v>
                </c:pt>
                <c:pt idx="3">
                  <c:v>Fisker</c:v>
                </c:pt>
                <c:pt idx="4">
                  <c:v>Porsche</c:v>
                </c:pt>
                <c:pt idx="5">
                  <c:v>GM/Chevrolet</c:v>
                </c:pt>
                <c:pt idx="6">
                  <c:v>Honda</c:v>
                </c:pt>
                <c:pt idx="7">
                  <c:v>NIO</c:v>
                </c:pt>
                <c:pt idx="8">
                  <c:v>BYD</c:v>
                </c:pt>
                <c:pt idx="9">
                  <c:v>Ford</c:v>
                </c:pt>
              </c:strCache>
            </c:strRef>
          </c:cat>
          <c:val>
            <c:numRef>
              <c:f>'Efficiency By Brand '!$B$4:$B$13</c:f>
              <c:numCache>
                <c:formatCode>0.00</c:formatCode>
                <c:ptCount val="10"/>
                <c:pt idx="0">
                  <c:v>3.6716666666666664</c:v>
                </c:pt>
                <c:pt idx="1">
                  <c:v>3.6244444444444444</c:v>
                </c:pt>
                <c:pt idx="2">
                  <c:v>3.5675000000000003</c:v>
                </c:pt>
                <c:pt idx="3">
                  <c:v>3.5672000000000001</c:v>
                </c:pt>
                <c:pt idx="4">
                  <c:v>3.5428571428571423</c:v>
                </c:pt>
                <c:pt idx="5">
                  <c:v>3.5379020979020974</c:v>
                </c:pt>
                <c:pt idx="6">
                  <c:v>3.5300000000000002</c:v>
                </c:pt>
                <c:pt idx="7">
                  <c:v>3.5239130434782608</c:v>
                </c:pt>
                <c:pt idx="8">
                  <c:v>3.523297872340426</c:v>
                </c:pt>
                <c:pt idx="9">
                  <c:v>3.5166666666666662</c:v>
                </c:pt>
              </c:numCache>
            </c:numRef>
          </c:val>
          <c:extLst>
            <c:ext xmlns:c16="http://schemas.microsoft.com/office/drawing/2014/chart" uri="{C3380CC4-5D6E-409C-BE32-E72D297353CC}">
              <c16:uniqueId val="{00000000-331A-40C7-9A7B-78BC859FC6BE}"/>
            </c:ext>
          </c:extLst>
        </c:ser>
        <c:dLbls>
          <c:dLblPos val="ctr"/>
          <c:showLegendKey val="0"/>
          <c:showVal val="1"/>
          <c:showCatName val="0"/>
          <c:showSerName val="0"/>
          <c:showPercent val="0"/>
          <c:showBubbleSize val="0"/>
        </c:dLbls>
        <c:gapWidth val="100"/>
        <c:axId val="1996107119"/>
        <c:axId val="1996107599"/>
      </c:barChart>
      <c:catAx>
        <c:axId val="1996107119"/>
        <c:scaling>
          <c:orientation val="minMax"/>
        </c:scaling>
        <c:delete val="0"/>
        <c:axPos val="l"/>
        <c:title>
          <c:tx>
            <c:rich>
              <a:bodyPr rot="-5400000" spcFirstLastPara="1" vertOverflow="ellipsis" vert="horz" wrap="square" anchor="ctr" anchorCtr="1"/>
              <a:lstStyle/>
              <a:p>
                <a:pPr>
                  <a:defRPr sz="1000" b="1" i="0" u="none" strike="noStrike" kern="1200" baseline="0">
                    <a:solidFill>
                      <a:srgbClr val="00B050"/>
                    </a:solidFill>
                    <a:latin typeface="+mn-lt"/>
                    <a:ea typeface="+mn-ea"/>
                    <a:cs typeface="+mn-cs"/>
                  </a:defRPr>
                </a:pPr>
                <a:r>
                  <a:rPr lang="en-US" b="1" baseline="0">
                    <a:solidFill>
                      <a:srgbClr val="00B050"/>
                    </a:solidFill>
                  </a:rPr>
                  <a:t>Brand</a:t>
                </a:r>
              </a:p>
            </c:rich>
          </c:tx>
          <c:layout>
            <c:manualLayout>
              <c:xMode val="edge"/>
              <c:yMode val="edge"/>
              <c:x val="2.9999994335241538E-2"/>
              <c:y val="0.48439655968575784"/>
            </c:manualLayout>
          </c:layout>
          <c:overlay val="0"/>
          <c:spPr>
            <a:noFill/>
            <a:ln>
              <a:noFill/>
            </a:ln>
            <a:effectLst/>
          </c:spPr>
          <c:txPr>
            <a:bodyPr rot="-5400000" spcFirstLastPara="1" vertOverflow="ellipsis" vert="horz" wrap="square" anchor="ctr" anchorCtr="1"/>
            <a:lstStyle/>
            <a:p>
              <a:pPr>
                <a:defRPr sz="1000" b="1" i="0" u="none" strike="noStrike" kern="1200" baseline="0">
                  <a:solidFill>
                    <a:srgbClr val="00B050"/>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rgbClr val="00B050"/>
                </a:solidFill>
                <a:latin typeface="+mn-lt"/>
                <a:ea typeface="+mn-ea"/>
                <a:cs typeface="+mn-cs"/>
              </a:defRPr>
            </a:pPr>
            <a:endParaRPr lang="en-US"/>
          </a:p>
        </c:txPr>
        <c:crossAx val="1996107599"/>
        <c:crosses val="autoZero"/>
        <c:auto val="1"/>
        <c:lblAlgn val="ctr"/>
        <c:lblOffset val="100"/>
        <c:noMultiLvlLbl val="0"/>
      </c:catAx>
      <c:valAx>
        <c:axId val="1996107599"/>
        <c:scaling>
          <c:orientation val="minMax"/>
          <c:min val="3"/>
        </c:scaling>
        <c:delete val="0"/>
        <c:axPos val="b"/>
        <c:title>
          <c:tx>
            <c:rich>
              <a:bodyPr rot="0" spcFirstLastPara="1" vertOverflow="ellipsis" vert="horz" wrap="square" anchor="ctr" anchorCtr="1"/>
              <a:lstStyle/>
              <a:p>
                <a:pPr>
                  <a:defRPr sz="1000" b="1" i="0" u="none" strike="noStrike" kern="1200" baseline="0">
                    <a:solidFill>
                      <a:srgbClr val="00B050"/>
                    </a:solidFill>
                    <a:latin typeface="+mn-lt"/>
                    <a:ea typeface="+mn-ea"/>
                    <a:cs typeface="+mn-cs"/>
                  </a:defRPr>
                </a:pPr>
                <a:r>
                  <a:rPr lang="en-US" b="1" baseline="0">
                    <a:solidFill>
                      <a:srgbClr val="00B050"/>
                    </a:solidFill>
                  </a:rPr>
                  <a:t>Average By Efficiency </a:t>
                </a:r>
              </a:p>
            </c:rich>
          </c:tx>
          <c:layout>
            <c:manualLayout>
              <c:xMode val="edge"/>
              <c:yMode val="edge"/>
              <c:x val="0.40580352123276431"/>
              <c:y val="0.90823453289907186"/>
            </c:manualLayout>
          </c:layout>
          <c:overlay val="0"/>
          <c:spPr>
            <a:noFill/>
            <a:ln>
              <a:noFill/>
            </a:ln>
            <a:effectLst/>
          </c:spPr>
          <c:txPr>
            <a:bodyPr rot="0" spcFirstLastPara="1" vertOverflow="ellipsis" vert="horz" wrap="square" anchor="ctr" anchorCtr="1"/>
            <a:lstStyle/>
            <a:p>
              <a:pPr>
                <a:defRPr sz="1000" b="1" i="0" u="none" strike="noStrike" kern="1200" baseline="0">
                  <a:solidFill>
                    <a:srgbClr val="00B050"/>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rgbClr val="00B050"/>
                </a:solidFill>
                <a:latin typeface="+mn-lt"/>
                <a:ea typeface="+mn-ea"/>
                <a:cs typeface="+mn-cs"/>
              </a:defRPr>
            </a:pPr>
            <a:endParaRPr lang="en-US"/>
          </a:p>
        </c:txPr>
        <c:crossAx val="19961071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[EV Market Analytics Dataset - Excel.xlsx]Top 10 Brand vs Total Sales!PivotTable1</c:name>
    <c:fmtId val="5"/>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solidFill>
                  <a:srgbClr val="00B050"/>
                </a:solidFill>
              </a:rPr>
              <a:t>Top 10 Brand vs Total Sales</a:t>
            </a:r>
          </a:p>
        </c:rich>
      </c:tx>
      <c:layout>
        <c:manualLayout>
          <c:xMode val="edge"/>
          <c:yMode val="edge"/>
          <c:x val="0.2741189734306741"/>
          <c:y val="2.6639250440534064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0B050"/>
          </a:solidFill>
          <a:ln>
            <a:noFill/>
          </a:ln>
          <a:effectLst/>
        </c:spPr>
        <c:marker>
          <c:symbol val="none"/>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B05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B050"/>
          </a:solidFill>
          <a:ln>
            <a:noFill/>
          </a:ln>
          <a:effectLst/>
        </c:spPr>
        <c:marker>
          <c:symbol val="none"/>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B05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B050"/>
          </a:solidFill>
          <a:ln>
            <a:noFill/>
          </a:ln>
          <a:effectLst/>
        </c:spPr>
        <c:marker>
          <c:symbol val="none"/>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B05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10 Brand vs Total Sales'!$B$3</c:f>
              <c:strCache>
                <c:ptCount val="1"/>
                <c:pt idx="0">
                  <c:v>Total</c:v>
                </c:pt>
              </c:strCache>
            </c:strRef>
          </c:tx>
          <c:spPr>
            <a:solidFill>
              <a:srgbClr val="00B050"/>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B05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10 Brand vs Total Sales'!$A$4:$A$13</c:f>
              <c:strCache>
                <c:ptCount val="10"/>
                <c:pt idx="0">
                  <c:v>Tesla</c:v>
                </c:pt>
                <c:pt idx="1">
                  <c:v>BYD</c:v>
                </c:pt>
                <c:pt idx="2">
                  <c:v>Volkswagen</c:v>
                </c:pt>
                <c:pt idx="3">
                  <c:v>Kia</c:v>
                </c:pt>
                <c:pt idx="4">
                  <c:v>Hyundai</c:v>
                </c:pt>
                <c:pt idx="5">
                  <c:v>BMW</c:v>
                </c:pt>
                <c:pt idx="6">
                  <c:v>Ford</c:v>
                </c:pt>
                <c:pt idx="7">
                  <c:v>Mercedes</c:v>
                </c:pt>
                <c:pt idx="8">
                  <c:v>Audi</c:v>
                </c:pt>
                <c:pt idx="9">
                  <c:v>GM/Chevrolet</c:v>
                </c:pt>
              </c:strCache>
            </c:strRef>
          </c:cat>
          <c:val>
            <c:numRef>
              <c:f>'Top 10 Brand vs Total Sales'!$B$4:$B$13</c:f>
              <c:numCache>
                <c:formatCode>0.0,,"M"</c:formatCode>
                <c:ptCount val="10"/>
                <c:pt idx="0">
                  <c:v>101459482</c:v>
                </c:pt>
                <c:pt idx="1">
                  <c:v>50472617</c:v>
                </c:pt>
                <c:pt idx="2">
                  <c:v>48186657</c:v>
                </c:pt>
                <c:pt idx="3">
                  <c:v>16612129</c:v>
                </c:pt>
                <c:pt idx="4">
                  <c:v>15223045</c:v>
                </c:pt>
                <c:pt idx="5">
                  <c:v>7445149</c:v>
                </c:pt>
                <c:pt idx="6">
                  <c:v>6057329</c:v>
                </c:pt>
                <c:pt idx="7">
                  <c:v>4982856</c:v>
                </c:pt>
                <c:pt idx="8">
                  <c:v>3811099</c:v>
                </c:pt>
                <c:pt idx="9">
                  <c:v>2292030</c:v>
                </c:pt>
              </c:numCache>
            </c:numRef>
          </c:val>
          <c:extLst>
            <c:ext xmlns:c16="http://schemas.microsoft.com/office/drawing/2014/chart" uri="{C3380CC4-5D6E-409C-BE32-E72D297353CC}">
              <c16:uniqueId val="{00000000-3F5E-491D-B83C-CBA03BE513B9}"/>
            </c:ext>
          </c:extLst>
        </c:ser>
        <c:dLbls>
          <c:dLblPos val="outEnd"/>
          <c:showLegendKey val="0"/>
          <c:showVal val="1"/>
          <c:showCatName val="0"/>
          <c:showSerName val="0"/>
          <c:showPercent val="0"/>
          <c:showBubbleSize val="0"/>
        </c:dLbls>
        <c:gapWidth val="182"/>
        <c:axId val="1890582607"/>
        <c:axId val="1890589327"/>
      </c:barChart>
      <c:catAx>
        <c:axId val="1890582607"/>
        <c:scaling>
          <c:orientation val="minMax"/>
        </c:scaling>
        <c:delete val="0"/>
        <c:axPos val="l"/>
        <c:title>
          <c:tx>
            <c:rich>
              <a:bodyPr rot="-5400000" spcFirstLastPara="1" vertOverflow="ellipsis" vert="horz" wrap="square" anchor="ctr" anchorCtr="1"/>
              <a:lstStyle/>
              <a:p>
                <a:pPr>
                  <a:defRPr sz="1000" b="1" i="0" u="none" strike="noStrike" kern="1200" baseline="0">
                    <a:solidFill>
                      <a:srgbClr val="00B050"/>
                    </a:solidFill>
                    <a:latin typeface="+mn-lt"/>
                    <a:ea typeface="+mn-ea"/>
                    <a:cs typeface="+mn-cs"/>
                  </a:defRPr>
                </a:pPr>
                <a:r>
                  <a:rPr lang="en-US" b="1" baseline="0">
                    <a:solidFill>
                      <a:srgbClr val="00B050"/>
                    </a:solidFill>
                  </a:rPr>
                  <a:t>Brand</a:t>
                </a:r>
              </a:p>
            </c:rich>
          </c:tx>
          <c:overlay val="0"/>
          <c:spPr>
            <a:noFill/>
            <a:ln>
              <a:noFill/>
            </a:ln>
            <a:effectLst/>
          </c:spPr>
          <c:txPr>
            <a:bodyPr rot="-5400000" spcFirstLastPara="1" vertOverflow="ellipsis" vert="horz" wrap="square" anchor="ctr" anchorCtr="1"/>
            <a:lstStyle/>
            <a:p>
              <a:pPr>
                <a:defRPr sz="1000" b="1" i="0" u="none" strike="noStrike" kern="1200" baseline="0">
                  <a:solidFill>
                    <a:srgbClr val="00B050"/>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rgbClr val="00B050"/>
                </a:solidFill>
                <a:latin typeface="+mn-lt"/>
                <a:ea typeface="+mn-ea"/>
                <a:cs typeface="+mn-cs"/>
              </a:defRPr>
            </a:pPr>
            <a:endParaRPr lang="en-US"/>
          </a:p>
        </c:txPr>
        <c:crossAx val="1890589327"/>
        <c:crosses val="autoZero"/>
        <c:auto val="1"/>
        <c:lblAlgn val="ctr"/>
        <c:lblOffset val="100"/>
        <c:noMultiLvlLbl val="0"/>
      </c:catAx>
      <c:valAx>
        <c:axId val="1890589327"/>
        <c:scaling>
          <c:orientation val="minMax"/>
        </c:scaling>
        <c:delete val="0"/>
        <c:axPos val="b"/>
        <c:title>
          <c:tx>
            <c:rich>
              <a:bodyPr rot="0" spcFirstLastPara="1" vertOverflow="ellipsis" vert="horz" wrap="square" anchor="ctr" anchorCtr="1"/>
              <a:lstStyle/>
              <a:p>
                <a:pPr>
                  <a:defRPr sz="1000" b="1" i="0" u="none" strike="noStrike" kern="1200" baseline="0">
                    <a:solidFill>
                      <a:srgbClr val="00B050"/>
                    </a:solidFill>
                    <a:latin typeface="+mn-lt"/>
                    <a:ea typeface="+mn-ea"/>
                    <a:cs typeface="+mn-cs"/>
                  </a:defRPr>
                </a:pPr>
                <a:r>
                  <a:rPr lang="en-US" b="1" baseline="0">
                    <a:solidFill>
                      <a:srgbClr val="00B050"/>
                    </a:solidFill>
                  </a:rPr>
                  <a:t>Total Sales </a:t>
                </a:r>
              </a:p>
            </c:rich>
          </c:tx>
          <c:overlay val="0"/>
          <c:spPr>
            <a:noFill/>
            <a:ln>
              <a:noFill/>
            </a:ln>
            <a:effectLst/>
          </c:spPr>
          <c:txPr>
            <a:bodyPr rot="0" spcFirstLastPara="1" vertOverflow="ellipsis" vert="horz" wrap="square" anchor="ctr" anchorCtr="1"/>
            <a:lstStyle/>
            <a:p>
              <a:pPr>
                <a:defRPr sz="1000" b="1" i="0" u="none" strike="noStrike" kern="1200" baseline="0">
                  <a:solidFill>
                    <a:srgbClr val="00B050"/>
                  </a:solidFill>
                  <a:latin typeface="+mn-lt"/>
                  <a:ea typeface="+mn-ea"/>
                  <a:cs typeface="+mn-cs"/>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rgbClr val="00B050"/>
                </a:solidFill>
                <a:latin typeface="+mn-lt"/>
                <a:ea typeface="+mn-ea"/>
                <a:cs typeface="+mn-cs"/>
              </a:defRPr>
            </a:pPr>
            <a:endParaRPr lang="en-US"/>
          </a:p>
        </c:txPr>
        <c:crossAx val="1890582607"/>
        <c:crosses val="autoZero"/>
        <c:crossBetween val="between"/>
        <c:dispUnits>
          <c:builtInUnit val="millions"/>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[EV Market Analytics Dataset - Excel.xlsx]Market Segment Distribution!PivotTable3</c:name>
    <c:fmtId val="3"/>
  </c:pivotSource>
  <c:chart>
    <c:title>
      <c:tx>
        <c:rich>
          <a:bodyPr rot="0" spcFirstLastPara="1" vertOverflow="ellipsis" vert="horz" wrap="square" anchor="ctr" anchorCtr="1"/>
          <a:lstStyle/>
          <a:p>
            <a:pPr>
              <a:defRPr sz="1400" b="1" i="0" u="none" strike="noStrike" kern="1200" spc="0" baseline="0">
                <a:solidFill>
                  <a:srgbClr val="00B050"/>
                </a:solidFill>
                <a:latin typeface="+mn-lt"/>
                <a:ea typeface="+mn-ea"/>
                <a:cs typeface="+mn-cs"/>
              </a:defRPr>
            </a:pPr>
            <a:r>
              <a:rPr lang="en-US" baseline="0">
                <a:solidFill>
                  <a:srgbClr val="00B050"/>
                </a:solidFill>
              </a:rPr>
              <a:t>EV Market Segment Breakdown</a:t>
            </a: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00B050"/>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numFmt formatCode="0.00%" sourceLinked="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6">
              <a:lumMod val="75000"/>
            </a:schemeClr>
          </a:solidFill>
          <a:ln w="19050">
            <a:solidFill>
              <a:schemeClr val="lt1"/>
            </a:solidFill>
          </a:ln>
          <a:effectLst/>
        </c:spPr>
        <c:dLbl>
          <c:idx val="0"/>
          <c:layout>
            <c:manualLayout>
              <c:x val="5.201692519856139E-3"/>
              <c:y val="2.7947787531780378E-2"/>
            </c:manualLayout>
          </c:layout>
          <c:numFmt formatCode="0.00%" sourceLinked="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7.6285209923980746E-2"/>
                  <c:h val="8.0960800038884007E-2"/>
                </c:manualLayout>
              </c15:layout>
            </c:ext>
          </c:extLst>
        </c:dLbl>
      </c:pivotFmt>
      <c:pivotFmt>
        <c:idx val="2"/>
        <c:spPr>
          <a:solidFill>
            <a:schemeClr val="accent6">
              <a:lumMod val="20000"/>
              <a:lumOff val="80000"/>
            </a:schemeClr>
          </a:solidFill>
          <a:ln w="19050">
            <a:solidFill>
              <a:schemeClr val="lt1"/>
            </a:solidFill>
          </a:ln>
          <a:effectLst/>
        </c:spPr>
      </c:pivotFmt>
      <c:pivotFmt>
        <c:idx val="3"/>
        <c:spPr>
          <a:solidFill>
            <a:srgbClr val="92D050"/>
          </a:solidFill>
          <a:ln w="19050">
            <a:solidFill>
              <a:schemeClr val="lt1"/>
            </a:solidFill>
          </a:ln>
          <a:effectLst/>
        </c:spPr>
        <c:dLbl>
          <c:idx val="0"/>
          <c:layout>
            <c:manualLayout>
              <c:x val="-2.5284450063211204E-2"/>
              <c:y val="-1.4145927120022213E-16"/>
            </c:manualLayout>
          </c:layout>
          <c:numFmt formatCode="0.00%" sourceLinked="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4"/>
        <c:spPr>
          <a:solidFill>
            <a:srgbClr val="00FF00"/>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numFmt formatCode="0.00%" sourceLinked="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6">
              <a:lumMod val="20000"/>
              <a:lumOff val="80000"/>
            </a:schemeClr>
          </a:solidFill>
          <a:ln w="19050">
            <a:solidFill>
              <a:schemeClr val="lt1"/>
            </a:solidFill>
          </a:ln>
          <a:effectLst/>
        </c:spPr>
      </c:pivotFmt>
      <c:pivotFmt>
        <c:idx val="7"/>
        <c:spPr>
          <a:solidFill>
            <a:schemeClr val="accent6">
              <a:lumMod val="75000"/>
            </a:schemeClr>
          </a:solidFill>
          <a:ln w="19050">
            <a:solidFill>
              <a:schemeClr val="lt1"/>
            </a:solidFill>
          </a:ln>
          <a:effectLst/>
        </c:spPr>
        <c:dLbl>
          <c:idx val="0"/>
          <c:layout>
            <c:manualLayout>
              <c:x val="5.201692519856139E-3"/>
              <c:y val="2.7947787531780378E-2"/>
            </c:manualLayout>
          </c:layout>
          <c:numFmt formatCode="0.00%" sourceLinked="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7.6285209923980746E-2"/>
                  <c:h val="8.0960800038884007E-2"/>
                </c:manualLayout>
              </c15:layout>
            </c:ext>
          </c:extLst>
        </c:dLbl>
      </c:pivotFmt>
      <c:pivotFmt>
        <c:idx val="8"/>
        <c:spPr>
          <a:solidFill>
            <a:srgbClr val="92D050"/>
          </a:solidFill>
          <a:ln w="19050">
            <a:solidFill>
              <a:schemeClr val="lt1"/>
            </a:solidFill>
          </a:ln>
          <a:effectLst/>
        </c:spPr>
        <c:dLbl>
          <c:idx val="0"/>
          <c:layout>
            <c:manualLayout>
              <c:x val="-2.5284450063211204E-2"/>
              <c:y val="-1.4145927120022213E-16"/>
            </c:manualLayout>
          </c:layout>
          <c:numFmt formatCode="0.00%" sourceLinked="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rgbClr val="00FF00"/>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numFmt formatCode="0.00%" sourceLinked="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1"/>
        <c:spPr>
          <a:solidFill>
            <a:schemeClr val="accent6">
              <a:lumMod val="20000"/>
              <a:lumOff val="80000"/>
            </a:schemeClr>
          </a:solidFill>
          <a:ln w="19050">
            <a:solidFill>
              <a:schemeClr val="lt1"/>
            </a:solidFill>
          </a:ln>
          <a:effectLst/>
        </c:spPr>
      </c:pivotFmt>
      <c:pivotFmt>
        <c:idx val="12"/>
        <c:spPr>
          <a:solidFill>
            <a:schemeClr val="accent6">
              <a:lumMod val="75000"/>
            </a:schemeClr>
          </a:solidFill>
          <a:ln w="19050">
            <a:solidFill>
              <a:schemeClr val="lt1"/>
            </a:solidFill>
          </a:ln>
          <a:effectLst/>
        </c:spPr>
        <c:dLbl>
          <c:idx val="0"/>
          <c:layout>
            <c:manualLayout>
              <c:x val="8.2447725558914726E-3"/>
              <c:y val="4.0037716378922998E-2"/>
            </c:manualLayout>
          </c:layout>
          <c:numFmt formatCode="0.00%" sourceLinked="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13106188347813044"/>
                  <c:h val="0.20991865244068059"/>
                </c:manualLayout>
              </c15:layout>
            </c:ext>
          </c:extLst>
        </c:dLbl>
      </c:pivotFmt>
      <c:pivotFmt>
        <c:idx val="13"/>
        <c:spPr>
          <a:solidFill>
            <a:srgbClr val="92D050"/>
          </a:solidFill>
          <a:ln w="19050">
            <a:solidFill>
              <a:schemeClr val="lt1"/>
            </a:solidFill>
          </a:ln>
          <a:effectLst/>
        </c:spPr>
        <c:dLbl>
          <c:idx val="0"/>
          <c:layout>
            <c:manualLayout>
              <c:x val="-2.5284450063211204E-2"/>
              <c:y val="-1.4145927120022213E-16"/>
            </c:manualLayout>
          </c:layout>
          <c:numFmt formatCode="0.00%" sourceLinked="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4"/>
        <c:spPr>
          <a:solidFill>
            <a:srgbClr val="00FF00"/>
          </a:solidFill>
          <a:ln w="19050">
            <a:solidFill>
              <a:schemeClr val="lt1"/>
            </a:solidFill>
          </a:ln>
          <a:effectLst/>
        </c:spPr>
      </c:pivotFmt>
    </c:pivotFmts>
    <c:plotArea>
      <c:layout/>
      <c:doughnutChart>
        <c:varyColors val="1"/>
        <c:ser>
          <c:idx val="0"/>
          <c:order val="0"/>
          <c:tx>
            <c:strRef>
              <c:f>'Market Segment Distribution'!$B$3</c:f>
              <c:strCache>
                <c:ptCount val="1"/>
                <c:pt idx="0">
                  <c:v>Total</c:v>
                </c:pt>
              </c:strCache>
            </c:strRef>
          </c:tx>
          <c:dPt>
            <c:idx val="0"/>
            <c:bubble3D val="0"/>
            <c:spPr>
              <a:solidFill>
                <a:schemeClr val="accent6">
                  <a:lumMod val="20000"/>
                  <a:lumOff val="80000"/>
                </a:schemeClr>
              </a:solidFill>
              <a:ln w="19050">
                <a:solidFill>
                  <a:schemeClr val="lt1"/>
                </a:solidFill>
              </a:ln>
              <a:effectLst/>
            </c:spPr>
            <c:extLst>
              <c:ext xmlns:c16="http://schemas.microsoft.com/office/drawing/2014/chart" uri="{C3380CC4-5D6E-409C-BE32-E72D297353CC}">
                <c16:uniqueId val="{00000001-8BEB-4A8C-927E-5D631C721C68}"/>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8BEB-4A8C-927E-5D631C721C68}"/>
              </c:ext>
            </c:extLst>
          </c:dPt>
          <c:dPt>
            <c:idx val="2"/>
            <c:bubble3D val="0"/>
            <c:spPr>
              <a:solidFill>
                <a:srgbClr val="92D050"/>
              </a:solidFill>
              <a:ln w="19050">
                <a:solidFill>
                  <a:schemeClr val="lt1"/>
                </a:solidFill>
              </a:ln>
              <a:effectLst/>
            </c:spPr>
            <c:extLst>
              <c:ext xmlns:c16="http://schemas.microsoft.com/office/drawing/2014/chart" uri="{C3380CC4-5D6E-409C-BE32-E72D297353CC}">
                <c16:uniqueId val="{00000005-8BEB-4A8C-927E-5D631C721C68}"/>
              </c:ext>
            </c:extLst>
          </c:dPt>
          <c:dPt>
            <c:idx val="3"/>
            <c:bubble3D val="0"/>
            <c:spPr>
              <a:solidFill>
                <a:srgbClr val="00FF00"/>
              </a:solidFill>
              <a:ln w="19050">
                <a:solidFill>
                  <a:schemeClr val="lt1"/>
                </a:solidFill>
              </a:ln>
              <a:effectLst/>
            </c:spPr>
            <c:extLst>
              <c:ext xmlns:c16="http://schemas.microsoft.com/office/drawing/2014/chart" uri="{C3380CC4-5D6E-409C-BE32-E72D297353CC}">
                <c16:uniqueId val="{00000007-8BEB-4A8C-927E-5D631C721C68}"/>
              </c:ext>
            </c:extLst>
          </c:dPt>
          <c:dLbls>
            <c:dLbl>
              <c:idx val="1"/>
              <c:layout>
                <c:manualLayout>
                  <c:x val="8.2447725558914726E-3"/>
                  <c:y val="4.0037716378922998E-2"/>
                </c:manualLayout>
              </c:layout>
              <c:numFmt formatCode="0.00%" sourceLinked="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13106188347813044"/>
                      <c:h val="0.20991865244068059"/>
                    </c:manualLayout>
                  </c15:layout>
                </c:ext>
                <c:ext xmlns:c16="http://schemas.microsoft.com/office/drawing/2014/chart" uri="{C3380CC4-5D6E-409C-BE32-E72D297353CC}">
                  <c16:uniqueId val="{00000003-8BEB-4A8C-927E-5D631C721C68}"/>
                </c:ext>
              </c:extLst>
            </c:dLbl>
            <c:dLbl>
              <c:idx val="2"/>
              <c:layout>
                <c:manualLayout>
                  <c:x val="-2.5284450063211204E-2"/>
                  <c:y val="-1.4145927120022213E-16"/>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8BEB-4A8C-927E-5D631C721C68}"/>
                </c:ext>
              </c:extLst>
            </c:dLbl>
            <c:numFmt formatCode="0.00%" sourceLinked="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extLst>
          </c:dLbls>
          <c:cat>
            <c:strRef>
              <c:f>'Market Segment Distribution'!$A$4:$A$7</c:f>
              <c:strCache>
                <c:ptCount val="4"/>
                <c:pt idx="0">
                  <c:v>Budget</c:v>
                </c:pt>
                <c:pt idx="1">
                  <c:v>Luxury</c:v>
                </c:pt>
                <c:pt idx="2">
                  <c:v>Mid-range</c:v>
                </c:pt>
                <c:pt idx="3">
                  <c:v>Premium</c:v>
                </c:pt>
              </c:strCache>
            </c:strRef>
          </c:cat>
          <c:val>
            <c:numRef>
              <c:f>'Market Segment Distribution'!$B$4:$B$7</c:f>
              <c:numCache>
                <c:formatCode>General</c:formatCode>
                <c:ptCount val="4"/>
                <c:pt idx="0">
                  <c:v>151</c:v>
                </c:pt>
                <c:pt idx="1">
                  <c:v>495</c:v>
                </c:pt>
                <c:pt idx="2">
                  <c:v>642</c:v>
                </c:pt>
                <c:pt idx="3">
                  <c:v>712</c:v>
                </c:pt>
              </c:numCache>
            </c:numRef>
          </c:val>
          <c:extLst>
            <c:ext xmlns:c16="http://schemas.microsoft.com/office/drawing/2014/chart" uri="{C3380CC4-5D6E-409C-BE32-E72D297353CC}">
              <c16:uniqueId val="{00000008-8BEB-4A8C-927E-5D631C721C68}"/>
            </c:ext>
          </c:extLst>
        </c:ser>
        <c:dLbls>
          <c:showLegendKey val="0"/>
          <c:showVal val="1"/>
          <c:showCatName val="0"/>
          <c:showSerName val="0"/>
          <c:showPercent val="0"/>
          <c:showBubbleSize val="0"/>
          <c:showLeaderLines val="0"/>
        </c:dLbls>
        <c:firstSliceAng val="0"/>
        <c:holeSize val="6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rgbClr val="00B05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[EV Market Analytics Dataset - Excel.xlsx]Performance Type Distribution!PivotTable1</c:name>
    <c:fmtId val="0"/>
  </c:pivotSource>
  <c:chart>
    <c:title>
      <c:tx>
        <c:rich>
          <a:bodyPr rot="0" spcFirstLastPara="1" vertOverflow="ellipsis" vert="horz" wrap="square" anchor="ctr" anchorCtr="1"/>
          <a:lstStyle/>
          <a:p>
            <a:pPr>
              <a:defRPr sz="1400" b="1" i="0" u="none" strike="noStrike" kern="1200" spc="0" baseline="0">
                <a:solidFill>
                  <a:srgbClr val="00B050"/>
                </a:solidFill>
                <a:latin typeface="+mn-lt"/>
                <a:ea typeface="+mn-ea"/>
                <a:cs typeface="+mn-cs"/>
              </a:defRPr>
            </a:pPr>
            <a:r>
              <a:rPr lang="en-US" b="1"/>
              <a:t>Vehicle Performance Distribution</a:t>
            </a: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00B050"/>
              </a:solidFill>
              <a:latin typeface="+mn-lt"/>
              <a:ea typeface="+mn-ea"/>
              <a:cs typeface="+mn-cs"/>
            </a:defRPr>
          </a:pPr>
          <a:endParaRPr lang="en-US"/>
        </a:p>
      </c:txPr>
    </c:title>
    <c:autoTitleDeleted val="0"/>
    <c:pivotFmts>
      <c:pivotFmt>
        <c:idx val="0"/>
        <c:spPr>
          <a:solidFill>
            <a:srgbClr val="00B050"/>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'Performance Type Distribution'!$B$3</c:f>
              <c:strCache>
                <c:ptCount val="1"/>
                <c:pt idx="0">
                  <c:v>Total</c:v>
                </c:pt>
              </c:strCache>
            </c:strRef>
          </c:tx>
          <c:spPr>
            <a:solidFill>
              <a:srgbClr val="00B050"/>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'Performance Type Distribution'!$A$4:$A$7</c:f>
              <c:strCache>
                <c:ptCount val="3"/>
                <c:pt idx="0">
                  <c:v>Normal</c:v>
                </c:pt>
                <c:pt idx="1">
                  <c:v>Medium</c:v>
                </c:pt>
                <c:pt idx="2">
                  <c:v>High Performance</c:v>
                </c:pt>
              </c:strCache>
            </c:strRef>
          </c:cat>
          <c:val>
            <c:numRef>
              <c:f>'Performance Type Distribution'!$B$4:$B$7</c:f>
              <c:numCache>
                <c:formatCode>General</c:formatCode>
                <c:ptCount val="3"/>
                <c:pt idx="0">
                  <c:v>413</c:v>
                </c:pt>
                <c:pt idx="1">
                  <c:v>1302</c:v>
                </c:pt>
                <c:pt idx="2">
                  <c:v>285</c:v>
                </c:pt>
              </c:numCache>
            </c:numRef>
          </c:val>
          <c:extLst>
            <c:ext xmlns:c16="http://schemas.microsoft.com/office/drawing/2014/chart" uri="{C3380CC4-5D6E-409C-BE32-E72D297353CC}">
              <c16:uniqueId val="{00000000-1176-4D04-AE3C-86328DBCC2DE}"/>
            </c:ext>
          </c:extLst>
        </c:ser>
        <c:dLbls>
          <c:dLblPos val="ctr"/>
          <c:showLegendKey val="0"/>
          <c:showVal val="1"/>
          <c:showCatName val="0"/>
          <c:showSerName val="0"/>
          <c:showPercent val="0"/>
          <c:showBubbleSize val="0"/>
        </c:dLbls>
        <c:gapWidth val="219"/>
        <c:overlap val="-27"/>
        <c:axId val="1627703600"/>
        <c:axId val="1627702160"/>
      </c:barChart>
      <c:catAx>
        <c:axId val="1627703600"/>
        <c:scaling>
          <c:orientation val="minMax"/>
        </c:scaling>
        <c:delete val="0"/>
        <c:axPos val="b"/>
        <c:title>
          <c:tx>
            <c:rich>
              <a:bodyPr rot="0" spcFirstLastPara="1" vertOverflow="ellipsis" vert="horz" wrap="square" anchor="ctr" anchorCtr="1"/>
              <a:lstStyle/>
              <a:p>
                <a:pPr>
                  <a:defRPr sz="1000" b="1" i="0" u="none" strike="noStrike" kern="1200" baseline="0">
                    <a:solidFill>
                      <a:srgbClr val="00B050"/>
                    </a:solidFill>
                    <a:latin typeface="+mn-lt"/>
                    <a:ea typeface="+mn-ea"/>
                    <a:cs typeface="+mn-cs"/>
                  </a:defRPr>
                </a:pPr>
                <a:r>
                  <a:rPr lang="en-US" b="1"/>
                  <a:t>Performance Type </a:t>
                </a:r>
              </a:p>
            </c:rich>
          </c:tx>
          <c:overlay val="0"/>
          <c:spPr>
            <a:noFill/>
            <a:ln>
              <a:noFill/>
            </a:ln>
            <a:effectLst/>
          </c:spPr>
          <c:txPr>
            <a:bodyPr rot="0" spcFirstLastPara="1" vertOverflow="ellipsis" vert="horz" wrap="square" anchor="ctr" anchorCtr="1"/>
            <a:lstStyle/>
            <a:p>
              <a:pPr>
                <a:defRPr sz="1000" b="1" i="0" u="none" strike="noStrike" kern="1200" baseline="0">
                  <a:solidFill>
                    <a:srgbClr val="00B050"/>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rgbClr val="00B050"/>
                </a:solidFill>
                <a:latin typeface="+mn-lt"/>
                <a:ea typeface="+mn-ea"/>
                <a:cs typeface="+mn-cs"/>
              </a:defRPr>
            </a:pPr>
            <a:endParaRPr lang="en-US"/>
          </a:p>
        </c:txPr>
        <c:crossAx val="1627702160"/>
        <c:crosses val="autoZero"/>
        <c:auto val="1"/>
        <c:lblAlgn val="ctr"/>
        <c:lblOffset val="100"/>
        <c:noMultiLvlLbl val="0"/>
      </c:catAx>
      <c:valAx>
        <c:axId val="162770216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1" i="0" u="none" strike="noStrike" kern="1200" baseline="0">
                    <a:solidFill>
                      <a:srgbClr val="00B050"/>
                    </a:solidFill>
                    <a:latin typeface="+mn-lt"/>
                    <a:ea typeface="+mn-ea"/>
                    <a:cs typeface="+mn-cs"/>
                  </a:defRPr>
                </a:pPr>
                <a:r>
                  <a:rPr lang="en-US" b="1"/>
                  <a:t>Total Vehicles </a:t>
                </a:r>
              </a:p>
            </c:rich>
          </c:tx>
          <c:overlay val="0"/>
          <c:spPr>
            <a:noFill/>
            <a:ln>
              <a:noFill/>
            </a:ln>
            <a:effectLst/>
          </c:spPr>
          <c:txPr>
            <a:bodyPr rot="-5400000" spcFirstLastPara="1" vertOverflow="ellipsis" vert="horz" wrap="square" anchor="ctr" anchorCtr="1"/>
            <a:lstStyle/>
            <a:p>
              <a:pPr>
                <a:defRPr sz="1000" b="1" i="0" u="none" strike="noStrike" kern="1200" baseline="0">
                  <a:solidFill>
                    <a:srgbClr val="00B050"/>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rgbClr val="00B050"/>
                </a:solidFill>
                <a:latin typeface="+mn-lt"/>
                <a:ea typeface="+mn-ea"/>
                <a:cs typeface="+mn-cs"/>
              </a:defRPr>
            </a:pPr>
            <a:endParaRPr lang="en-US"/>
          </a:p>
        </c:txPr>
        <c:crossAx val="16277036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baseline="0">
          <a:solidFill>
            <a:srgbClr val="00B05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[EV Market Analytics Dataset - Excel.xlsx]Country Wise Sales!PivotTable1</c:name>
    <c:fmtId val="0"/>
  </c:pivotSource>
  <c:chart>
    <c:title>
      <c:tx>
        <c:rich>
          <a:bodyPr rot="0" spcFirstLastPara="1" vertOverflow="ellipsis" vert="horz" wrap="square" anchor="ctr" anchorCtr="1"/>
          <a:lstStyle/>
          <a:p>
            <a:pPr>
              <a:defRPr sz="1400" b="1" i="0" u="none" strike="noStrike" kern="1200" spc="0" baseline="0">
                <a:solidFill>
                  <a:srgbClr val="00B050"/>
                </a:solidFill>
                <a:latin typeface="+mn-lt"/>
                <a:ea typeface="+mn-ea"/>
                <a:cs typeface="+mn-cs"/>
              </a:defRPr>
            </a:pPr>
            <a:r>
              <a:rPr lang="en-US" b="1" baseline="0">
                <a:solidFill>
                  <a:srgbClr val="00B050"/>
                </a:solidFill>
              </a:rPr>
              <a:t>Country Wise Sales </a:t>
            </a: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00B050"/>
              </a:solidFill>
              <a:latin typeface="+mn-lt"/>
              <a:ea typeface="+mn-ea"/>
              <a:cs typeface="+mn-cs"/>
            </a:defRPr>
          </a:pPr>
          <a:endParaRPr lang="en-US"/>
        </a:p>
      </c:txPr>
    </c:title>
    <c:autoTitleDeleted val="0"/>
    <c:pivotFmts>
      <c:pivotFmt>
        <c:idx val="0"/>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B05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B050"/>
          </a:solidFill>
          <a:ln>
            <a:noFill/>
          </a:ln>
          <a:effectLst/>
        </c:spPr>
      </c:pivotFmt>
    </c:pivotFmts>
    <c:plotArea>
      <c:layout/>
      <c:barChart>
        <c:barDir val="bar"/>
        <c:grouping val="clustered"/>
        <c:varyColors val="0"/>
        <c:ser>
          <c:idx val="0"/>
          <c:order val="0"/>
          <c:tx>
            <c:strRef>
              <c:f>'Country Wise Sales'!$B$3</c:f>
              <c:strCache>
                <c:ptCount val="1"/>
                <c:pt idx="0">
                  <c:v>Total</c:v>
                </c:pt>
              </c:strCache>
            </c:strRef>
          </c:tx>
          <c:spPr>
            <a:solidFill>
              <a:srgbClr val="00B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B05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 Wise Sales'!$A$4:$A$10</c:f>
              <c:strCache>
                <c:ptCount val="6"/>
                <c:pt idx="0">
                  <c:v>US</c:v>
                </c:pt>
                <c:pt idx="1">
                  <c:v>Germany</c:v>
                </c:pt>
                <c:pt idx="2">
                  <c:v>China</c:v>
                </c:pt>
                <c:pt idx="3">
                  <c:v>South Korea</c:v>
                </c:pt>
                <c:pt idx="4">
                  <c:v>Japan</c:v>
                </c:pt>
                <c:pt idx="5">
                  <c:v>Sweden</c:v>
                </c:pt>
              </c:strCache>
            </c:strRef>
          </c:cat>
          <c:val>
            <c:numRef>
              <c:f>'Country Wise Sales'!$B$4:$B$10</c:f>
              <c:numCache>
                <c:formatCode>0.0,,"M"</c:formatCode>
                <c:ptCount val="6"/>
                <c:pt idx="0">
                  <c:v>110893602</c:v>
                </c:pt>
                <c:pt idx="1">
                  <c:v>64652058</c:v>
                </c:pt>
                <c:pt idx="2">
                  <c:v>51034721</c:v>
                </c:pt>
                <c:pt idx="3">
                  <c:v>31835174</c:v>
                </c:pt>
                <c:pt idx="4">
                  <c:v>621044</c:v>
                </c:pt>
                <c:pt idx="5">
                  <c:v>270585</c:v>
                </c:pt>
              </c:numCache>
            </c:numRef>
          </c:val>
          <c:extLst>
            <c:ext xmlns:c16="http://schemas.microsoft.com/office/drawing/2014/chart" uri="{C3380CC4-5D6E-409C-BE32-E72D297353CC}">
              <c16:uniqueId val="{00000000-E91D-4C38-A333-1BF8148C85AE}"/>
            </c:ext>
          </c:extLst>
        </c:ser>
        <c:dLbls>
          <c:dLblPos val="outEnd"/>
          <c:showLegendKey val="0"/>
          <c:showVal val="1"/>
          <c:showCatName val="0"/>
          <c:showSerName val="0"/>
          <c:showPercent val="0"/>
          <c:showBubbleSize val="0"/>
        </c:dLbls>
        <c:gapWidth val="182"/>
        <c:axId val="1362843935"/>
        <c:axId val="1362837695"/>
      </c:barChart>
      <c:catAx>
        <c:axId val="1362843935"/>
        <c:scaling>
          <c:orientation val="minMax"/>
        </c:scaling>
        <c:delete val="0"/>
        <c:axPos val="l"/>
        <c:title>
          <c:tx>
            <c:rich>
              <a:bodyPr rot="-5400000" spcFirstLastPara="1" vertOverflow="ellipsis" vert="horz" wrap="square" anchor="ctr" anchorCtr="1"/>
              <a:lstStyle/>
              <a:p>
                <a:pPr>
                  <a:defRPr sz="1000" b="1" i="0" u="none" strike="noStrike" kern="1200" baseline="0">
                    <a:solidFill>
                      <a:srgbClr val="00B050"/>
                    </a:solidFill>
                    <a:latin typeface="+mn-lt"/>
                    <a:ea typeface="+mn-ea"/>
                    <a:cs typeface="+mn-cs"/>
                  </a:defRPr>
                </a:pPr>
                <a:r>
                  <a:rPr lang="en-US" b="1" baseline="0">
                    <a:solidFill>
                      <a:srgbClr val="00B050"/>
                    </a:solidFill>
                  </a:rPr>
                  <a:t>Country</a:t>
                </a:r>
              </a:p>
            </c:rich>
          </c:tx>
          <c:layout>
            <c:manualLayout>
              <c:xMode val="edge"/>
              <c:yMode val="edge"/>
              <c:x val="2.2222222222222223E-2"/>
              <c:y val="0.47734179060950716"/>
            </c:manualLayout>
          </c:layout>
          <c:overlay val="0"/>
          <c:spPr>
            <a:noFill/>
            <a:ln>
              <a:noFill/>
            </a:ln>
            <a:effectLst/>
          </c:spPr>
          <c:txPr>
            <a:bodyPr rot="-5400000" spcFirstLastPara="1" vertOverflow="ellipsis" vert="horz" wrap="square" anchor="ctr" anchorCtr="1"/>
            <a:lstStyle/>
            <a:p>
              <a:pPr>
                <a:defRPr sz="1000" b="1" i="0" u="none" strike="noStrike" kern="1200" baseline="0">
                  <a:solidFill>
                    <a:srgbClr val="00B050"/>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rgbClr val="00B050"/>
                </a:solidFill>
                <a:latin typeface="+mn-lt"/>
                <a:ea typeface="+mn-ea"/>
                <a:cs typeface="+mn-cs"/>
              </a:defRPr>
            </a:pPr>
            <a:endParaRPr lang="en-US"/>
          </a:p>
        </c:txPr>
        <c:crossAx val="1362837695"/>
        <c:crosses val="autoZero"/>
        <c:auto val="1"/>
        <c:lblAlgn val="ctr"/>
        <c:lblOffset val="100"/>
        <c:noMultiLvlLbl val="0"/>
      </c:catAx>
      <c:valAx>
        <c:axId val="1362837695"/>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1" i="0" u="none" strike="noStrike" kern="1200" baseline="0">
                    <a:solidFill>
                      <a:srgbClr val="00B050"/>
                    </a:solidFill>
                    <a:latin typeface="+mn-lt"/>
                    <a:ea typeface="+mn-ea"/>
                    <a:cs typeface="+mn-cs"/>
                  </a:defRPr>
                </a:pPr>
                <a:r>
                  <a:rPr lang="en-US" b="1" baseline="0">
                    <a:solidFill>
                      <a:srgbClr val="00B050"/>
                    </a:solidFill>
                  </a:rPr>
                  <a:t>Annual Sales </a:t>
                </a:r>
              </a:p>
            </c:rich>
          </c:tx>
          <c:layout>
            <c:manualLayout>
              <c:xMode val="edge"/>
              <c:yMode val="edge"/>
              <c:x val="0.44198862642169734"/>
              <c:y val="0.89256926217556143"/>
            </c:manualLayout>
          </c:layout>
          <c:overlay val="0"/>
          <c:spPr>
            <a:noFill/>
            <a:ln>
              <a:noFill/>
            </a:ln>
            <a:effectLst/>
          </c:spPr>
          <c:txPr>
            <a:bodyPr rot="0" spcFirstLastPara="1" vertOverflow="ellipsis" vert="horz" wrap="square" anchor="ctr" anchorCtr="1"/>
            <a:lstStyle/>
            <a:p>
              <a:pPr>
                <a:defRPr sz="1000" b="1" i="0" u="none" strike="noStrike" kern="1200" baseline="0">
                  <a:solidFill>
                    <a:srgbClr val="00B050"/>
                  </a:solidFill>
                  <a:latin typeface="+mn-lt"/>
                  <a:ea typeface="+mn-ea"/>
                  <a:cs typeface="+mn-cs"/>
                </a:defRPr>
              </a:pPr>
              <a:endParaRPr lang="en-US"/>
            </a:p>
          </c:txPr>
        </c:title>
        <c:numFmt formatCode="0.0,,&quot;M&quot;"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rgbClr val="00B050"/>
                </a:solidFill>
                <a:latin typeface="+mn-lt"/>
                <a:ea typeface="+mn-ea"/>
                <a:cs typeface="+mn-cs"/>
              </a:defRPr>
            </a:pPr>
            <a:endParaRPr lang="en-US"/>
          </a:p>
        </c:txPr>
        <c:crossAx val="13628439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[EV Market Analytics Dataset - Excel.xlsx]Efficiency By Brand !PivotTable5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00B050"/>
                </a:solidFill>
              </a:rPr>
              <a:t>Top 10 Most Efficient EV Brands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'Efficiency By Brand '!$B$3</c:f>
              <c:strCache>
                <c:ptCount val="1"/>
                <c:pt idx="0">
                  <c:v>Total</c:v>
                </c:pt>
              </c:strCache>
            </c:strRef>
          </c:tx>
          <c:spPr>
            <a:solidFill>
              <a:srgbClr val="00B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'Efficiency By Brand '!$A$4:$A$13</c:f>
              <c:strCache>
                <c:ptCount val="10"/>
                <c:pt idx="0">
                  <c:v>Lucid</c:v>
                </c:pt>
                <c:pt idx="1">
                  <c:v>Polestar</c:v>
                </c:pt>
                <c:pt idx="2">
                  <c:v>Volvo</c:v>
                </c:pt>
                <c:pt idx="3">
                  <c:v>Fisker</c:v>
                </c:pt>
                <c:pt idx="4">
                  <c:v>Porsche</c:v>
                </c:pt>
                <c:pt idx="5">
                  <c:v>GM/Chevrolet</c:v>
                </c:pt>
                <c:pt idx="6">
                  <c:v>Honda</c:v>
                </c:pt>
                <c:pt idx="7">
                  <c:v>NIO</c:v>
                </c:pt>
                <c:pt idx="8">
                  <c:v>BYD</c:v>
                </c:pt>
                <c:pt idx="9">
                  <c:v>Ford</c:v>
                </c:pt>
              </c:strCache>
            </c:strRef>
          </c:cat>
          <c:val>
            <c:numRef>
              <c:f>'Efficiency By Brand '!$B$4:$B$13</c:f>
              <c:numCache>
                <c:formatCode>0.00</c:formatCode>
                <c:ptCount val="10"/>
                <c:pt idx="0">
                  <c:v>3.6716666666666664</c:v>
                </c:pt>
                <c:pt idx="1">
                  <c:v>3.6244444444444444</c:v>
                </c:pt>
                <c:pt idx="2">
                  <c:v>3.5675000000000003</c:v>
                </c:pt>
                <c:pt idx="3">
                  <c:v>3.5672000000000001</c:v>
                </c:pt>
                <c:pt idx="4">
                  <c:v>3.5428571428571423</c:v>
                </c:pt>
                <c:pt idx="5">
                  <c:v>3.5379020979020974</c:v>
                </c:pt>
                <c:pt idx="6">
                  <c:v>3.5300000000000002</c:v>
                </c:pt>
                <c:pt idx="7">
                  <c:v>3.5239130434782608</c:v>
                </c:pt>
                <c:pt idx="8">
                  <c:v>3.523297872340426</c:v>
                </c:pt>
                <c:pt idx="9">
                  <c:v>3.5166666666666662</c:v>
                </c:pt>
              </c:numCache>
            </c:numRef>
          </c:val>
          <c:extLst>
            <c:ext xmlns:c16="http://schemas.microsoft.com/office/drawing/2014/chart" uri="{C3380CC4-5D6E-409C-BE32-E72D297353CC}">
              <c16:uniqueId val="{00000000-766F-44A9-815D-0C93747A66E0}"/>
            </c:ext>
          </c:extLst>
        </c:ser>
        <c:dLbls>
          <c:dLblPos val="ctr"/>
          <c:showLegendKey val="0"/>
          <c:showVal val="1"/>
          <c:showCatName val="0"/>
          <c:showSerName val="0"/>
          <c:showPercent val="0"/>
          <c:showBubbleSize val="0"/>
        </c:dLbls>
        <c:gapWidth val="100"/>
        <c:axId val="1996107119"/>
        <c:axId val="1996107599"/>
      </c:barChart>
      <c:catAx>
        <c:axId val="19961071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rgbClr val="00B050"/>
                </a:solidFill>
                <a:latin typeface="+mn-lt"/>
                <a:ea typeface="+mn-ea"/>
                <a:cs typeface="+mn-cs"/>
              </a:defRPr>
            </a:pPr>
            <a:endParaRPr lang="en-US"/>
          </a:p>
        </c:txPr>
        <c:crossAx val="1996107599"/>
        <c:crosses val="autoZero"/>
        <c:auto val="1"/>
        <c:lblAlgn val="ctr"/>
        <c:lblOffset val="100"/>
        <c:noMultiLvlLbl val="0"/>
      </c:catAx>
      <c:valAx>
        <c:axId val="1996107599"/>
        <c:scaling>
          <c:orientation val="minMax"/>
          <c:min val="3"/>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rgbClr val="00B050"/>
                </a:solidFill>
                <a:latin typeface="+mn-lt"/>
                <a:ea typeface="+mn-ea"/>
                <a:cs typeface="+mn-cs"/>
              </a:defRPr>
            </a:pPr>
            <a:endParaRPr lang="en-US"/>
          </a:p>
        </c:txPr>
        <c:crossAx val="19961071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[EV Market Analytics Dataset - Excel.xlsx]Market Segment Distribution!PivotTable3</c:name>
    <c:fmtId val="0"/>
  </c:pivotSource>
  <c:chart>
    <c:title>
      <c:tx>
        <c:rich>
          <a:bodyPr rot="0" spcFirstLastPara="1" vertOverflow="ellipsis" vert="horz" wrap="square" anchor="ctr" anchorCtr="1"/>
          <a:lstStyle/>
          <a:p>
            <a:pPr>
              <a:defRPr sz="1400" b="1" i="0" u="none" strike="noStrike" kern="1200" spc="0" baseline="0">
                <a:solidFill>
                  <a:srgbClr val="00B050"/>
                </a:solidFill>
                <a:latin typeface="+mn-lt"/>
                <a:ea typeface="+mn-ea"/>
                <a:cs typeface="+mn-cs"/>
              </a:defRPr>
            </a:pPr>
            <a:r>
              <a:rPr lang="en-US" baseline="0">
                <a:solidFill>
                  <a:srgbClr val="00B050"/>
                </a:solidFill>
              </a:rPr>
              <a:t>EV Market Segment Breakdown</a:t>
            </a: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00B050"/>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numFmt formatCode="0.00%" sourceLinked="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6">
              <a:lumMod val="75000"/>
            </a:schemeClr>
          </a:solidFill>
          <a:ln w="19050">
            <a:solidFill>
              <a:schemeClr val="lt1"/>
            </a:solidFill>
          </a:ln>
          <a:effectLst/>
        </c:spPr>
        <c:dLbl>
          <c:idx val="0"/>
          <c:layout>
            <c:manualLayout>
              <c:x val="5.201692519856139E-3"/>
              <c:y val="2.7947787531780378E-2"/>
            </c:manualLayout>
          </c:layout>
          <c:numFmt formatCode="0.00%" sourceLinked="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7.6285209923980746E-2"/>
                  <c:h val="8.0960800038884007E-2"/>
                </c:manualLayout>
              </c15:layout>
            </c:ext>
          </c:extLst>
        </c:dLbl>
      </c:pivotFmt>
      <c:pivotFmt>
        <c:idx val="2"/>
        <c:spPr>
          <a:solidFill>
            <a:schemeClr val="accent6">
              <a:lumMod val="20000"/>
              <a:lumOff val="80000"/>
            </a:schemeClr>
          </a:solidFill>
          <a:ln w="19050">
            <a:solidFill>
              <a:schemeClr val="lt1"/>
            </a:solidFill>
          </a:ln>
          <a:effectLst/>
        </c:spPr>
      </c:pivotFmt>
      <c:pivotFmt>
        <c:idx val="3"/>
        <c:spPr>
          <a:solidFill>
            <a:srgbClr val="92D050"/>
          </a:solidFill>
          <a:ln w="19050">
            <a:solidFill>
              <a:schemeClr val="lt1"/>
            </a:solidFill>
          </a:ln>
          <a:effectLst/>
        </c:spPr>
        <c:dLbl>
          <c:idx val="0"/>
          <c:layout>
            <c:manualLayout>
              <c:x val="-2.5284450063211204E-2"/>
              <c:y val="-1.4145927120022213E-16"/>
            </c:manualLayout>
          </c:layout>
          <c:numFmt formatCode="0.00%" sourceLinked="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4"/>
        <c:spPr>
          <a:solidFill>
            <a:srgbClr val="00FF00"/>
          </a:solidFill>
          <a:ln w="19050">
            <a:solidFill>
              <a:schemeClr val="lt1"/>
            </a:solidFill>
          </a:ln>
          <a:effectLst/>
        </c:spPr>
      </c:pivotFmt>
    </c:pivotFmts>
    <c:plotArea>
      <c:layout/>
      <c:doughnutChart>
        <c:varyColors val="1"/>
        <c:ser>
          <c:idx val="0"/>
          <c:order val="0"/>
          <c:tx>
            <c:strRef>
              <c:f>'Market Segment Distribution'!$B$3</c:f>
              <c:strCache>
                <c:ptCount val="1"/>
                <c:pt idx="0">
                  <c:v>Total</c:v>
                </c:pt>
              </c:strCache>
            </c:strRef>
          </c:tx>
          <c:dPt>
            <c:idx val="0"/>
            <c:bubble3D val="0"/>
            <c:spPr>
              <a:solidFill>
                <a:schemeClr val="accent6">
                  <a:lumMod val="20000"/>
                  <a:lumOff val="80000"/>
                </a:schemeClr>
              </a:solidFill>
              <a:ln w="19050">
                <a:solidFill>
                  <a:schemeClr val="lt1"/>
                </a:solidFill>
              </a:ln>
              <a:effectLst/>
            </c:spPr>
            <c:extLst>
              <c:ext xmlns:c16="http://schemas.microsoft.com/office/drawing/2014/chart" uri="{C3380CC4-5D6E-409C-BE32-E72D297353CC}">
                <c16:uniqueId val="{00000004-0891-43C4-9548-A9FBC882995D}"/>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2-0891-43C4-9548-A9FBC882995D}"/>
              </c:ext>
            </c:extLst>
          </c:dPt>
          <c:dPt>
            <c:idx val="2"/>
            <c:bubble3D val="0"/>
            <c:spPr>
              <a:solidFill>
                <a:srgbClr val="92D050"/>
              </a:solidFill>
              <a:ln w="19050">
                <a:solidFill>
                  <a:schemeClr val="lt1"/>
                </a:solidFill>
              </a:ln>
              <a:effectLst/>
            </c:spPr>
            <c:extLst>
              <c:ext xmlns:c16="http://schemas.microsoft.com/office/drawing/2014/chart" uri="{C3380CC4-5D6E-409C-BE32-E72D297353CC}">
                <c16:uniqueId val="{00000005-0891-43C4-9548-A9FBC882995D}"/>
              </c:ext>
            </c:extLst>
          </c:dPt>
          <c:dPt>
            <c:idx val="3"/>
            <c:bubble3D val="0"/>
            <c:spPr>
              <a:solidFill>
                <a:srgbClr val="00FF00"/>
              </a:solidFill>
              <a:ln w="19050">
                <a:solidFill>
                  <a:schemeClr val="lt1"/>
                </a:solidFill>
              </a:ln>
              <a:effectLst/>
            </c:spPr>
            <c:extLst>
              <c:ext xmlns:c16="http://schemas.microsoft.com/office/drawing/2014/chart" uri="{C3380CC4-5D6E-409C-BE32-E72D297353CC}">
                <c16:uniqueId val="{00000006-0891-43C4-9548-A9FBC882995D}"/>
              </c:ext>
            </c:extLst>
          </c:dPt>
          <c:dLbls>
            <c:dLbl>
              <c:idx val="1"/>
              <c:layout>
                <c:manualLayout>
                  <c:x val="5.201692519856139E-3"/>
                  <c:y val="2.7947787531780378E-2"/>
                </c:manualLayout>
              </c:layout>
              <c:numFmt formatCode="0.00%" sourceLinked="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7.6285209923980746E-2"/>
                      <c:h val="8.0960800038884007E-2"/>
                    </c:manualLayout>
                  </c15:layout>
                </c:ext>
                <c:ext xmlns:c16="http://schemas.microsoft.com/office/drawing/2014/chart" uri="{C3380CC4-5D6E-409C-BE32-E72D297353CC}">
                  <c16:uniqueId val="{00000002-0891-43C4-9548-A9FBC882995D}"/>
                </c:ext>
              </c:extLst>
            </c:dLbl>
            <c:dLbl>
              <c:idx val="2"/>
              <c:layout>
                <c:manualLayout>
                  <c:x val="-2.5284450063211204E-2"/>
                  <c:y val="-1.4145927120022213E-16"/>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0891-43C4-9548-A9FBC882995D}"/>
                </c:ext>
              </c:extLst>
            </c:dLbl>
            <c:numFmt formatCode="0.00%" sourceLinked="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extLst>
          </c:dLbls>
          <c:cat>
            <c:strRef>
              <c:f>'Market Segment Distribution'!$A$4:$A$7</c:f>
              <c:strCache>
                <c:ptCount val="4"/>
                <c:pt idx="0">
                  <c:v>Budget</c:v>
                </c:pt>
                <c:pt idx="1">
                  <c:v>Luxury</c:v>
                </c:pt>
                <c:pt idx="2">
                  <c:v>Mid-range</c:v>
                </c:pt>
                <c:pt idx="3">
                  <c:v>Premium</c:v>
                </c:pt>
              </c:strCache>
            </c:strRef>
          </c:cat>
          <c:val>
            <c:numRef>
              <c:f>'Market Segment Distribution'!$B$4:$B$7</c:f>
              <c:numCache>
                <c:formatCode>General</c:formatCode>
                <c:ptCount val="4"/>
                <c:pt idx="0">
                  <c:v>151</c:v>
                </c:pt>
                <c:pt idx="1">
                  <c:v>495</c:v>
                </c:pt>
                <c:pt idx="2">
                  <c:v>642</c:v>
                </c:pt>
                <c:pt idx="3">
                  <c:v>712</c:v>
                </c:pt>
              </c:numCache>
            </c:numRef>
          </c:val>
          <c:extLst>
            <c:ext xmlns:c16="http://schemas.microsoft.com/office/drawing/2014/chart" uri="{C3380CC4-5D6E-409C-BE32-E72D297353CC}">
              <c16:uniqueId val="{00000000-0891-43C4-9548-A9FBC882995D}"/>
            </c:ext>
          </c:extLst>
        </c:ser>
        <c:dLbls>
          <c:showLegendKey val="0"/>
          <c:showVal val="1"/>
          <c:showCatName val="0"/>
          <c:showSerName val="0"/>
          <c:showPercent val="0"/>
          <c:showBubbleSize val="0"/>
          <c:showLeaderLines val="0"/>
        </c:dLbls>
        <c:firstSliceAng val="0"/>
        <c:holeSize val="6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rgbClr val="00B05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[EV Market Analytics Dataset - Excel.xlsx]Top 10 Brand vs Total Sales!PivotTable1</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solidFill>
                  <a:srgbClr val="00B050"/>
                </a:solidFill>
              </a:rPr>
              <a:t>Top 10 Brand vs Total Sales</a:t>
            </a:r>
          </a:p>
        </c:rich>
      </c:tx>
      <c:layout>
        <c:manualLayout>
          <c:xMode val="edge"/>
          <c:yMode val="edge"/>
          <c:x val="0.34864806618798816"/>
          <c:y val="1.9184652278177457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0B050"/>
          </a:solidFill>
          <a:ln>
            <a:noFill/>
          </a:ln>
          <a:effectLst/>
        </c:spPr>
        <c:marker>
          <c:symbol val="none"/>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B05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10 Brand vs Total Sales'!$B$3</c:f>
              <c:strCache>
                <c:ptCount val="1"/>
                <c:pt idx="0">
                  <c:v>Total</c:v>
                </c:pt>
              </c:strCache>
            </c:strRef>
          </c:tx>
          <c:spPr>
            <a:solidFill>
              <a:srgbClr val="00B050"/>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B05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10 Brand vs Total Sales'!$A$4:$A$13</c:f>
              <c:strCache>
                <c:ptCount val="10"/>
                <c:pt idx="0">
                  <c:v>Tesla</c:v>
                </c:pt>
                <c:pt idx="1">
                  <c:v>BYD</c:v>
                </c:pt>
                <c:pt idx="2">
                  <c:v>Volkswagen</c:v>
                </c:pt>
                <c:pt idx="3">
                  <c:v>Kia</c:v>
                </c:pt>
                <c:pt idx="4">
                  <c:v>Hyundai</c:v>
                </c:pt>
                <c:pt idx="5">
                  <c:v>BMW</c:v>
                </c:pt>
                <c:pt idx="6">
                  <c:v>Ford</c:v>
                </c:pt>
                <c:pt idx="7">
                  <c:v>Mercedes</c:v>
                </c:pt>
                <c:pt idx="8">
                  <c:v>Audi</c:v>
                </c:pt>
                <c:pt idx="9">
                  <c:v>GM/Chevrolet</c:v>
                </c:pt>
              </c:strCache>
            </c:strRef>
          </c:cat>
          <c:val>
            <c:numRef>
              <c:f>'Top 10 Brand vs Total Sales'!$B$4:$B$13</c:f>
              <c:numCache>
                <c:formatCode>0.0,,"M"</c:formatCode>
                <c:ptCount val="10"/>
                <c:pt idx="0">
                  <c:v>101459482</c:v>
                </c:pt>
                <c:pt idx="1">
                  <c:v>50472617</c:v>
                </c:pt>
                <c:pt idx="2">
                  <c:v>48186657</c:v>
                </c:pt>
                <c:pt idx="3">
                  <c:v>16612129</c:v>
                </c:pt>
                <c:pt idx="4">
                  <c:v>15223045</c:v>
                </c:pt>
                <c:pt idx="5">
                  <c:v>7445149</c:v>
                </c:pt>
                <c:pt idx="6">
                  <c:v>6057329</c:v>
                </c:pt>
                <c:pt idx="7">
                  <c:v>4982856</c:v>
                </c:pt>
                <c:pt idx="8">
                  <c:v>3811099</c:v>
                </c:pt>
                <c:pt idx="9">
                  <c:v>2292030</c:v>
                </c:pt>
              </c:numCache>
            </c:numRef>
          </c:val>
          <c:extLst>
            <c:ext xmlns:c16="http://schemas.microsoft.com/office/drawing/2014/chart" uri="{C3380CC4-5D6E-409C-BE32-E72D297353CC}">
              <c16:uniqueId val="{00000000-F2D8-4DE1-9223-F017A3CDEE6E}"/>
            </c:ext>
          </c:extLst>
        </c:ser>
        <c:dLbls>
          <c:dLblPos val="outEnd"/>
          <c:showLegendKey val="0"/>
          <c:showVal val="1"/>
          <c:showCatName val="0"/>
          <c:showSerName val="0"/>
          <c:showPercent val="0"/>
          <c:showBubbleSize val="0"/>
        </c:dLbls>
        <c:gapWidth val="182"/>
        <c:axId val="1890582607"/>
        <c:axId val="1890589327"/>
      </c:barChart>
      <c:catAx>
        <c:axId val="18905826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rgbClr val="00B050"/>
                </a:solidFill>
                <a:latin typeface="+mn-lt"/>
                <a:ea typeface="+mn-ea"/>
                <a:cs typeface="+mn-cs"/>
              </a:defRPr>
            </a:pPr>
            <a:endParaRPr lang="en-US"/>
          </a:p>
        </c:txPr>
        <c:crossAx val="1890589327"/>
        <c:crosses val="autoZero"/>
        <c:auto val="1"/>
        <c:lblAlgn val="ctr"/>
        <c:lblOffset val="100"/>
        <c:noMultiLvlLbl val="0"/>
      </c:catAx>
      <c:valAx>
        <c:axId val="1890589327"/>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rgbClr val="00B050"/>
                </a:solidFill>
                <a:latin typeface="+mn-lt"/>
                <a:ea typeface="+mn-ea"/>
                <a:cs typeface="+mn-cs"/>
              </a:defRPr>
            </a:pPr>
            <a:endParaRPr lang="en-US"/>
          </a:p>
        </c:txPr>
        <c:crossAx val="1890582607"/>
        <c:crosses val="autoZero"/>
        <c:crossBetween val="between"/>
        <c:dispUnits>
          <c:builtInUnit val="millions"/>
          <c:dispUnitsLbl>
            <c:spPr>
              <a:noFill/>
              <a:ln>
                <a:noFill/>
              </a:ln>
              <a:effectLst/>
            </c:spPr>
            <c:txPr>
              <a:bodyPr rot="0" spcFirstLastPara="1" vertOverflow="ellipsis" vert="horz" wrap="square" anchor="ctr" anchorCtr="1"/>
              <a:lstStyle/>
              <a:p>
                <a:pPr>
                  <a:defRPr sz="1000" b="1" i="0" u="none" strike="noStrike" kern="1200" baseline="0">
                    <a:solidFill>
                      <a:srgbClr val="00B050"/>
                    </a:solidFill>
                    <a:latin typeface="+mn-lt"/>
                    <a:ea typeface="+mn-ea"/>
                    <a:cs typeface="+mn-cs"/>
                  </a:defRPr>
                </a:pPr>
                <a:endParaRPr lang="en-US"/>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2.xml"/><Relationship Id="rId13" Type="http://schemas.openxmlformats.org/officeDocument/2006/relationships/image" Target="../media/image7.png"/><Relationship Id="rId3" Type="http://schemas.openxmlformats.org/officeDocument/2006/relationships/image" Target="../media/image2.png"/><Relationship Id="rId7" Type="http://schemas.openxmlformats.org/officeDocument/2006/relationships/image" Target="../media/image6.png"/><Relationship Id="rId12" Type="http://schemas.openxmlformats.org/officeDocument/2006/relationships/chart" Target="../charts/chart6.xml"/><Relationship Id="rId2" Type="http://schemas.openxmlformats.org/officeDocument/2006/relationships/image" Target="../media/image1.png"/><Relationship Id="rId1" Type="http://schemas.openxmlformats.org/officeDocument/2006/relationships/chart" Target="../charts/chart1.xml"/><Relationship Id="rId6" Type="http://schemas.openxmlformats.org/officeDocument/2006/relationships/image" Target="../media/image5.png"/><Relationship Id="rId11" Type="http://schemas.openxmlformats.org/officeDocument/2006/relationships/chart" Target="../charts/chart5.xml"/><Relationship Id="rId5" Type="http://schemas.openxmlformats.org/officeDocument/2006/relationships/image" Target="../media/image4.png"/><Relationship Id="rId10" Type="http://schemas.openxmlformats.org/officeDocument/2006/relationships/chart" Target="../charts/chart4.xml"/><Relationship Id="rId4" Type="http://schemas.openxmlformats.org/officeDocument/2006/relationships/image" Target="../media/image3.png"/><Relationship Id="rId9" Type="http://schemas.openxmlformats.org/officeDocument/2006/relationships/chart" Target="../charts/chart3.xml"/></Relationships>
</file>

<file path=xl/drawings/_rels/drawing2.xml.rels><?xml version="1.0" encoding="UTF-8" standalone="yes"?>
<Relationships xmlns="http://schemas.openxmlformats.org/package/2006/relationships"><Relationship Id="rId1" Type="http://schemas.openxmlformats.org/officeDocument/2006/relationships/chart" Target="../charts/chart7.xml"/></Relationships>
</file>

<file path=xl/drawings/_rels/drawing3.xml.rels><?xml version="1.0" encoding="UTF-8" standalone="yes"?>
<Relationships xmlns="http://schemas.openxmlformats.org/package/2006/relationships"><Relationship Id="rId1" Type="http://schemas.openxmlformats.org/officeDocument/2006/relationships/chart" Target="../charts/chart8.xml"/></Relationships>
</file>

<file path=xl/drawings/_rels/drawing4.xml.rels><?xml version="1.0" encoding="UTF-8" standalone="yes"?>
<Relationships xmlns="http://schemas.openxmlformats.org/package/2006/relationships"><Relationship Id="rId1" Type="http://schemas.openxmlformats.org/officeDocument/2006/relationships/chart" Target="../charts/chart9.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17</xdr:col>
      <xdr:colOff>94192</xdr:colOff>
      <xdr:row>8</xdr:row>
      <xdr:rowOff>118533</xdr:rowOff>
    </xdr:from>
    <xdr:to>
      <xdr:col>25</xdr:col>
      <xdr:colOff>533399</xdr:colOff>
      <xdr:row>21</xdr:row>
      <xdr:rowOff>104775</xdr:rowOff>
    </xdr:to>
    <xdr:graphicFrame macro="">
      <xdr:nvGraphicFramePr>
        <xdr:cNvPr id="8" name="Chart 7">
          <a:extLst>
            <a:ext uri="{FF2B5EF4-FFF2-40B4-BE49-F238E27FC236}">
              <a16:creationId xmlns:a16="http://schemas.microsoft.com/office/drawing/2014/main" id="{99914906-81CB-4331-8C1B-BD19C0899A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212091</xdr:colOff>
      <xdr:row>0</xdr:row>
      <xdr:rowOff>104774</xdr:rowOff>
    </xdr:from>
    <xdr:to>
      <xdr:col>29</xdr:col>
      <xdr:colOff>9525</xdr:colOff>
      <xdr:row>8</xdr:row>
      <xdr:rowOff>71965</xdr:rowOff>
    </xdr:to>
    <xdr:grpSp>
      <xdr:nvGrpSpPr>
        <xdr:cNvPr id="15" name="Group 14">
          <a:extLst>
            <a:ext uri="{FF2B5EF4-FFF2-40B4-BE49-F238E27FC236}">
              <a16:creationId xmlns:a16="http://schemas.microsoft.com/office/drawing/2014/main" id="{5F1F13EA-CB70-7AB4-83DA-B82469CEA238}"/>
            </a:ext>
          </a:extLst>
        </xdr:cNvPr>
        <xdr:cNvGrpSpPr/>
      </xdr:nvGrpSpPr>
      <xdr:grpSpPr>
        <a:xfrm>
          <a:off x="212091" y="104774"/>
          <a:ext cx="17475834" cy="1538816"/>
          <a:chOff x="349083" y="279401"/>
          <a:chExt cx="14991671" cy="1456265"/>
        </a:xfrm>
      </xdr:grpSpPr>
      <xdr:sp macro="" textlink="'Performance Type Distribution'!D7">
        <xdr:nvSpPr>
          <xdr:cNvPr id="2" name="Rectangle: Rounded Corners 1">
            <a:extLst>
              <a:ext uri="{FF2B5EF4-FFF2-40B4-BE49-F238E27FC236}">
                <a16:creationId xmlns:a16="http://schemas.microsoft.com/office/drawing/2014/main" id="{E51F5508-53F5-01D2-C8E7-50620EBDB57C}"/>
              </a:ext>
            </a:extLst>
          </xdr:cNvPr>
          <xdr:cNvSpPr/>
        </xdr:nvSpPr>
        <xdr:spPr>
          <a:xfrm>
            <a:off x="349083" y="507999"/>
            <a:ext cx="2217420" cy="1224280"/>
          </a:xfrm>
          <a:prstGeom prst="roundRect">
            <a:avLst/>
          </a:prstGeom>
          <a:solidFill>
            <a:srgbClr val="00B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600" b="1" i="0" u="none" strike="noStrike">
              <a:solidFill>
                <a:srgbClr val="000000"/>
              </a:solidFill>
              <a:latin typeface="Calibri"/>
              <a:ea typeface="Calibri"/>
              <a:cs typeface="Calibri"/>
            </a:endParaRPr>
          </a:p>
          <a:p>
            <a:pPr algn="l"/>
            <a:endParaRPr lang="en-US" sz="1600" b="1" i="0" u="none" strike="noStrike">
              <a:solidFill>
                <a:srgbClr val="000000"/>
              </a:solidFill>
              <a:latin typeface="Calibri"/>
              <a:ea typeface="Calibri"/>
              <a:cs typeface="Calibri"/>
            </a:endParaRPr>
          </a:p>
          <a:p>
            <a:pPr algn="l"/>
            <a:endParaRPr lang="en-US" sz="1600" b="1" i="0" u="none" strike="noStrike">
              <a:solidFill>
                <a:srgbClr val="000000"/>
              </a:solidFill>
              <a:latin typeface="Calibri"/>
              <a:ea typeface="Calibri"/>
              <a:cs typeface="Calibri"/>
            </a:endParaRPr>
          </a:p>
          <a:p>
            <a:pPr algn="l"/>
            <a:r>
              <a:rPr lang="en-US" sz="1600" b="1" i="0" u="none" strike="noStrike">
                <a:solidFill>
                  <a:srgbClr val="000000"/>
                </a:solidFill>
                <a:latin typeface="Calibri"/>
                <a:ea typeface="Calibri"/>
                <a:cs typeface="Calibri"/>
              </a:rPr>
              <a:t>                    </a:t>
            </a:r>
            <a:fld id="{1226F13B-6573-478B-83FE-27E8B0BC9765}" type="TxLink">
              <a:rPr lang="en-US" sz="1600" b="1" i="0" u="none" strike="noStrike">
                <a:solidFill>
                  <a:schemeClr val="bg1"/>
                </a:solidFill>
                <a:latin typeface="Calibri"/>
                <a:ea typeface="Calibri"/>
                <a:cs typeface="Calibri"/>
              </a:rPr>
              <a:pPr algn="l"/>
              <a:t>2000</a:t>
            </a:fld>
            <a:endParaRPr lang="en-US" sz="1600" b="1">
              <a:solidFill>
                <a:schemeClr val="bg1"/>
              </a:solidFill>
            </a:endParaRPr>
          </a:p>
        </xdr:txBody>
      </xdr:sp>
      <xdr:sp macro="" textlink="'Average Price '!E4">
        <xdr:nvSpPr>
          <xdr:cNvPr id="3" name="Rectangle: Rounded Corners 2">
            <a:extLst>
              <a:ext uri="{FF2B5EF4-FFF2-40B4-BE49-F238E27FC236}">
                <a16:creationId xmlns:a16="http://schemas.microsoft.com/office/drawing/2014/main" id="{7A59CA81-9B49-4746-9472-D8A0D9F8E361}"/>
              </a:ext>
            </a:extLst>
          </xdr:cNvPr>
          <xdr:cNvSpPr/>
        </xdr:nvSpPr>
        <xdr:spPr>
          <a:xfrm>
            <a:off x="2890860" y="507999"/>
            <a:ext cx="2217420" cy="1224280"/>
          </a:xfrm>
          <a:prstGeom prst="roundRect">
            <a:avLst/>
          </a:prstGeom>
          <a:solidFill>
            <a:srgbClr val="00B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600" b="1" i="0" u="none" strike="noStrike">
              <a:solidFill>
                <a:schemeClr val="bg1"/>
              </a:solidFill>
              <a:latin typeface="Calibri"/>
              <a:ea typeface="Calibri"/>
              <a:cs typeface="Calibri"/>
            </a:endParaRPr>
          </a:p>
          <a:p>
            <a:pPr algn="l"/>
            <a:endParaRPr lang="en-US" sz="1600" b="1" i="0" u="none" strike="noStrike">
              <a:solidFill>
                <a:schemeClr val="bg1"/>
              </a:solidFill>
              <a:latin typeface="Calibri"/>
              <a:ea typeface="Calibri"/>
              <a:cs typeface="Calibri"/>
            </a:endParaRPr>
          </a:p>
          <a:p>
            <a:pPr algn="l"/>
            <a:endParaRPr lang="en-US" sz="1600" b="1" i="0" u="none" strike="noStrike">
              <a:solidFill>
                <a:schemeClr val="bg1"/>
              </a:solidFill>
              <a:latin typeface="Calibri"/>
              <a:ea typeface="Calibri"/>
              <a:cs typeface="Calibri"/>
            </a:endParaRPr>
          </a:p>
          <a:p>
            <a:pPr algn="l"/>
            <a:r>
              <a:rPr lang="en-US" sz="1600" b="1" i="0" u="none" strike="noStrike">
                <a:solidFill>
                  <a:schemeClr val="bg1"/>
                </a:solidFill>
                <a:latin typeface="Calibri"/>
                <a:ea typeface="Calibri"/>
                <a:cs typeface="Calibri"/>
              </a:rPr>
              <a:t>                  </a:t>
            </a:r>
            <a:fld id="{2D7BC9B6-40DE-498A-B0E3-010AFE056F8D}" type="TxLink">
              <a:rPr lang="en-US" sz="1600" b="1" i="0" u="none" strike="noStrike">
                <a:solidFill>
                  <a:schemeClr val="bg1"/>
                </a:solidFill>
                <a:latin typeface="Calibri"/>
                <a:ea typeface="Calibri"/>
                <a:cs typeface="Calibri"/>
              </a:rPr>
              <a:pPr algn="l"/>
              <a:t>$78874</a:t>
            </a:fld>
            <a:endParaRPr lang="en-US" sz="1600" b="1">
              <a:solidFill>
                <a:schemeClr val="bg1"/>
              </a:solidFill>
            </a:endParaRPr>
          </a:p>
        </xdr:txBody>
      </xdr:sp>
      <xdr:sp macro="" textlink="'Average Range'!E4">
        <xdr:nvSpPr>
          <xdr:cNvPr id="4" name="Rectangle: Rounded Corners 3">
            <a:extLst>
              <a:ext uri="{FF2B5EF4-FFF2-40B4-BE49-F238E27FC236}">
                <a16:creationId xmlns:a16="http://schemas.microsoft.com/office/drawing/2014/main" id="{2FB03266-EA80-4E14-8A2A-88E220DF4257}"/>
              </a:ext>
            </a:extLst>
          </xdr:cNvPr>
          <xdr:cNvSpPr/>
        </xdr:nvSpPr>
        <xdr:spPr>
          <a:xfrm>
            <a:off x="5448979" y="507999"/>
            <a:ext cx="2217420" cy="1224280"/>
          </a:xfrm>
          <a:prstGeom prst="roundRect">
            <a:avLst/>
          </a:prstGeom>
          <a:solidFill>
            <a:srgbClr val="00B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600" b="1" i="0" u="none" strike="noStrike">
              <a:solidFill>
                <a:schemeClr val="bg1"/>
              </a:solidFill>
              <a:latin typeface="Calibri"/>
              <a:ea typeface="Calibri"/>
              <a:cs typeface="Calibri"/>
            </a:endParaRPr>
          </a:p>
          <a:p>
            <a:pPr algn="l"/>
            <a:endParaRPr lang="en-US" sz="1600" b="1" i="0" u="none" strike="noStrike">
              <a:solidFill>
                <a:schemeClr val="bg1"/>
              </a:solidFill>
              <a:latin typeface="Calibri"/>
              <a:ea typeface="Calibri"/>
              <a:cs typeface="Calibri"/>
            </a:endParaRPr>
          </a:p>
          <a:p>
            <a:pPr algn="l"/>
            <a:endParaRPr lang="en-US" sz="1600" b="1" i="0" u="none" strike="noStrike">
              <a:solidFill>
                <a:schemeClr val="bg1"/>
              </a:solidFill>
              <a:latin typeface="Calibri"/>
              <a:ea typeface="Calibri"/>
              <a:cs typeface="Calibri"/>
            </a:endParaRPr>
          </a:p>
          <a:p>
            <a:pPr algn="l"/>
            <a:r>
              <a:rPr lang="en-US" sz="1600" b="1" i="0" u="none" strike="noStrike">
                <a:solidFill>
                  <a:schemeClr val="bg1"/>
                </a:solidFill>
                <a:latin typeface="Calibri"/>
                <a:ea typeface="Calibri"/>
                <a:cs typeface="Calibri"/>
              </a:rPr>
              <a:t>              </a:t>
            </a:r>
            <a:fld id="{FFD87175-1973-468A-927E-71DA32525A46}" type="TxLink">
              <a:rPr lang="en-US" sz="1600" b="1" i="0" u="none" strike="noStrike">
                <a:solidFill>
                  <a:schemeClr val="bg1"/>
                </a:solidFill>
                <a:latin typeface="Calibri"/>
                <a:ea typeface="Calibri"/>
                <a:cs typeface="Calibri"/>
              </a:rPr>
              <a:pPr algn="l"/>
              <a:t>261.83</a:t>
            </a:fld>
            <a:r>
              <a:rPr lang="en-US" sz="1600" b="1" i="0" u="none" strike="noStrike">
                <a:solidFill>
                  <a:schemeClr val="bg1"/>
                </a:solidFill>
                <a:latin typeface="Calibri"/>
                <a:ea typeface="Calibri"/>
                <a:cs typeface="Calibri"/>
              </a:rPr>
              <a:t> Miles</a:t>
            </a:r>
            <a:endParaRPr lang="en-US" sz="1600" b="1">
              <a:solidFill>
                <a:schemeClr val="bg1"/>
              </a:solidFill>
            </a:endParaRPr>
          </a:p>
        </xdr:txBody>
      </xdr:sp>
      <xdr:sp macro="" textlink="'Average Battery'!E4">
        <xdr:nvSpPr>
          <xdr:cNvPr id="5" name="Rectangle: Rounded Corners 4">
            <a:extLst>
              <a:ext uri="{FF2B5EF4-FFF2-40B4-BE49-F238E27FC236}">
                <a16:creationId xmlns:a16="http://schemas.microsoft.com/office/drawing/2014/main" id="{E84802E4-A0BE-4295-BC80-5135F7BCDF61}"/>
              </a:ext>
            </a:extLst>
          </xdr:cNvPr>
          <xdr:cNvSpPr/>
        </xdr:nvSpPr>
        <xdr:spPr>
          <a:xfrm>
            <a:off x="8007098" y="507999"/>
            <a:ext cx="2217420" cy="1227667"/>
          </a:xfrm>
          <a:prstGeom prst="roundRect">
            <a:avLst/>
          </a:prstGeom>
          <a:solidFill>
            <a:srgbClr val="00B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600" b="1" i="0" u="none" strike="noStrike">
              <a:solidFill>
                <a:schemeClr val="bg1"/>
              </a:solidFill>
              <a:latin typeface="Calibri"/>
              <a:ea typeface="Calibri"/>
              <a:cs typeface="Calibri"/>
            </a:endParaRPr>
          </a:p>
          <a:p>
            <a:pPr algn="l"/>
            <a:endParaRPr lang="en-US" sz="1600" b="1" i="0" u="none" strike="noStrike">
              <a:solidFill>
                <a:schemeClr val="bg1"/>
              </a:solidFill>
              <a:latin typeface="Calibri"/>
              <a:ea typeface="Calibri"/>
              <a:cs typeface="Calibri"/>
            </a:endParaRPr>
          </a:p>
          <a:p>
            <a:pPr algn="l"/>
            <a:endParaRPr lang="en-US" sz="1600" b="1" i="0" u="none" strike="noStrike">
              <a:solidFill>
                <a:schemeClr val="bg1"/>
              </a:solidFill>
              <a:latin typeface="Calibri"/>
              <a:ea typeface="Calibri"/>
              <a:cs typeface="Calibri"/>
            </a:endParaRPr>
          </a:p>
          <a:p>
            <a:pPr algn="l"/>
            <a:r>
              <a:rPr lang="en-US" sz="1600" b="1" i="0" u="none" strike="noStrike">
                <a:solidFill>
                  <a:schemeClr val="bg1"/>
                </a:solidFill>
                <a:latin typeface="Calibri"/>
                <a:ea typeface="Calibri"/>
                <a:cs typeface="Calibri"/>
              </a:rPr>
              <a:t>                  </a:t>
            </a:r>
            <a:fld id="{BE7499C8-2E25-4366-A263-A9190F899F2C}" type="TxLink">
              <a:rPr lang="en-US" sz="1600" b="1" i="0" u="none" strike="noStrike">
                <a:solidFill>
                  <a:schemeClr val="bg1"/>
                </a:solidFill>
                <a:latin typeface="Calibri"/>
                <a:ea typeface="Calibri"/>
                <a:cs typeface="Calibri"/>
              </a:rPr>
              <a:pPr algn="l"/>
              <a:t>74.66</a:t>
            </a:fld>
            <a:r>
              <a:rPr lang="en-US" sz="1600" b="1" i="0" u="none" strike="noStrike">
                <a:solidFill>
                  <a:schemeClr val="bg1"/>
                </a:solidFill>
                <a:latin typeface="Calibri"/>
                <a:ea typeface="Calibri"/>
                <a:cs typeface="Calibri"/>
              </a:rPr>
              <a:t> kWh</a:t>
            </a:r>
            <a:endParaRPr lang="en-US" sz="1600" b="1">
              <a:solidFill>
                <a:schemeClr val="bg1"/>
              </a:solidFill>
            </a:endParaRPr>
          </a:p>
        </xdr:txBody>
      </xdr:sp>
      <xdr:sp macro="" textlink="'Country Wise Sales'!D10">
        <xdr:nvSpPr>
          <xdr:cNvPr id="6" name="Rectangle: Rounded Corners 5">
            <a:extLst>
              <a:ext uri="{FF2B5EF4-FFF2-40B4-BE49-F238E27FC236}">
                <a16:creationId xmlns:a16="http://schemas.microsoft.com/office/drawing/2014/main" id="{C16D93AC-F9C2-4441-85E7-0AAF45820B54}"/>
              </a:ext>
            </a:extLst>
          </xdr:cNvPr>
          <xdr:cNvSpPr/>
        </xdr:nvSpPr>
        <xdr:spPr>
          <a:xfrm>
            <a:off x="10565217" y="507999"/>
            <a:ext cx="2217420" cy="1224280"/>
          </a:xfrm>
          <a:prstGeom prst="roundRect">
            <a:avLst/>
          </a:prstGeom>
          <a:solidFill>
            <a:srgbClr val="00B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600" b="1" i="0" u="none" strike="noStrike">
              <a:solidFill>
                <a:schemeClr val="bg1"/>
              </a:solidFill>
              <a:latin typeface="Calibri"/>
              <a:ea typeface="Calibri"/>
              <a:cs typeface="Calibri"/>
            </a:endParaRPr>
          </a:p>
          <a:p>
            <a:pPr algn="l"/>
            <a:endParaRPr lang="en-US" sz="1600" b="1" i="0" u="none" strike="noStrike">
              <a:solidFill>
                <a:schemeClr val="bg1"/>
              </a:solidFill>
              <a:latin typeface="Calibri"/>
              <a:ea typeface="Calibri"/>
              <a:cs typeface="Calibri"/>
            </a:endParaRPr>
          </a:p>
          <a:p>
            <a:pPr algn="l"/>
            <a:endParaRPr lang="en-US" sz="1600" b="1" i="0" u="none" strike="noStrike">
              <a:solidFill>
                <a:schemeClr val="bg1"/>
              </a:solidFill>
              <a:latin typeface="Calibri"/>
              <a:ea typeface="Calibri"/>
              <a:cs typeface="Calibri"/>
            </a:endParaRPr>
          </a:p>
          <a:p>
            <a:pPr algn="l"/>
            <a:r>
              <a:rPr lang="en-US" sz="1600" b="1" i="0" u="none" strike="noStrike" baseline="0">
                <a:solidFill>
                  <a:schemeClr val="bg1"/>
                </a:solidFill>
                <a:latin typeface="Calibri"/>
                <a:ea typeface="Calibri"/>
                <a:cs typeface="Calibri"/>
              </a:rPr>
              <a:t>                   </a:t>
            </a:r>
            <a:fld id="{7C94C2AB-92E3-432C-B365-A668053A4D19}" type="TxLink">
              <a:rPr lang="en-US" sz="1600" b="1" i="0" u="none" strike="noStrike">
                <a:solidFill>
                  <a:schemeClr val="bg1"/>
                </a:solidFill>
                <a:latin typeface="Calibri"/>
                <a:ea typeface="Calibri"/>
                <a:cs typeface="Calibri"/>
              </a:rPr>
              <a:pPr algn="l"/>
              <a:t>259.3M</a:t>
            </a:fld>
            <a:endParaRPr lang="en-US" sz="1600" b="1">
              <a:solidFill>
                <a:schemeClr val="bg1"/>
              </a:solidFill>
            </a:endParaRPr>
          </a:p>
        </xdr:txBody>
      </xdr:sp>
      <xdr:sp macro="" textlink="'Average Rating'!C4">
        <xdr:nvSpPr>
          <xdr:cNvPr id="7" name="Rectangle: Rounded Corners 6">
            <a:extLst>
              <a:ext uri="{FF2B5EF4-FFF2-40B4-BE49-F238E27FC236}">
                <a16:creationId xmlns:a16="http://schemas.microsoft.com/office/drawing/2014/main" id="{4B1D631C-14A2-46E8-80C9-DB31F92C4C5B}"/>
              </a:ext>
            </a:extLst>
          </xdr:cNvPr>
          <xdr:cNvSpPr/>
        </xdr:nvSpPr>
        <xdr:spPr>
          <a:xfrm>
            <a:off x="13123334" y="507999"/>
            <a:ext cx="2217420" cy="1224280"/>
          </a:xfrm>
          <a:prstGeom prst="roundRect">
            <a:avLst/>
          </a:prstGeom>
          <a:solidFill>
            <a:srgbClr val="00B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600" b="1" i="0" u="none" strike="noStrike">
              <a:solidFill>
                <a:schemeClr val="bg1"/>
              </a:solidFill>
              <a:latin typeface="Calibri"/>
              <a:ea typeface="Calibri"/>
              <a:cs typeface="Calibri"/>
            </a:endParaRPr>
          </a:p>
          <a:p>
            <a:pPr algn="l"/>
            <a:endParaRPr lang="en-US" sz="1600" b="1" i="0" u="none" strike="noStrike">
              <a:solidFill>
                <a:schemeClr val="bg1"/>
              </a:solidFill>
              <a:latin typeface="Calibri"/>
              <a:ea typeface="Calibri"/>
              <a:cs typeface="Calibri"/>
            </a:endParaRPr>
          </a:p>
          <a:p>
            <a:pPr algn="l"/>
            <a:endParaRPr lang="en-US" sz="1600" b="1" i="0" u="none" strike="noStrike">
              <a:solidFill>
                <a:schemeClr val="bg1"/>
              </a:solidFill>
              <a:latin typeface="Calibri"/>
              <a:ea typeface="Calibri"/>
              <a:cs typeface="Calibri"/>
            </a:endParaRPr>
          </a:p>
          <a:p>
            <a:pPr algn="l"/>
            <a:r>
              <a:rPr lang="en-US" sz="1600" b="1" i="0" u="none" strike="noStrike" baseline="0">
                <a:solidFill>
                  <a:schemeClr val="bg1"/>
                </a:solidFill>
                <a:latin typeface="Calibri"/>
                <a:ea typeface="Calibri"/>
                <a:cs typeface="Calibri"/>
              </a:rPr>
              <a:t>                       </a:t>
            </a:r>
            <a:fld id="{54D0AEB5-C86F-4D46-BC01-7736A3520A04}" type="TxLink">
              <a:rPr lang="en-US" sz="1600" b="1" i="0" u="none" strike="noStrike">
                <a:solidFill>
                  <a:schemeClr val="bg1"/>
                </a:solidFill>
                <a:latin typeface="Calibri"/>
                <a:ea typeface="Calibri"/>
                <a:cs typeface="Calibri"/>
              </a:rPr>
              <a:pPr algn="l"/>
              <a:t>3.6</a:t>
            </a:fld>
            <a:endParaRPr lang="en-US" sz="1600" b="1">
              <a:solidFill>
                <a:schemeClr val="bg1"/>
              </a:solidFill>
            </a:endParaRPr>
          </a:p>
        </xdr:txBody>
      </xdr:sp>
      <xdr:pic>
        <xdr:nvPicPr>
          <xdr:cNvPr id="11" name="Picture 10">
            <a:extLst>
              <a:ext uri="{FF2B5EF4-FFF2-40B4-BE49-F238E27FC236}">
                <a16:creationId xmlns:a16="http://schemas.microsoft.com/office/drawing/2014/main" id="{0C4A93C4-85EC-C9F2-7EA9-29EA079858B2}"/>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80535" y="279401"/>
            <a:ext cx="990600" cy="990600"/>
          </a:xfrm>
          <a:prstGeom prst="rect">
            <a:avLst/>
          </a:prstGeom>
        </xdr:spPr>
      </xdr:pic>
      <xdr:pic>
        <xdr:nvPicPr>
          <xdr:cNvPr id="16" name="Picture 15">
            <a:extLst>
              <a:ext uri="{FF2B5EF4-FFF2-40B4-BE49-F238E27FC236}">
                <a16:creationId xmlns:a16="http://schemas.microsoft.com/office/drawing/2014/main" id="{A98FC50D-904B-74F5-179A-4F38E8AA20E5}"/>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3752804" y="527622"/>
            <a:ext cx="524932" cy="522599"/>
          </a:xfrm>
          <a:prstGeom prst="rect">
            <a:avLst/>
          </a:prstGeom>
        </xdr:spPr>
      </xdr:pic>
      <xdr:pic>
        <xdr:nvPicPr>
          <xdr:cNvPr id="19" name="Picture 18">
            <a:extLst>
              <a:ext uri="{FF2B5EF4-FFF2-40B4-BE49-F238E27FC236}">
                <a16:creationId xmlns:a16="http://schemas.microsoft.com/office/drawing/2014/main" id="{FB65BAFF-25F3-2377-7948-C90237091DBE}"/>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6333954" y="486632"/>
            <a:ext cx="567266" cy="567266"/>
          </a:xfrm>
          <a:prstGeom prst="rect">
            <a:avLst/>
          </a:prstGeom>
        </xdr:spPr>
      </xdr:pic>
      <xdr:pic>
        <xdr:nvPicPr>
          <xdr:cNvPr id="22" name="Picture 21">
            <a:extLst>
              <a:ext uri="{FF2B5EF4-FFF2-40B4-BE49-F238E27FC236}">
                <a16:creationId xmlns:a16="http://schemas.microsoft.com/office/drawing/2014/main" id="{9544E8DB-33F2-3CEE-921B-E341499C19DD}"/>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8847666" y="440267"/>
            <a:ext cx="643467" cy="643467"/>
          </a:xfrm>
          <a:prstGeom prst="rect">
            <a:avLst/>
          </a:prstGeom>
        </xdr:spPr>
      </xdr:pic>
      <xdr:pic>
        <xdr:nvPicPr>
          <xdr:cNvPr id="27" name="Picture 26">
            <a:extLst>
              <a:ext uri="{FF2B5EF4-FFF2-40B4-BE49-F238E27FC236}">
                <a16:creationId xmlns:a16="http://schemas.microsoft.com/office/drawing/2014/main" id="{D2EB0966-2F25-3E7E-8D3E-BD7359B3123D}"/>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11446934" y="491068"/>
            <a:ext cx="550334" cy="550334"/>
          </a:xfrm>
          <a:prstGeom prst="rect">
            <a:avLst/>
          </a:prstGeom>
        </xdr:spPr>
      </xdr:pic>
      <xdr:sp macro="" textlink="">
        <xdr:nvSpPr>
          <xdr:cNvPr id="9" name="TextBox 8">
            <a:extLst>
              <a:ext uri="{FF2B5EF4-FFF2-40B4-BE49-F238E27FC236}">
                <a16:creationId xmlns:a16="http://schemas.microsoft.com/office/drawing/2014/main" id="{DA0F6D9B-0043-3528-E107-3C994D1B02DC}"/>
              </a:ext>
            </a:extLst>
          </xdr:cNvPr>
          <xdr:cNvSpPr txBox="1"/>
        </xdr:nvSpPr>
        <xdr:spPr>
          <a:xfrm>
            <a:off x="769284" y="1015459"/>
            <a:ext cx="1572803"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800" b="1">
                <a:solidFill>
                  <a:schemeClr val="bg1"/>
                </a:solidFill>
              </a:rPr>
              <a:t>Total Vehicles </a:t>
            </a:r>
          </a:p>
        </xdr:txBody>
      </xdr:sp>
      <xdr:sp macro="" textlink="">
        <xdr:nvSpPr>
          <xdr:cNvPr id="14" name="TextBox 13">
            <a:extLst>
              <a:ext uri="{FF2B5EF4-FFF2-40B4-BE49-F238E27FC236}">
                <a16:creationId xmlns:a16="http://schemas.microsoft.com/office/drawing/2014/main" id="{16E69526-8AA4-2487-B2BE-C0F7A7F34504}"/>
              </a:ext>
            </a:extLst>
          </xdr:cNvPr>
          <xdr:cNvSpPr txBox="1"/>
        </xdr:nvSpPr>
        <xdr:spPr>
          <a:xfrm>
            <a:off x="3376131" y="967887"/>
            <a:ext cx="155029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800" b="1">
                <a:solidFill>
                  <a:schemeClr val="bg1"/>
                </a:solidFill>
              </a:rPr>
              <a:t>Average Price </a:t>
            </a:r>
          </a:p>
        </xdr:txBody>
      </xdr:sp>
      <xdr:sp macro="" textlink="">
        <xdr:nvSpPr>
          <xdr:cNvPr id="17" name="TextBox 16">
            <a:extLst>
              <a:ext uri="{FF2B5EF4-FFF2-40B4-BE49-F238E27FC236}">
                <a16:creationId xmlns:a16="http://schemas.microsoft.com/office/drawing/2014/main" id="{E1BA7B2C-4AAE-3A6C-04A6-FAB6D6849EF3}"/>
              </a:ext>
            </a:extLst>
          </xdr:cNvPr>
          <xdr:cNvSpPr txBox="1"/>
        </xdr:nvSpPr>
        <xdr:spPr>
          <a:xfrm>
            <a:off x="5857750" y="987507"/>
            <a:ext cx="1617174"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800" b="1">
                <a:solidFill>
                  <a:schemeClr val="bg1"/>
                </a:solidFill>
              </a:rPr>
              <a:t>Average Range</a:t>
            </a:r>
          </a:p>
        </xdr:txBody>
      </xdr:sp>
      <xdr:sp macro="" textlink="">
        <xdr:nvSpPr>
          <xdr:cNvPr id="20" name="TextBox 19">
            <a:extLst>
              <a:ext uri="{FF2B5EF4-FFF2-40B4-BE49-F238E27FC236}">
                <a16:creationId xmlns:a16="http://schemas.microsoft.com/office/drawing/2014/main" id="{D83FF13E-C2CB-23F8-2FFB-3C209EBDEF50}"/>
              </a:ext>
            </a:extLst>
          </xdr:cNvPr>
          <xdr:cNvSpPr txBox="1"/>
        </xdr:nvSpPr>
        <xdr:spPr>
          <a:xfrm>
            <a:off x="8437717" y="987507"/>
            <a:ext cx="173470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800" b="1">
                <a:solidFill>
                  <a:schemeClr val="bg1"/>
                </a:solidFill>
              </a:rPr>
              <a:t>Average Battery</a:t>
            </a:r>
          </a:p>
        </xdr:txBody>
      </xdr:sp>
      <xdr:sp macro="" textlink="">
        <xdr:nvSpPr>
          <xdr:cNvPr id="23" name="TextBox 22">
            <a:extLst>
              <a:ext uri="{FF2B5EF4-FFF2-40B4-BE49-F238E27FC236}">
                <a16:creationId xmlns:a16="http://schemas.microsoft.com/office/drawing/2014/main" id="{ECFFF781-DABA-5488-12BB-9B40533AF4BC}"/>
              </a:ext>
            </a:extLst>
          </xdr:cNvPr>
          <xdr:cNvSpPr txBox="1"/>
        </xdr:nvSpPr>
        <xdr:spPr>
          <a:xfrm>
            <a:off x="11125200" y="948267"/>
            <a:ext cx="1213858"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800" b="1">
                <a:solidFill>
                  <a:schemeClr val="bg1"/>
                </a:solidFill>
              </a:rPr>
              <a:t>Total Sales</a:t>
            </a:r>
          </a:p>
        </xdr:txBody>
      </xdr:sp>
      <xdr:sp macro="" textlink="">
        <xdr:nvSpPr>
          <xdr:cNvPr id="28" name="TextBox 27">
            <a:extLst>
              <a:ext uri="{FF2B5EF4-FFF2-40B4-BE49-F238E27FC236}">
                <a16:creationId xmlns:a16="http://schemas.microsoft.com/office/drawing/2014/main" id="{A3E69F3A-D4F5-DC03-598B-C6BDBD08D423}"/>
              </a:ext>
            </a:extLst>
          </xdr:cNvPr>
          <xdr:cNvSpPr txBox="1"/>
        </xdr:nvSpPr>
        <xdr:spPr>
          <a:xfrm>
            <a:off x="13495866" y="948267"/>
            <a:ext cx="1637692"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800" b="1">
                <a:solidFill>
                  <a:schemeClr val="bg1"/>
                </a:solidFill>
              </a:rPr>
              <a:t>Average Rating</a:t>
            </a:r>
          </a:p>
        </xdr:txBody>
      </xdr:sp>
      <xdr:pic>
        <xdr:nvPicPr>
          <xdr:cNvPr id="30" name="Picture 29">
            <a:extLst>
              <a:ext uri="{FF2B5EF4-FFF2-40B4-BE49-F238E27FC236}">
                <a16:creationId xmlns:a16="http://schemas.microsoft.com/office/drawing/2014/main" id="{078D837E-EA73-6378-FEF3-0DF78CF9EDE7}"/>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3995401" y="431800"/>
            <a:ext cx="668868" cy="668868"/>
          </a:xfrm>
          <a:prstGeom prst="rect">
            <a:avLst/>
          </a:prstGeom>
        </xdr:spPr>
      </xdr:pic>
    </xdr:grpSp>
    <xdr:clientData/>
  </xdr:twoCellAnchor>
  <xdr:twoCellAnchor>
    <xdr:from>
      <xdr:col>0</xdr:col>
      <xdr:colOff>438149</xdr:colOff>
      <xdr:row>8</xdr:row>
      <xdr:rowOff>152400</xdr:rowOff>
    </xdr:from>
    <xdr:to>
      <xdr:col>8</xdr:col>
      <xdr:colOff>428624</xdr:colOff>
      <xdr:row>22</xdr:row>
      <xdr:rowOff>28575</xdr:rowOff>
    </xdr:to>
    <xdr:graphicFrame macro="">
      <xdr:nvGraphicFramePr>
        <xdr:cNvPr id="18" name="Chart 17">
          <a:extLst>
            <a:ext uri="{FF2B5EF4-FFF2-40B4-BE49-F238E27FC236}">
              <a16:creationId xmlns:a16="http://schemas.microsoft.com/office/drawing/2014/main" id="{567CE19C-75C0-4745-85D5-951548D023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9</xdr:col>
      <xdr:colOff>57150</xdr:colOff>
      <xdr:row>8</xdr:row>
      <xdr:rowOff>117475</xdr:rowOff>
    </xdr:from>
    <xdr:to>
      <xdr:col>16</xdr:col>
      <xdr:colOff>361950</xdr:colOff>
      <xdr:row>21</xdr:row>
      <xdr:rowOff>123825</xdr:rowOff>
    </xdr:to>
    <xdr:graphicFrame macro="">
      <xdr:nvGraphicFramePr>
        <xdr:cNvPr id="21" name="Chart 20">
          <a:extLst>
            <a:ext uri="{FF2B5EF4-FFF2-40B4-BE49-F238E27FC236}">
              <a16:creationId xmlns:a16="http://schemas.microsoft.com/office/drawing/2014/main" id="{2B46791A-CEFE-41E0-9194-7813EA9C46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0</xdr:col>
      <xdr:colOff>342899</xdr:colOff>
      <xdr:row>22</xdr:row>
      <xdr:rowOff>122465</xdr:rowOff>
    </xdr:from>
    <xdr:to>
      <xdr:col>9</xdr:col>
      <xdr:colOff>152400</xdr:colOff>
      <xdr:row>39</xdr:row>
      <xdr:rowOff>142875</xdr:rowOff>
    </xdr:to>
    <xdr:graphicFrame macro="">
      <xdr:nvGraphicFramePr>
        <xdr:cNvPr id="24" name="Chart 23">
          <a:extLst>
            <a:ext uri="{FF2B5EF4-FFF2-40B4-BE49-F238E27FC236}">
              <a16:creationId xmlns:a16="http://schemas.microsoft.com/office/drawing/2014/main" id="{53F53E89-9B25-4794-A090-D47FF4BB6E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9</xdr:col>
      <xdr:colOff>356507</xdr:colOff>
      <xdr:row>22</xdr:row>
      <xdr:rowOff>2724</xdr:rowOff>
    </xdr:from>
    <xdr:to>
      <xdr:col>17</xdr:col>
      <xdr:colOff>209550</xdr:colOff>
      <xdr:row>39</xdr:row>
      <xdr:rowOff>114300</xdr:rowOff>
    </xdr:to>
    <xdr:graphicFrame macro="">
      <xdr:nvGraphicFramePr>
        <xdr:cNvPr id="25" name="Chart 24">
          <a:extLst>
            <a:ext uri="{FF2B5EF4-FFF2-40B4-BE49-F238E27FC236}">
              <a16:creationId xmlns:a16="http://schemas.microsoft.com/office/drawing/2014/main" id="{62D282A1-7280-4B13-A23D-7F4BE80BC8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17</xdr:col>
      <xdr:colOff>503464</xdr:colOff>
      <xdr:row>22</xdr:row>
      <xdr:rowOff>87084</xdr:rowOff>
    </xdr:from>
    <xdr:to>
      <xdr:col>25</xdr:col>
      <xdr:colOff>238125</xdr:colOff>
      <xdr:row>39</xdr:row>
      <xdr:rowOff>171450</xdr:rowOff>
    </xdr:to>
    <xdr:graphicFrame macro="">
      <xdr:nvGraphicFramePr>
        <xdr:cNvPr id="26" name="Chart 25">
          <a:extLst>
            <a:ext uri="{FF2B5EF4-FFF2-40B4-BE49-F238E27FC236}">
              <a16:creationId xmlns:a16="http://schemas.microsoft.com/office/drawing/2014/main" id="{006935BF-F180-461D-B3DA-D2559FAB4A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oneCell">
    <xdr:from>
      <xdr:col>26</xdr:col>
      <xdr:colOff>230506</xdr:colOff>
      <xdr:row>8</xdr:row>
      <xdr:rowOff>160022</xdr:rowOff>
    </xdr:from>
    <xdr:to>
      <xdr:col>28</xdr:col>
      <xdr:colOff>276226</xdr:colOff>
      <xdr:row>13</xdr:row>
      <xdr:rowOff>38101</xdr:rowOff>
    </xdr:to>
    <mc:AlternateContent xmlns:mc="http://schemas.openxmlformats.org/markup-compatibility/2006" xmlns:a14="http://schemas.microsoft.com/office/drawing/2010/main">
      <mc:Choice Requires="a14">
        <xdr:graphicFrame macro="">
          <xdr:nvGraphicFramePr>
            <xdr:cNvPr id="29" name="brand">
              <a:extLst>
                <a:ext uri="{FF2B5EF4-FFF2-40B4-BE49-F238E27FC236}">
                  <a16:creationId xmlns:a16="http://schemas.microsoft.com/office/drawing/2014/main" id="{CCC68EA7-F1C1-9ECE-3339-9CECE927BD1C}"/>
                </a:ext>
              </a:extLst>
            </xdr:cNvPr>
            <xdr:cNvGraphicFramePr/>
          </xdr:nvGraphicFramePr>
          <xdr:xfrm>
            <a:off x="0" y="0"/>
            <a:ext cx="0" cy="0"/>
          </xdr:xfrm>
          <a:graphic>
            <a:graphicData uri="http://schemas.microsoft.com/office/drawing/2010/slicer">
              <sle:slicer xmlns:sle="http://schemas.microsoft.com/office/drawing/2010/slicer" name="brand"/>
            </a:graphicData>
          </a:graphic>
        </xdr:graphicFrame>
      </mc:Choice>
      <mc:Fallback xmlns="">
        <xdr:sp macro="" textlink="">
          <xdr:nvSpPr>
            <xdr:cNvPr id="0" name=""/>
            <xdr:cNvSpPr>
              <a:spLocks noTextEdit="1"/>
            </xdr:cNvSpPr>
          </xdr:nvSpPr>
          <xdr:spPr>
            <a:xfrm>
              <a:off x="16080106" y="1722122"/>
              <a:ext cx="1264920" cy="78295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26</xdr:col>
      <xdr:colOff>278130</xdr:colOff>
      <xdr:row>13</xdr:row>
      <xdr:rowOff>102871</xdr:rowOff>
    </xdr:from>
    <xdr:to>
      <xdr:col>28</xdr:col>
      <xdr:colOff>200025</xdr:colOff>
      <xdr:row>17</xdr:row>
      <xdr:rowOff>171450</xdr:rowOff>
    </xdr:to>
    <mc:AlternateContent xmlns:mc="http://schemas.openxmlformats.org/markup-compatibility/2006" xmlns:a14="http://schemas.microsoft.com/office/drawing/2010/main">
      <mc:Choice Requires="a14">
        <xdr:graphicFrame macro="">
          <xdr:nvGraphicFramePr>
            <xdr:cNvPr id="32" name="country_of_origin">
              <a:extLst>
                <a:ext uri="{FF2B5EF4-FFF2-40B4-BE49-F238E27FC236}">
                  <a16:creationId xmlns:a16="http://schemas.microsoft.com/office/drawing/2014/main" id="{CFBEFF70-290D-24D7-4CBE-8A6F736FF126}"/>
                </a:ext>
              </a:extLst>
            </xdr:cNvPr>
            <xdr:cNvGraphicFramePr/>
          </xdr:nvGraphicFramePr>
          <xdr:xfrm>
            <a:off x="0" y="0"/>
            <a:ext cx="0" cy="0"/>
          </xdr:xfrm>
          <a:graphic>
            <a:graphicData uri="http://schemas.microsoft.com/office/drawing/2010/slicer">
              <sle:slicer xmlns:sle="http://schemas.microsoft.com/office/drawing/2010/slicer" name="country_of_origin"/>
            </a:graphicData>
          </a:graphic>
        </xdr:graphicFrame>
      </mc:Choice>
      <mc:Fallback xmlns="">
        <xdr:sp macro="" textlink="">
          <xdr:nvSpPr>
            <xdr:cNvPr id="0" name=""/>
            <xdr:cNvSpPr>
              <a:spLocks noTextEdit="1"/>
            </xdr:cNvSpPr>
          </xdr:nvSpPr>
          <xdr:spPr>
            <a:xfrm>
              <a:off x="16127730" y="2569846"/>
              <a:ext cx="1141095" cy="79247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26</xdr:col>
      <xdr:colOff>68579</xdr:colOff>
      <xdr:row>30</xdr:row>
      <xdr:rowOff>104775</xdr:rowOff>
    </xdr:from>
    <xdr:to>
      <xdr:col>28</xdr:col>
      <xdr:colOff>533400</xdr:colOff>
      <xdr:row>38</xdr:row>
      <xdr:rowOff>104774</xdr:rowOff>
    </xdr:to>
    <mc:AlternateContent xmlns:mc="http://schemas.openxmlformats.org/markup-compatibility/2006" xmlns:a14="http://schemas.microsoft.com/office/drawing/2010/main">
      <mc:Choice Requires="a14">
        <xdr:graphicFrame macro="">
          <xdr:nvGraphicFramePr>
            <xdr:cNvPr id="33" name="Performance Type">
              <a:extLst>
                <a:ext uri="{FF2B5EF4-FFF2-40B4-BE49-F238E27FC236}">
                  <a16:creationId xmlns:a16="http://schemas.microsoft.com/office/drawing/2014/main" id="{588A78F3-2B33-E45C-37DF-7DD61AD2668C}"/>
                </a:ext>
              </a:extLst>
            </xdr:cNvPr>
            <xdr:cNvGraphicFramePr/>
          </xdr:nvGraphicFramePr>
          <xdr:xfrm>
            <a:off x="0" y="0"/>
            <a:ext cx="0" cy="0"/>
          </xdr:xfrm>
          <a:graphic>
            <a:graphicData uri="http://schemas.microsoft.com/office/drawing/2010/slicer">
              <sle:slicer xmlns:sle="http://schemas.microsoft.com/office/drawing/2010/slicer" name="Performance Type"/>
            </a:graphicData>
          </a:graphic>
        </xdr:graphicFrame>
      </mc:Choice>
      <mc:Fallback xmlns="">
        <xdr:sp macro="" textlink="">
          <xdr:nvSpPr>
            <xdr:cNvPr id="0" name=""/>
            <xdr:cNvSpPr>
              <a:spLocks noTextEdit="1"/>
            </xdr:cNvSpPr>
          </xdr:nvSpPr>
          <xdr:spPr>
            <a:xfrm>
              <a:off x="15918179" y="5648325"/>
              <a:ext cx="1684021" cy="14477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26</xdr:col>
      <xdr:colOff>125730</xdr:colOff>
      <xdr:row>18</xdr:row>
      <xdr:rowOff>64771</xdr:rowOff>
    </xdr:from>
    <xdr:to>
      <xdr:col>28</xdr:col>
      <xdr:colOff>257175</xdr:colOff>
      <xdr:row>23</xdr:row>
      <xdr:rowOff>47626</xdr:rowOff>
    </xdr:to>
    <mc:AlternateContent xmlns:mc="http://schemas.openxmlformats.org/markup-compatibility/2006" xmlns:a14="http://schemas.microsoft.com/office/drawing/2010/main">
      <mc:Choice Requires="a14">
        <xdr:graphicFrame macro="">
          <xdr:nvGraphicFramePr>
            <xdr:cNvPr id="34" name="Price Category ">
              <a:extLst>
                <a:ext uri="{FF2B5EF4-FFF2-40B4-BE49-F238E27FC236}">
                  <a16:creationId xmlns:a16="http://schemas.microsoft.com/office/drawing/2014/main" id="{5598AFAF-A810-2803-56BF-D023A817694F}"/>
                </a:ext>
              </a:extLst>
            </xdr:cNvPr>
            <xdr:cNvGraphicFramePr/>
          </xdr:nvGraphicFramePr>
          <xdr:xfrm>
            <a:off x="0" y="0"/>
            <a:ext cx="0" cy="0"/>
          </xdr:xfrm>
          <a:graphic>
            <a:graphicData uri="http://schemas.microsoft.com/office/drawing/2010/slicer">
              <sle:slicer xmlns:sle="http://schemas.microsoft.com/office/drawing/2010/slicer" name="Price Category "/>
            </a:graphicData>
          </a:graphic>
        </xdr:graphicFrame>
      </mc:Choice>
      <mc:Fallback xmlns="">
        <xdr:sp macro="" textlink="">
          <xdr:nvSpPr>
            <xdr:cNvPr id="0" name=""/>
            <xdr:cNvSpPr>
              <a:spLocks noTextEdit="1"/>
            </xdr:cNvSpPr>
          </xdr:nvSpPr>
          <xdr:spPr>
            <a:xfrm>
              <a:off x="15975330" y="3436621"/>
              <a:ext cx="1350645" cy="88773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26</xdr:col>
      <xdr:colOff>68579</xdr:colOff>
      <xdr:row>24</xdr:row>
      <xdr:rowOff>20956</xdr:rowOff>
    </xdr:from>
    <xdr:to>
      <xdr:col>28</xdr:col>
      <xdr:colOff>485774</xdr:colOff>
      <xdr:row>29</xdr:row>
      <xdr:rowOff>57150</xdr:rowOff>
    </xdr:to>
    <mc:AlternateContent xmlns:mc="http://schemas.openxmlformats.org/markup-compatibility/2006" xmlns:a14="http://schemas.microsoft.com/office/drawing/2010/main">
      <mc:Choice Requires="a14">
        <xdr:graphicFrame macro="">
          <xdr:nvGraphicFramePr>
            <xdr:cNvPr id="35" name="year">
              <a:extLst>
                <a:ext uri="{FF2B5EF4-FFF2-40B4-BE49-F238E27FC236}">
                  <a16:creationId xmlns:a16="http://schemas.microsoft.com/office/drawing/2014/main" id="{98F615DB-2772-17C3-0C7E-33B0CDD820BA}"/>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5918179" y="4478656"/>
              <a:ext cx="1636395" cy="94106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27</xdr:col>
      <xdr:colOff>133351</xdr:colOff>
      <xdr:row>5</xdr:row>
      <xdr:rowOff>123826</xdr:rowOff>
    </xdr:from>
    <xdr:to>
      <xdr:col>27</xdr:col>
      <xdr:colOff>428625</xdr:colOff>
      <xdr:row>7</xdr:row>
      <xdr:rowOff>57150</xdr:rowOff>
    </xdr:to>
    <xdr:pic>
      <xdr:nvPicPr>
        <xdr:cNvPr id="12" name="Picture 11">
          <a:extLst>
            <a:ext uri="{FF2B5EF4-FFF2-40B4-BE49-F238E27FC236}">
              <a16:creationId xmlns:a16="http://schemas.microsoft.com/office/drawing/2014/main" id="{DCD72245-C396-AFED-543B-E127589360A2}"/>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16592551" y="1152526"/>
          <a:ext cx="295274" cy="2952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3</xdr:col>
      <xdr:colOff>495300</xdr:colOff>
      <xdr:row>11</xdr:row>
      <xdr:rowOff>57150</xdr:rowOff>
    </xdr:from>
    <xdr:to>
      <xdr:col>11</xdr:col>
      <xdr:colOff>190500</xdr:colOff>
      <xdr:row>26</xdr:row>
      <xdr:rowOff>57150</xdr:rowOff>
    </xdr:to>
    <xdr:graphicFrame macro="">
      <xdr:nvGraphicFramePr>
        <xdr:cNvPr id="2" name="Chart 1">
          <a:extLst>
            <a:ext uri="{FF2B5EF4-FFF2-40B4-BE49-F238E27FC236}">
              <a16:creationId xmlns:a16="http://schemas.microsoft.com/office/drawing/2014/main" id="{6BE53A36-F612-1047-F126-761CA04F247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38100</xdr:colOff>
      <xdr:row>11</xdr:row>
      <xdr:rowOff>57150</xdr:rowOff>
    </xdr:from>
    <xdr:to>
      <xdr:col>10</xdr:col>
      <xdr:colOff>342900</xdr:colOff>
      <xdr:row>26</xdr:row>
      <xdr:rowOff>57150</xdr:rowOff>
    </xdr:to>
    <xdr:graphicFrame macro="">
      <xdr:nvGraphicFramePr>
        <xdr:cNvPr id="2" name="Chart 1">
          <a:extLst>
            <a:ext uri="{FF2B5EF4-FFF2-40B4-BE49-F238E27FC236}">
              <a16:creationId xmlns:a16="http://schemas.microsoft.com/office/drawing/2014/main" id="{18F2C405-DBF3-DC22-69C5-AC8E03D4EDD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457200</xdr:colOff>
      <xdr:row>1</xdr:row>
      <xdr:rowOff>129540</xdr:rowOff>
    </xdr:from>
    <xdr:to>
      <xdr:col>14</xdr:col>
      <xdr:colOff>274320</xdr:colOff>
      <xdr:row>27</xdr:row>
      <xdr:rowOff>22860</xdr:rowOff>
    </xdr:to>
    <xdr:graphicFrame macro="">
      <xdr:nvGraphicFramePr>
        <xdr:cNvPr id="2" name="Chart 1">
          <a:extLst>
            <a:ext uri="{FF2B5EF4-FFF2-40B4-BE49-F238E27FC236}">
              <a16:creationId xmlns:a16="http://schemas.microsoft.com/office/drawing/2014/main" id="{3A162823-2CB8-D462-8A93-D7076F16974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99060</xdr:colOff>
      <xdr:row>5</xdr:row>
      <xdr:rowOff>137160</xdr:rowOff>
    </xdr:from>
    <xdr:to>
      <xdr:col>13</xdr:col>
      <xdr:colOff>457200</xdr:colOff>
      <xdr:row>21</xdr:row>
      <xdr:rowOff>129540</xdr:rowOff>
    </xdr:to>
    <xdr:graphicFrame macro="">
      <xdr:nvGraphicFramePr>
        <xdr:cNvPr id="2" name="Chart 1">
          <a:extLst>
            <a:ext uri="{FF2B5EF4-FFF2-40B4-BE49-F238E27FC236}">
              <a16:creationId xmlns:a16="http://schemas.microsoft.com/office/drawing/2014/main" id="{04718223-C5E5-2DEC-EEB1-A254760B374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4</xdr:col>
      <xdr:colOff>411480</xdr:colOff>
      <xdr:row>1</xdr:row>
      <xdr:rowOff>121920</xdr:rowOff>
    </xdr:from>
    <xdr:to>
      <xdr:col>14</xdr:col>
      <xdr:colOff>22860</xdr:colOff>
      <xdr:row>30</xdr:row>
      <xdr:rowOff>114300</xdr:rowOff>
    </xdr:to>
    <xdr:graphicFrame macro="">
      <xdr:nvGraphicFramePr>
        <xdr:cNvPr id="2" name="Chart 1">
          <a:extLst>
            <a:ext uri="{FF2B5EF4-FFF2-40B4-BE49-F238E27FC236}">
              <a16:creationId xmlns:a16="http://schemas.microsoft.com/office/drawing/2014/main" id="{DDFBC133-A37E-EAA4-1DDD-89EA9BF8AF7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ngeet Pandit" refreshedDate="46164.925280902775" createdVersion="8" refreshedVersion="8" minRefreshableVersion="3" recordCount="2000" xr:uid="{6BA00823-430C-493B-9877-53454C7DEADE}">
  <cacheSource type="worksheet">
    <worksheetSource name="Table1"/>
  </cacheSource>
  <cacheFields count="27">
    <cacheField name="brand" numFmtId="0">
      <sharedItems count="20">
        <s v="Volkswagen"/>
        <s v="Toyota"/>
        <s v="GM/Chevrolet"/>
        <s v="Kia"/>
        <s v="Tesla"/>
        <s v="Mercedes"/>
        <s v="Fisker"/>
        <s v="BYD"/>
        <s v="Hyundai"/>
        <s v="Ford"/>
        <s v="BMW"/>
        <s v="Audi"/>
        <s v="NIO"/>
        <s v="Rivian"/>
        <s v="Porsche"/>
        <s v="Volvo"/>
        <s v="Lucid"/>
        <s v="Honda"/>
        <s v="Xiaomi"/>
        <s v="Polestar"/>
      </sharedItems>
    </cacheField>
    <cacheField name="model" numFmtId="0">
      <sharedItems containsMixedTypes="1" containsNumber="1" containsInteger="1" minValue="2" maxValue="4"/>
    </cacheField>
    <cacheField name="year" numFmtId="0">
      <sharedItems containsSemiMixedTypes="0" containsString="0" containsNumber="1" containsInteger="1" minValue="2020" maxValue="2026" count="7">
        <n v="2023"/>
        <n v="2022"/>
        <n v="2024"/>
        <n v="2025"/>
        <n v="2021"/>
        <n v="2026"/>
        <n v="2020"/>
      </sharedItems>
    </cacheField>
    <cacheField name="variant" numFmtId="0">
      <sharedItems/>
    </cacheField>
    <cacheField name="Price USD" numFmtId="0">
      <sharedItems containsSemiMixedTypes="0" containsString="0" containsNumber="1" minValue="16394.330000000002" maxValue="269775.2"/>
    </cacheField>
    <cacheField name="Battery Capacity (kwh)" numFmtId="0">
      <sharedItems containsSemiMixedTypes="0" containsString="0" containsNumber="1" minValue="40" maxValue="119.9"/>
    </cacheField>
    <cacheField name="range_miles" numFmtId="0">
      <sharedItems containsSemiMixedTypes="0" containsString="0" containsNumber="1" containsInteger="1" minValue="150" maxValue="447"/>
    </cacheField>
    <cacheField name="charging_speed_kw" numFmtId="0">
      <sharedItems containsSemiMixedTypes="0" containsString="0" containsNumber="1" minValue="50" maxValue="349.9"/>
    </cacheField>
    <cacheField name="Acceleration 0-60 MPH" numFmtId="0">
      <sharedItems containsSemiMixedTypes="0" containsString="0" containsNumber="1" minValue="2.5" maxValue="8"/>
    </cacheField>
    <cacheField name="top_speed_mph" numFmtId="0">
      <sharedItems containsSemiMixedTypes="0" containsString="0" containsNumber="1" containsInteger="1" minValue="118" maxValue="200"/>
    </cacheField>
    <cacheField name="horsepower" numFmtId="0">
      <sharedItems containsSemiMixedTypes="0" containsString="0" containsNumber="1" containsInteger="1" minValue="150" maxValue="1000"/>
    </cacheField>
    <cacheField name="torque_nm" numFmtId="0">
      <sharedItems containsSemiMixedTypes="0" containsString="0" containsNumber="1" containsInteger="1" minValue="200" maxValue="988"/>
    </cacheField>
    <cacheField name="drive_type" numFmtId="0">
      <sharedItems/>
    </cacheField>
    <cacheField name="seating_capacity" numFmtId="0">
      <sharedItems containsSemiMixedTypes="0" containsString="0" containsNumber="1" containsInteger="1" minValue="2" maxValue="7"/>
    </cacheField>
    <cacheField name="body_type" numFmtId="0">
      <sharedItems/>
    </cacheField>
    <cacheField name="cargo_volume_cubic_ft" numFmtId="0">
      <sharedItems containsSemiMixedTypes="0" containsString="0" containsNumber="1" minValue="15" maxValue="80"/>
    </cacheField>
    <cacheField name="weight_kg" numFmtId="0">
      <sharedItems containsSemiMixedTypes="0" containsString="0" containsNumber="1" containsInteger="1" minValue="1500" maxValue="3000"/>
    </cacheField>
    <cacheField name="safety_rating" numFmtId="0">
      <sharedItems containsSemiMixedTypes="0" containsString="0" containsNumber="1" containsInteger="1" minValue="3" maxValue="5"/>
    </cacheField>
    <cacheField name="autopilot_level" numFmtId="0">
      <sharedItems containsSemiMixedTypes="0" containsString="0" containsNumber="1" containsInteger="1" minValue="0" maxValue="3"/>
    </cacheField>
    <cacheField name="country_of_origin" numFmtId="0">
      <sharedItems count="6">
        <s v="Germany"/>
        <s v="Japan"/>
        <s v="US"/>
        <s v="South Korea"/>
        <s v="China"/>
        <s v="Sweden"/>
      </sharedItems>
    </cacheField>
    <cacheField name="Price Category " numFmtId="0">
      <sharedItems count="4">
        <s v="Luxury"/>
        <s v="Mid-range"/>
        <s v="Premium"/>
        <s v="Budget"/>
      </sharedItems>
    </cacheField>
    <cacheField name="annual_sales_units" numFmtId="0">
      <sharedItems containsSemiMixedTypes="0" containsString="0" containsNumber="1" containsInteger="1" minValue="656" maxValue="499717"/>
    </cacheField>
    <cacheField name="customer_rating" numFmtId="0">
      <sharedItems containsSemiMixedTypes="0" containsString="0" containsNumber="1" minValue="3" maxValue="4.5"/>
    </cacheField>
    <cacheField name="warranty_years" numFmtId="0">
      <sharedItems containsSemiMixedTypes="0" containsString="0" containsNumber="1" containsInteger="1" minValue="3" maxValue="8"/>
    </cacheField>
    <cacheField name="Performance Type" numFmtId="0">
      <sharedItems count="3">
        <s v="High Performance"/>
        <s v="Medium"/>
        <s v="Normal"/>
      </sharedItems>
    </cacheField>
    <cacheField name="Efficiency" numFmtId="0">
      <sharedItems containsSemiMixedTypes="0" containsString="0" containsNumber="1" minValue="2.77" maxValue="4.46"/>
    </cacheField>
    <cacheField name="Sales Category " numFmtId="0">
      <sharedItems/>
    </cacheField>
  </cacheFields>
  <extLst>
    <ext xmlns:x14="http://schemas.microsoft.com/office/spreadsheetml/2009/9/main" uri="{725AE2AE-9491-48be-B2B4-4EB974FC3084}">
      <x14:pivotCacheDefinition pivotCacheId="19092585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x v="0"/>
    <s v="ID. Buzz"/>
    <x v="0"/>
    <s v="Performance"/>
    <n v="104880.8"/>
    <n v="118.7"/>
    <n v="400"/>
    <n v="234.5"/>
    <n v="3.04"/>
    <n v="195"/>
    <n v="1000"/>
    <n v="895"/>
    <s v="AWD"/>
    <n v="7"/>
    <s v="Truck"/>
    <n v="54.2"/>
    <n v="2015"/>
    <n v="4"/>
    <n v="2"/>
    <x v="0"/>
    <x v="0"/>
    <n v="202182"/>
    <n v="4"/>
    <n v="4"/>
    <x v="0"/>
    <n v="3.37"/>
    <s v="High"/>
  </r>
  <r>
    <x v="1"/>
    <s v="bZ Compact SUV"/>
    <x v="1"/>
    <s v="Premium"/>
    <n v="48217.41"/>
    <n v="58.8"/>
    <n v="219"/>
    <n v="148.1"/>
    <n v="5.77"/>
    <n v="159"/>
    <n v="381"/>
    <n v="360"/>
    <s v="FWD"/>
    <n v="5"/>
    <s v="SUV"/>
    <n v="69"/>
    <n v="1709"/>
    <n v="4"/>
    <n v="0"/>
    <x v="1"/>
    <x v="1"/>
    <n v="7146"/>
    <n v="3.6"/>
    <n v="3"/>
    <x v="1"/>
    <n v="3.72"/>
    <s v="Medium"/>
  </r>
  <r>
    <x v="2"/>
    <s v="Bolt EV"/>
    <x v="2"/>
    <s v="Premium"/>
    <n v="49651.12"/>
    <n v="58.2"/>
    <n v="225"/>
    <n v="104.9"/>
    <n v="6.84"/>
    <n v="148"/>
    <n v="588"/>
    <n v="516"/>
    <s v="AWD"/>
    <n v="5"/>
    <s v="Van"/>
    <n v="77"/>
    <n v="1533"/>
    <n v="4"/>
    <n v="1"/>
    <x v="2"/>
    <x v="1"/>
    <n v="16590"/>
    <n v="3.7"/>
    <n v="3"/>
    <x v="1"/>
    <n v="3.87"/>
    <s v="Medium"/>
  </r>
  <r>
    <x v="3"/>
    <s v="Sportage EV"/>
    <x v="2"/>
    <s v="Long Range"/>
    <n v="38131.56"/>
    <n v="102.5"/>
    <n v="349"/>
    <n v="66.5"/>
    <n v="4.66"/>
    <n v="176"/>
    <n v="310"/>
    <n v="327"/>
    <s v="AWD"/>
    <n v="7"/>
    <s v="SUV"/>
    <n v="65.8"/>
    <n v="1935"/>
    <n v="4"/>
    <n v="2"/>
    <x v="3"/>
    <x v="1"/>
    <n v="127201"/>
    <n v="3.8"/>
    <n v="3"/>
    <x v="1"/>
    <n v="3.4"/>
    <s v="High"/>
  </r>
  <r>
    <x v="4"/>
    <s v="Model 3"/>
    <x v="1"/>
    <s v="Long Range"/>
    <n v="144079.87"/>
    <n v="93.9"/>
    <n v="314"/>
    <n v="298.5"/>
    <n v="5.64"/>
    <n v="165"/>
    <n v="1000"/>
    <n v="883"/>
    <s v="RWD"/>
    <n v="5"/>
    <s v="SUV"/>
    <n v="38.299999999999997"/>
    <n v="2229"/>
    <n v="4"/>
    <n v="2"/>
    <x v="2"/>
    <x v="0"/>
    <n v="196401"/>
    <n v="3.8"/>
    <n v="4"/>
    <x v="1"/>
    <n v="3.34"/>
    <s v="High"/>
  </r>
  <r>
    <x v="4"/>
    <s v="Model Y"/>
    <x v="0"/>
    <s v="Performance"/>
    <n v="119590.27"/>
    <n v="78.3"/>
    <n v="251"/>
    <n v="334.6"/>
    <n v="2.84"/>
    <n v="200"/>
    <n v="947"/>
    <n v="858"/>
    <s v="AWD"/>
    <n v="5"/>
    <s v="Hatchback"/>
    <n v="35.5"/>
    <n v="1751"/>
    <n v="5"/>
    <n v="3"/>
    <x v="2"/>
    <x v="0"/>
    <n v="411764"/>
    <n v="3.7"/>
    <n v="5"/>
    <x v="0"/>
    <n v="3.21"/>
    <s v="High"/>
  </r>
  <r>
    <x v="4"/>
    <s v="Model 3"/>
    <x v="2"/>
    <s v="Premium"/>
    <n v="128427.66"/>
    <n v="68.599999999999994"/>
    <n v="222"/>
    <n v="201.9"/>
    <n v="6.68"/>
    <n v="149"/>
    <n v="992"/>
    <n v="899"/>
    <s v="RWD"/>
    <n v="5"/>
    <s v="Coupe"/>
    <n v="39.299999999999997"/>
    <n v="1500"/>
    <n v="5"/>
    <n v="2"/>
    <x v="2"/>
    <x v="0"/>
    <n v="213937"/>
    <n v="3.5"/>
    <n v="6"/>
    <x v="1"/>
    <n v="3.24"/>
    <s v="High"/>
  </r>
  <r>
    <x v="5"/>
    <s v="EQS"/>
    <x v="3"/>
    <s v="Performance"/>
    <n v="131074.23000000001"/>
    <n v="82.7"/>
    <n v="292"/>
    <n v="202.5"/>
    <n v="2.99"/>
    <n v="200"/>
    <n v="764"/>
    <n v="737"/>
    <s v="RWD"/>
    <n v="7"/>
    <s v="SUV"/>
    <n v="61.2"/>
    <n v="2219"/>
    <n v="4"/>
    <n v="2"/>
    <x v="0"/>
    <x v="0"/>
    <n v="48277"/>
    <n v="4.0999999999999996"/>
    <n v="8"/>
    <x v="0"/>
    <n v="3.53"/>
    <s v="High"/>
  </r>
  <r>
    <x v="3"/>
    <s v="Niro EV"/>
    <x v="4"/>
    <s v="Premium"/>
    <n v="80530.570000000007"/>
    <n v="54.6"/>
    <n v="184"/>
    <n v="67.5"/>
    <n v="7.57"/>
    <n v="137"/>
    <n v="976"/>
    <n v="864"/>
    <s v="AWD"/>
    <n v="7"/>
    <s v="Hatchback"/>
    <n v="36.700000000000003"/>
    <n v="1511"/>
    <n v="3"/>
    <n v="1"/>
    <x v="3"/>
    <x v="2"/>
    <n v="90830"/>
    <n v="3.1"/>
    <n v="4"/>
    <x v="2"/>
    <n v="3.37"/>
    <s v="High"/>
  </r>
  <r>
    <x v="2"/>
    <s v="Blazer EV"/>
    <x v="3"/>
    <s v="Base"/>
    <n v="56944.53"/>
    <n v="69.900000000000006"/>
    <n v="251"/>
    <n v="117.1"/>
    <n v="6.68"/>
    <n v="149"/>
    <n v="703"/>
    <n v="604"/>
    <s v="FWD"/>
    <n v="7"/>
    <s v="Van"/>
    <n v="67.599999999999994"/>
    <n v="1520"/>
    <n v="5"/>
    <n v="2"/>
    <x v="2"/>
    <x v="1"/>
    <n v="8761"/>
    <n v="3.5"/>
    <n v="5"/>
    <x v="1"/>
    <n v="3.59"/>
    <s v="Medium"/>
  </r>
  <r>
    <x v="4"/>
    <s v="Model S"/>
    <x v="5"/>
    <s v="Long Range"/>
    <n v="134165.81"/>
    <n v="103.2"/>
    <n v="347"/>
    <n v="324.39999999999998"/>
    <n v="4.5599999999999996"/>
    <n v="187"/>
    <n v="993"/>
    <n v="949"/>
    <s v="AWD"/>
    <n v="5"/>
    <s v="Sedan"/>
    <n v="26.7"/>
    <n v="1720"/>
    <n v="4"/>
    <n v="2"/>
    <x v="2"/>
    <x v="0"/>
    <n v="211478"/>
    <n v="3.8"/>
    <n v="4"/>
    <x v="1"/>
    <n v="3.36"/>
    <s v="High"/>
  </r>
  <r>
    <x v="6"/>
    <s v="Ronin"/>
    <x v="3"/>
    <s v="Standard"/>
    <n v="88914.19"/>
    <n v="66.7"/>
    <n v="232"/>
    <n v="129.5"/>
    <n v="5.0999999999999996"/>
    <n v="173"/>
    <n v="727"/>
    <n v="689"/>
    <s v="AWD"/>
    <n v="7"/>
    <s v="Truck"/>
    <n v="64.7"/>
    <n v="2536"/>
    <n v="3"/>
    <n v="2"/>
    <x v="2"/>
    <x v="2"/>
    <n v="2408"/>
    <n v="3.7"/>
    <n v="5"/>
    <x v="1"/>
    <n v="3.48"/>
    <s v="Low"/>
  </r>
  <r>
    <x v="5"/>
    <s v="EQG"/>
    <x v="3"/>
    <s v="Performance"/>
    <n v="210811.92"/>
    <n v="93.2"/>
    <n v="320"/>
    <n v="166.5"/>
    <n v="2.84"/>
    <n v="200"/>
    <n v="1000"/>
    <n v="919"/>
    <s v="RWD"/>
    <n v="7"/>
    <s v="Hatchback"/>
    <n v="17.600000000000001"/>
    <n v="1562"/>
    <n v="5"/>
    <n v="2"/>
    <x v="0"/>
    <x v="0"/>
    <n v="56039"/>
    <n v="3.6"/>
    <n v="7"/>
    <x v="0"/>
    <n v="3.43"/>
    <s v="High"/>
  </r>
  <r>
    <x v="7"/>
    <s v="Seagull"/>
    <x v="0"/>
    <s v="Base"/>
    <n v="16394.330000000002"/>
    <n v="41.8"/>
    <n v="158"/>
    <n v="73.900000000000006"/>
    <n v="6.41"/>
    <n v="155"/>
    <n v="150"/>
    <n v="200"/>
    <s v="FWD"/>
    <n v="5"/>
    <s v="Coupe"/>
    <n v="26.9"/>
    <n v="1744"/>
    <n v="5"/>
    <n v="0"/>
    <x v="4"/>
    <x v="3"/>
    <n v="224997"/>
    <n v="3.6"/>
    <n v="5"/>
    <x v="1"/>
    <n v="3.78"/>
    <s v="High"/>
  </r>
  <r>
    <x v="4"/>
    <s v="Model 3"/>
    <x v="2"/>
    <s v="Premium"/>
    <n v="95912.83"/>
    <n v="49.8"/>
    <n v="167"/>
    <n v="241.7"/>
    <n v="7.45"/>
    <n v="138"/>
    <n v="716"/>
    <n v="627"/>
    <s v="FWD"/>
    <n v="7"/>
    <s v="Sedan"/>
    <n v="15.7"/>
    <n v="1556"/>
    <n v="4"/>
    <n v="3"/>
    <x v="2"/>
    <x v="2"/>
    <n v="124780"/>
    <n v="3.6"/>
    <n v="5"/>
    <x v="2"/>
    <n v="3.35"/>
    <s v="High"/>
  </r>
  <r>
    <x v="4"/>
    <s v="Model S"/>
    <x v="2"/>
    <s v="Premium"/>
    <n v="134964.13"/>
    <n v="67.400000000000006"/>
    <n v="250"/>
    <n v="343.3"/>
    <n v="7.46"/>
    <n v="135"/>
    <n v="992"/>
    <n v="875"/>
    <s v="RWD"/>
    <n v="5"/>
    <s v="Van"/>
    <n v="76"/>
    <n v="1500"/>
    <n v="5"/>
    <n v="2"/>
    <x v="2"/>
    <x v="0"/>
    <n v="235048"/>
    <n v="3.8"/>
    <n v="5"/>
    <x v="2"/>
    <n v="3.71"/>
    <s v="High"/>
  </r>
  <r>
    <x v="7"/>
    <s v="Atto 3"/>
    <x v="2"/>
    <s v="Standard"/>
    <n v="64427.02"/>
    <n v="70.5"/>
    <n v="265"/>
    <n v="51"/>
    <n v="6.91"/>
    <n v="138"/>
    <n v="711"/>
    <n v="662"/>
    <s v="RWD"/>
    <n v="7"/>
    <s v="Truck"/>
    <n v="72.2"/>
    <n v="2756"/>
    <n v="5"/>
    <n v="1"/>
    <x v="4"/>
    <x v="1"/>
    <n v="204232"/>
    <n v="3.5"/>
    <n v="4"/>
    <x v="1"/>
    <n v="3.76"/>
    <s v="High"/>
  </r>
  <r>
    <x v="8"/>
    <s v="Kona Electric"/>
    <x v="2"/>
    <s v="Premium"/>
    <n v="63139.95"/>
    <n v="81"/>
    <n v="275"/>
    <n v="96.7"/>
    <n v="7.45"/>
    <n v="141"/>
    <n v="743"/>
    <n v="649"/>
    <s v="RWD"/>
    <n v="5"/>
    <s v="Coupe"/>
    <n v="21.9"/>
    <n v="1750"/>
    <n v="4"/>
    <n v="1"/>
    <x v="3"/>
    <x v="1"/>
    <n v="132242"/>
    <n v="3.4"/>
    <n v="5"/>
    <x v="2"/>
    <n v="3.4"/>
    <s v="High"/>
  </r>
  <r>
    <x v="0"/>
    <s v="ID.4"/>
    <x v="2"/>
    <s v="Long Range"/>
    <n v="77030"/>
    <n v="88"/>
    <n v="332"/>
    <n v="118.8"/>
    <n v="4.75"/>
    <n v="183"/>
    <n v="826"/>
    <n v="707"/>
    <s v="AWD"/>
    <n v="7"/>
    <s v="Sedan"/>
    <n v="38.700000000000003"/>
    <n v="1634"/>
    <n v="4"/>
    <n v="0"/>
    <x v="0"/>
    <x v="2"/>
    <n v="238587"/>
    <n v="3.4"/>
    <n v="4"/>
    <x v="1"/>
    <n v="3.77"/>
    <s v="High"/>
  </r>
  <r>
    <x v="7"/>
    <s v="Atto 3"/>
    <x v="2"/>
    <s v="Premium"/>
    <n v="72336.67"/>
    <n v="77.900000000000006"/>
    <n v="295"/>
    <n v="60.5"/>
    <n v="5.5"/>
    <n v="178"/>
    <n v="800"/>
    <n v="732"/>
    <s v="AWD"/>
    <n v="5"/>
    <s v="Van"/>
    <n v="60.6"/>
    <n v="1500"/>
    <n v="3"/>
    <n v="1"/>
    <x v="4"/>
    <x v="2"/>
    <n v="168778"/>
    <n v="3.5"/>
    <n v="3"/>
    <x v="1"/>
    <n v="3.79"/>
    <s v="High"/>
  </r>
  <r>
    <x v="3"/>
    <s v="Picanto EV"/>
    <x v="3"/>
    <s v="Premium"/>
    <n v="106848.2"/>
    <n v="54.1"/>
    <n v="193"/>
    <n v="132.69999999999999"/>
    <n v="7.95"/>
    <n v="135"/>
    <n v="1000"/>
    <n v="855"/>
    <s v="AWD"/>
    <n v="5"/>
    <s v="Coupe"/>
    <n v="26.9"/>
    <n v="1500"/>
    <n v="4"/>
    <n v="1"/>
    <x v="3"/>
    <x v="0"/>
    <n v="85618"/>
    <n v="3.3"/>
    <n v="5"/>
    <x v="2"/>
    <n v="3.57"/>
    <s v="High"/>
  </r>
  <r>
    <x v="4"/>
    <s v="Cybertruck"/>
    <x v="0"/>
    <s v="Base"/>
    <n v="70531.960000000006"/>
    <n v="70.5"/>
    <n v="256"/>
    <n v="281.7"/>
    <n v="5.5"/>
    <n v="165"/>
    <n v="507"/>
    <n v="445"/>
    <s v="AWD"/>
    <n v="7"/>
    <s v="Truck"/>
    <n v="72"/>
    <n v="2290"/>
    <n v="5"/>
    <n v="2"/>
    <x v="2"/>
    <x v="2"/>
    <n v="209622"/>
    <n v="3.6"/>
    <n v="4"/>
    <x v="1"/>
    <n v="3.63"/>
    <s v="High"/>
  </r>
  <r>
    <x v="7"/>
    <s v="Yuan Plus"/>
    <x v="2"/>
    <s v="Performance"/>
    <n v="114839.62"/>
    <n v="76.599999999999994"/>
    <n v="293"/>
    <n v="185.3"/>
    <n v="3.42"/>
    <n v="200"/>
    <n v="1000"/>
    <n v="902"/>
    <s v="RWD"/>
    <n v="5"/>
    <s v="SUV"/>
    <n v="68"/>
    <n v="1978"/>
    <n v="5"/>
    <n v="0"/>
    <x v="4"/>
    <x v="0"/>
    <n v="229532"/>
    <n v="3.4"/>
    <n v="4"/>
    <x v="0"/>
    <n v="3.83"/>
    <s v="High"/>
  </r>
  <r>
    <x v="0"/>
    <s v="ID.5"/>
    <x v="2"/>
    <s v="Long Range"/>
    <n v="51142.17"/>
    <n v="101.7"/>
    <n v="359"/>
    <n v="99.2"/>
    <n v="5.15"/>
    <n v="161"/>
    <n v="493"/>
    <n v="434"/>
    <s v="RWD"/>
    <n v="5"/>
    <s v="Coupe"/>
    <n v="26.9"/>
    <n v="1500"/>
    <n v="4"/>
    <n v="0"/>
    <x v="0"/>
    <x v="1"/>
    <n v="203079"/>
    <n v="3.6"/>
    <n v="5"/>
    <x v="1"/>
    <n v="3.53"/>
    <s v="High"/>
  </r>
  <r>
    <x v="0"/>
    <s v="ID. Aero"/>
    <x v="5"/>
    <s v="Standard"/>
    <n v="59824.88"/>
    <n v="70.900000000000006"/>
    <n v="263"/>
    <n v="63.4"/>
    <n v="5.9"/>
    <n v="167"/>
    <n v="618"/>
    <n v="540"/>
    <s v="AWD"/>
    <n v="5"/>
    <s v="Sedan"/>
    <n v="34.799999999999997"/>
    <n v="1781"/>
    <n v="3"/>
    <n v="0"/>
    <x v="0"/>
    <x v="1"/>
    <n v="293709"/>
    <n v="3.3"/>
    <n v="5"/>
    <x v="1"/>
    <n v="3.71"/>
    <s v="High"/>
  </r>
  <r>
    <x v="9"/>
    <s v="Mustang Mach-E"/>
    <x v="3"/>
    <s v="Performance"/>
    <n v="96527.54"/>
    <n v="75.2"/>
    <n v="286"/>
    <n v="178"/>
    <n v="3.87"/>
    <n v="188"/>
    <n v="1000"/>
    <n v="924"/>
    <s v="FWD"/>
    <n v="7"/>
    <s v="Coupe"/>
    <n v="38.9"/>
    <n v="1500"/>
    <n v="3"/>
    <n v="1"/>
    <x v="2"/>
    <x v="2"/>
    <n v="67670"/>
    <n v="3.6"/>
    <n v="4"/>
    <x v="0"/>
    <n v="3.8"/>
    <s v="High"/>
  </r>
  <r>
    <x v="4"/>
    <s v="Model X"/>
    <x v="0"/>
    <s v="Standard"/>
    <n v="67772.81"/>
    <n v="53.3"/>
    <n v="175"/>
    <n v="320.5"/>
    <n v="7.79"/>
    <n v="128"/>
    <n v="501"/>
    <n v="445"/>
    <s v="FWD"/>
    <n v="5"/>
    <s v="Sedan"/>
    <n v="28.7"/>
    <n v="1539"/>
    <n v="5"/>
    <n v="2"/>
    <x v="2"/>
    <x v="2"/>
    <n v="207968"/>
    <n v="3.4"/>
    <n v="6"/>
    <x v="2"/>
    <n v="3.28"/>
    <s v="High"/>
  </r>
  <r>
    <x v="8"/>
    <s v="Ioniq 6"/>
    <x v="3"/>
    <s v="Performance"/>
    <n v="86045.75"/>
    <n v="96.3"/>
    <n v="314"/>
    <n v="180.3"/>
    <n v="3.08"/>
    <n v="200"/>
    <n v="1000"/>
    <n v="905"/>
    <s v="RWD"/>
    <n v="7"/>
    <s v="Hatchback"/>
    <n v="27.4"/>
    <n v="1500"/>
    <n v="5"/>
    <n v="0"/>
    <x v="3"/>
    <x v="2"/>
    <n v="124864"/>
    <n v="3.6"/>
    <n v="4"/>
    <x v="0"/>
    <n v="3.26"/>
    <s v="High"/>
  </r>
  <r>
    <x v="3"/>
    <s v="EV9"/>
    <x v="2"/>
    <s v="Standard"/>
    <n v="66876.75"/>
    <n v="66.7"/>
    <n v="236"/>
    <n v="96.7"/>
    <n v="6.02"/>
    <n v="164"/>
    <n v="754"/>
    <n v="647"/>
    <s v="RWD"/>
    <n v="5"/>
    <s v="SUV"/>
    <n v="66.8"/>
    <n v="1980"/>
    <n v="4"/>
    <n v="2"/>
    <x v="3"/>
    <x v="2"/>
    <n v="117514"/>
    <n v="3.5"/>
    <n v="3"/>
    <x v="1"/>
    <n v="3.54"/>
    <s v="High"/>
  </r>
  <r>
    <x v="4"/>
    <s v="Model Y"/>
    <x v="3"/>
    <s v="Performance"/>
    <n v="135780.6"/>
    <n v="105.2"/>
    <n v="383"/>
    <n v="344.9"/>
    <n v="4.0199999999999996"/>
    <n v="196"/>
    <n v="997"/>
    <n v="903"/>
    <s v="AWD"/>
    <n v="5"/>
    <s v="Truck"/>
    <n v="69"/>
    <n v="2015"/>
    <n v="5"/>
    <n v="2"/>
    <x v="2"/>
    <x v="0"/>
    <n v="411097"/>
    <n v="4.0999999999999996"/>
    <n v="5"/>
    <x v="1"/>
    <n v="3.64"/>
    <s v="High"/>
  </r>
  <r>
    <x v="3"/>
    <s v="Niro EV"/>
    <x v="2"/>
    <s v="Performance"/>
    <n v="105946.66"/>
    <n v="79.3"/>
    <n v="245"/>
    <n v="222"/>
    <n v="3.24"/>
    <n v="200"/>
    <n v="1000"/>
    <n v="919"/>
    <s v="RWD"/>
    <n v="7"/>
    <s v="Coupe"/>
    <n v="15.9"/>
    <n v="1701"/>
    <n v="4"/>
    <n v="1"/>
    <x v="3"/>
    <x v="0"/>
    <n v="147459"/>
    <n v="3.4"/>
    <n v="3"/>
    <x v="0"/>
    <n v="3.09"/>
    <s v="High"/>
  </r>
  <r>
    <x v="4"/>
    <s v="Model X"/>
    <x v="3"/>
    <s v="Base"/>
    <n v="110771.86"/>
    <n v="52.9"/>
    <n v="177"/>
    <n v="216.7"/>
    <n v="6.55"/>
    <n v="151"/>
    <n v="826"/>
    <n v="728"/>
    <s v="AWD"/>
    <n v="5"/>
    <s v="SUV"/>
    <n v="35.700000000000003"/>
    <n v="1959"/>
    <n v="4"/>
    <n v="2"/>
    <x v="2"/>
    <x v="0"/>
    <n v="179640"/>
    <n v="3.4"/>
    <n v="5"/>
    <x v="1"/>
    <n v="3.35"/>
    <s v="High"/>
  </r>
  <r>
    <x v="4"/>
    <s v="Cybertruck"/>
    <x v="2"/>
    <s v="Performance"/>
    <n v="42827.24"/>
    <n v="89.9"/>
    <n v="311"/>
    <n v="240.1"/>
    <n v="2.94"/>
    <n v="200"/>
    <n v="263"/>
    <n v="241"/>
    <s v="AWD"/>
    <n v="5"/>
    <s v="Truck"/>
    <n v="55.5"/>
    <n v="2122"/>
    <n v="4"/>
    <n v="3"/>
    <x v="2"/>
    <x v="1"/>
    <n v="133489"/>
    <n v="3.8"/>
    <n v="5"/>
    <x v="0"/>
    <n v="3.46"/>
    <s v="High"/>
  </r>
  <r>
    <x v="1"/>
    <s v="bZ Compact SUV"/>
    <x v="6"/>
    <s v="Long Range"/>
    <n v="70748.34"/>
    <n v="94.2"/>
    <n v="335"/>
    <n v="104.7"/>
    <n v="5.66"/>
    <n v="169"/>
    <n v="818"/>
    <n v="760"/>
    <s v="AWD"/>
    <n v="5"/>
    <s v="SUV"/>
    <n v="66.5"/>
    <n v="2056"/>
    <n v="5"/>
    <n v="0"/>
    <x v="1"/>
    <x v="2"/>
    <n v="2261"/>
    <n v="3.7"/>
    <n v="4"/>
    <x v="1"/>
    <n v="3.56"/>
    <s v="Low"/>
  </r>
  <r>
    <x v="6"/>
    <s v="Ronin"/>
    <x v="5"/>
    <s v="Base"/>
    <n v="50395.94"/>
    <n v="63.9"/>
    <n v="243"/>
    <n v="106.1"/>
    <n v="7.33"/>
    <n v="147"/>
    <n v="334"/>
    <n v="275"/>
    <s v="FWD"/>
    <n v="7"/>
    <s v="Sedan"/>
    <n v="34.5"/>
    <n v="1500"/>
    <n v="5"/>
    <n v="1"/>
    <x v="2"/>
    <x v="1"/>
    <n v="11950"/>
    <n v="3.5"/>
    <n v="4"/>
    <x v="2"/>
    <n v="3.8"/>
    <s v="Medium"/>
  </r>
  <r>
    <x v="9"/>
    <s v="E-Transit"/>
    <x v="3"/>
    <s v="Performance"/>
    <n v="69597.509999999995"/>
    <n v="106.2"/>
    <n v="361"/>
    <n v="219"/>
    <n v="3.88"/>
    <n v="192"/>
    <n v="783"/>
    <n v="728"/>
    <s v="AWD"/>
    <n v="5"/>
    <s v="Sedan"/>
    <n v="38.9"/>
    <n v="1500"/>
    <n v="5"/>
    <n v="1"/>
    <x v="2"/>
    <x v="2"/>
    <n v="24574"/>
    <n v="3.8"/>
    <n v="3"/>
    <x v="0"/>
    <n v="3.4"/>
    <s v="High"/>
  </r>
  <r>
    <x v="7"/>
    <s v="Leaf 50X"/>
    <x v="3"/>
    <s v="Standard"/>
    <n v="31434.26"/>
    <n v="60.6"/>
    <n v="229"/>
    <n v="98.1"/>
    <n v="7.69"/>
    <n v="136"/>
    <n v="285"/>
    <n v="269"/>
    <s v="RWD"/>
    <n v="5"/>
    <s v="Hatchback"/>
    <n v="31.5"/>
    <n v="1643"/>
    <n v="4"/>
    <n v="0"/>
    <x v="4"/>
    <x v="3"/>
    <n v="242953"/>
    <n v="3.3"/>
    <n v="4"/>
    <x v="2"/>
    <n v="3.78"/>
    <s v="High"/>
  </r>
  <r>
    <x v="4"/>
    <s v="Model X"/>
    <x v="0"/>
    <s v="Base"/>
    <n v="109503.65"/>
    <n v="47.9"/>
    <n v="155"/>
    <n v="304.7"/>
    <n v="6.19"/>
    <n v="164"/>
    <n v="825"/>
    <n v="733"/>
    <s v="RWD"/>
    <n v="5"/>
    <s v="Van"/>
    <n v="72.8"/>
    <n v="1500"/>
    <n v="5"/>
    <n v="3"/>
    <x v="2"/>
    <x v="0"/>
    <n v="174834"/>
    <n v="3.6"/>
    <n v="4"/>
    <x v="1"/>
    <n v="3.24"/>
    <s v="High"/>
  </r>
  <r>
    <x v="10"/>
    <s v="i7"/>
    <x v="3"/>
    <s v="Performance"/>
    <n v="156773.89000000001"/>
    <n v="81.400000000000006"/>
    <n v="266"/>
    <n v="182.2"/>
    <n v="4.2"/>
    <n v="190"/>
    <n v="1000"/>
    <n v="908"/>
    <s v="AWD"/>
    <n v="5"/>
    <s v="Truck"/>
    <n v="76.8"/>
    <n v="2499"/>
    <n v="5"/>
    <n v="1"/>
    <x v="0"/>
    <x v="0"/>
    <n v="58126"/>
    <n v="3.6"/>
    <n v="5"/>
    <x v="1"/>
    <n v="3.27"/>
    <s v="High"/>
  </r>
  <r>
    <x v="0"/>
    <s v="ID.3"/>
    <x v="4"/>
    <s v="Long Range"/>
    <n v="52966.98"/>
    <n v="96.8"/>
    <n v="311"/>
    <n v="134.69999999999999"/>
    <n v="5.8"/>
    <n v="171"/>
    <n v="460"/>
    <n v="436"/>
    <s v="RWD"/>
    <n v="5"/>
    <s v="Coupe"/>
    <n v="20.6"/>
    <n v="1853"/>
    <n v="5"/>
    <n v="0"/>
    <x v="0"/>
    <x v="1"/>
    <n v="232633"/>
    <n v="3.6"/>
    <n v="5"/>
    <x v="1"/>
    <n v="3.21"/>
    <s v="High"/>
  </r>
  <r>
    <x v="4"/>
    <s v="Cybertruck"/>
    <x v="2"/>
    <s v="Standard"/>
    <n v="121805.3"/>
    <n v="58.9"/>
    <n v="204"/>
    <n v="274.60000000000002"/>
    <n v="5.61"/>
    <n v="173"/>
    <n v="850"/>
    <n v="776"/>
    <s v="FWD"/>
    <n v="7"/>
    <s v="Truck"/>
    <n v="56.2"/>
    <n v="2502"/>
    <n v="4"/>
    <n v="3"/>
    <x v="2"/>
    <x v="0"/>
    <n v="225373"/>
    <n v="3.8"/>
    <n v="5"/>
    <x v="1"/>
    <n v="3.46"/>
    <s v="High"/>
  </r>
  <r>
    <x v="8"/>
    <s v="Ioniq 6"/>
    <x v="3"/>
    <s v="Standard"/>
    <n v="69769.460000000006"/>
    <n v="63.2"/>
    <n v="212"/>
    <n v="79"/>
    <n v="7.79"/>
    <n v="133"/>
    <n v="890"/>
    <n v="734"/>
    <s v="FWD"/>
    <n v="5"/>
    <s v="Hatchback"/>
    <n v="28.1"/>
    <n v="1500"/>
    <n v="4"/>
    <n v="0"/>
    <x v="3"/>
    <x v="2"/>
    <n v="50147"/>
    <n v="3.2"/>
    <n v="4"/>
    <x v="2"/>
    <n v="3.35"/>
    <s v="High"/>
  </r>
  <r>
    <x v="4"/>
    <s v="Model X"/>
    <x v="2"/>
    <s v="Long Range"/>
    <n v="117517.98"/>
    <n v="101"/>
    <n v="350"/>
    <n v="245.4"/>
    <n v="4.6500000000000004"/>
    <n v="186"/>
    <n v="881"/>
    <n v="810"/>
    <s v="AWD"/>
    <n v="5"/>
    <s v="Truck"/>
    <n v="80"/>
    <n v="2225"/>
    <n v="5"/>
    <n v="2"/>
    <x v="2"/>
    <x v="0"/>
    <n v="122440"/>
    <n v="4"/>
    <n v="5"/>
    <x v="1"/>
    <n v="3.47"/>
    <s v="High"/>
  </r>
  <r>
    <x v="11"/>
    <s v="e-tron GT"/>
    <x v="3"/>
    <s v="Standard"/>
    <n v="53762.11"/>
    <n v="52.1"/>
    <n v="156"/>
    <n v="112.8"/>
    <n v="6.45"/>
    <n v="154"/>
    <n v="207"/>
    <n v="200"/>
    <s v="FWD"/>
    <n v="5"/>
    <s v="Coupe"/>
    <n v="17.600000000000001"/>
    <n v="1899"/>
    <n v="4"/>
    <n v="2"/>
    <x v="0"/>
    <x v="1"/>
    <n v="69650"/>
    <n v="3.7"/>
    <n v="7"/>
    <x v="1"/>
    <n v="2.99"/>
    <s v="High"/>
  </r>
  <r>
    <x v="7"/>
    <s v="Max"/>
    <x v="2"/>
    <s v="Base"/>
    <n v="24029.61"/>
    <n v="45.6"/>
    <n v="153"/>
    <n v="53.1"/>
    <n v="5.16"/>
    <n v="177"/>
    <n v="211"/>
    <n v="200"/>
    <s v="FWD"/>
    <n v="5"/>
    <s v="Sedan"/>
    <n v="32.5"/>
    <n v="1669"/>
    <n v="5"/>
    <n v="0"/>
    <x v="4"/>
    <x v="3"/>
    <n v="157077"/>
    <n v="3.5"/>
    <n v="3"/>
    <x v="1"/>
    <n v="3.36"/>
    <s v="High"/>
  </r>
  <r>
    <x v="10"/>
    <s v="i3"/>
    <x v="2"/>
    <s v="Long Range"/>
    <n v="120387.4"/>
    <n v="79.400000000000006"/>
    <n v="285"/>
    <n v="134.30000000000001"/>
    <n v="4.2"/>
    <n v="193"/>
    <n v="1000"/>
    <n v="988"/>
    <s v="RWD"/>
    <n v="5"/>
    <s v="Truck"/>
    <n v="62.9"/>
    <n v="2464"/>
    <n v="4"/>
    <n v="2"/>
    <x v="0"/>
    <x v="0"/>
    <n v="62864"/>
    <n v="3.3"/>
    <n v="8"/>
    <x v="1"/>
    <n v="3.59"/>
    <s v="High"/>
  </r>
  <r>
    <x v="7"/>
    <s v="Atto 3"/>
    <x v="3"/>
    <s v="Base"/>
    <n v="26682.38"/>
    <n v="53.9"/>
    <n v="199"/>
    <n v="117.3"/>
    <n v="7.39"/>
    <n v="137"/>
    <n v="274"/>
    <n v="206"/>
    <s v="FWD"/>
    <n v="7"/>
    <s v="Truck"/>
    <n v="68.8"/>
    <n v="2367"/>
    <n v="4"/>
    <n v="0"/>
    <x v="4"/>
    <x v="3"/>
    <n v="158602"/>
    <n v="3.3"/>
    <n v="3"/>
    <x v="2"/>
    <n v="3.69"/>
    <s v="High"/>
  </r>
  <r>
    <x v="8"/>
    <s v="Ioniq"/>
    <x v="3"/>
    <s v="Base"/>
    <n v="45100.09"/>
    <n v="79.5"/>
    <n v="257"/>
    <n v="85.6"/>
    <n v="5.25"/>
    <n v="174"/>
    <n v="478"/>
    <n v="396"/>
    <s v="AWD"/>
    <n v="5"/>
    <s v="Hatchback"/>
    <n v="39.6"/>
    <n v="1705"/>
    <n v="4"/>
    <n v="1"/>
    <x v="3"/>
    <x v="1"/>
    <n v="128526"/>
    <n v="3.6"/>
    <n v="4"/>
    <x v="1"/>
    <n v="3.23"/>
    <s v="High"/>
  </r>
  <r>
    <x v="3"/>
    <s v="Sportage EV"/>
    <x v="0"/>
    <s v="Standard"/>
    <n v="77484.789999999994"/>
    <n v="81.2"/>
    <n v="284"/>
    <n v="147.69999999999999"/>
    <n v="5.31"/>
    <n v="169"/>
    <n v="923"/>
    <n v="832"/>
    <s v="FWD"/>
    <n v="5"/>
    <s v="SUV"/>
    <n v="55.4"/>
    <n v="2017"/>
    <n v="3"/>
    <n v="1"/>
    <x v="3"/>
    <x v="2"/>
    <n v="101678"/>
    <n v="3.3"/>
    <n v="4"/>
    <x v="1"/>
    <n v="3.5"/>
    <s v="High"/>
  </r>
  <r>
    <x v="4"/>
    <s v="Model Y"/>
    <x v="0"/>
    <s v="Standard"/>
    <n v="98108.77"/>
    <n v="46.5"/>
    <n v="150"/>
    <n v="338.8"/>
    <n v="5.21"/>
    <n v="174"/>
    <n v="760"/>
    <n v="665"/>
    <s v="FWD"/>
    <n v="5"/>
    <s v="SUV"/>
    <n v="44.4"/>
    <n v="2146"/>
    <n v="5"/>
    <n v="2"/>
    <x v="2"/>
    <x v="2"/>
    <n v="431290"/>
    <n v="3.3"/>
    <n v="4"/>
    <x v="1"/>
    <n v="3.23"/>
    <s v="High"/>
  </r>
  <r>
    <x v="6"/>
    <s v="Ronin"/>
    <x v="6"/>
    <s v="Performance"/>
    <n v="143106.79"/>
    <n v="75.3"/>
    <n v="272"/>
    <n v="170.3"/>
    <n v="3.68"/>
    <n v="197"/>
    <n v="1000"/>
    <n v="935"/>
    <s v="AWD"/>
    <n v="5"/>
    <s v="Hatchback"/>
    <n v="38.4"/>
    <n v="1705"/>
    <n v="4"/>
    <n v="1"/>
    <x v="2"/>
    <x v="0"/>
    <n v="18708"/>
    <n v="3.5"/>
    <n v="4"/>
    <x v="0"/>
    <n v="3.61"/>
    <s v="Medium"/>
  </r>
  <r>
    <x v="9"/>
    <s v="F-150 Lightning"/>
    <x v="5"/>
    <s v="Base"/>
    <n v="52266.720000000001"/>
    <n v="73.400000000000006"/>
    <n v="268"/>
    <n v="58.4"/>
    <n v="7.42"/>
    <n v="137"/>
    <n v="514"/>
    <n v="472"/>
    <s v="FWD"/>
    <n v="2"/>
    <s v="Truck"/>
    <n v="50.3"/>
    <n v="2850"/>
    <n v="5"/>
    <n v="0"/>
    <x v="2"/>
    <x v="1"/>
    <n v="62843"/>
    <n v="3.7"/>
    <n v="3"/>
    <x v="2"/>
    <n v="3.65"/>
    <s v="High"/>
  </r>
  <r>
    <x v="12"/>
    <s v="ET6"/>
    <x v="3"/>
    <s v="Performance"/>
    <n v="60624.73"/>
    <n v="82.4"/>
    <n v="278"/>
    <n v="174.8"/>
    <n v="2.63"/>
    <n v="200"/>
    <n v="476"/>
    <n v="420"/>
    <s v="RWD"/>
    <n v="7"/>
    <s v="SUV"/>
    <n v="48"/>
    <n v="2138"/>
    <n v="4"/>
    <n v="0"/>
    <x v="4"/>
    <x v="1"/>
    <n v="8857"/>
    <n v="3.5"/>
    <n v="4"/>
    <x v="0"/>
    <n v="3.37"/>
    <s v="Medium"/>
  </r>
  <r>
    <x v="11"/>
    <s v="e-tron GT"/>
    <x v="3"/>
    <s v="Base"/>
    <n v="63332.23"/>
    <n v="84.4"/>
    <n v="310"/>
    <n v="92.7"/>
    <n v="5.62"/>
    <n v="162"/>
    <n v="284"/>
    <n v="288"/>
    <s v="RWD"/>
    <n v="7"/>
    <s v="Coupe"/>
    <n v="31.7"/>
    <n v="1565"/>
    <n v="5"/>
    <n v="1"/>
    <x v="0"/>
    <x v="1"/>
    <n v="62327"/>
    <n v="3.9"/>
    <n v="6"/>
    <x v="1"/>
    <n v="3.67"/>
    <s v="High"/>
  </r>
  <r>
    <x v="3"/>
    <s v="Sportage EV"/>
    <x v="2"/>
    <s v="Long Range"/>
    <n v="95244.75"/>
    <n v="77.2"/>
    <n v="262"/>
    <n v="94.4"/>
    <n v="4.04"/>
    <n v="194"/>
    <n v="1000"/>
    <n v="842"/>
    <s v="AWD"/>
    <n v="5"/>
    <s v="SUV"/>
    <n v="67.400000000000006"/>
    <n v="2045"/>
    <n v="4"/>
    <n v="1"/>
    <x v="3"/>
    <x v="2"/>
    <n v="76023"/>
    <n v="3.4"/>
    <n v="3"/>
    <x v="1"/>
    <n v="3.39"/>
    <s v="High"/>
  </r>
  <r>
    <x v="13"/>
    <s v="R3"/>
    <x v="2"/>
    <s v="Base"/>
    <n v="66816.36"/>
    <n v="69.900000000000006"/>
    <n v="247"/>
    <n v="118.5"/>
    <n v="5.33"/>
    <n v="171"/>
    <n v="150"/>
    <n v="200"/>
    <s v="AWD"/>
    <n v="5"/>
    <s v="Sedan"/>
    <n v="23.9"/>
    <n v="1757"/>
    <n v="5"/>
    <n v="0"/>
    <x v="2"/>
    <x v="2"/>
    <n v="27456"/>
    <n v="3.4"/>
    <n v="6"/>
    <x v="1"/>
    <n v="3.53"/>
    <s v="High"/>
  </r>
  <r>
    <x v="4"/>
    <s v="Model X"/>
    <x v="3"/>
    <s v="Base"/>
    <n v="73015.63"/>
    <n v="82.4"/>
    <n v="304"/>
    <n v="275.5"/>
    <n v="5.58"/>
    <n v="156"/>
    <n v="528"/>
    <n v="501"/>
    <s v="RWD"/>
    <n v="7"/>
    <s v="Truck"/>
    <n v="62.4"/>
    <n v="2036"/>
    <n v="5"/>
    <n v="2"/>
    <x v="2"/>
    <x v="2"/>
    <n v="173406"/>
    <n v="3.8"/>
    <n v="5"/>
    <x v="1"/>
    <n v="3.69"/>
    <s v="High"/>
  </r>
  <r>
    <x v="4"/>
    <s v="Cybertruck"/>
    <x v="3"/>
    <s v="Performance"/>
    <n v="117415.98"/>
    <n v="78.099999999999994"/>
    <n v="263"/>
    <n v="215.8"/>
    <n v="2.94"/>
    <n v="200"/>
    <n v="927"/>
    <n v="847"/>
    <s v="AWD"/>
    <n v="5"/>
    <s v="Truck"/>
    <n v="61.7"/>
    <n v="2353"/>
    <n v="5"/>
    <n v="2"/>
    <x v="2"/>
    <x v="0"/>
    <n v="183531"/>
    <n v="3.7"/>
    <n v="5"/>
    <x v="0"/>
    <n v="3.37"/>
    <s v="High"/>
  </r>
  <r>
    <x v="4"/>
    <s v="Model 3"/>
    <x v="3"/>
    <s v="Standard"/>
    <n v="71316.86"/>
    <n v="73.900000000000006"/>
    <n v="249"/>
    <n v="282"/>
    <n v="6.73"/>
    <n v="144"/>
    <n v="502"/>
    <n v="509"/>
    <s v="RWD"/>
    <n v="5"/>
    <s v="SUV"/>
    <n v="52.9"/>
    <n v="2053"/>
    <n v="5"/>
    <n v="3"/>
    <x v="2"/>
    <x v="2"/>
    <n v="242716"/>
    <n v="3.7"/>
    <n v="5"/>
    <x v="1"/>
    <n v="3.37"/>
    <s v="High"/>
  </r>
  <r>
    <x v="7"/>
    <s v="Leaf 50X"/>
    <x v="3"/>
    <s v="Base"/>
    <n v="59005.52"/>
    <n v="58.4"/>
    <n v="200"/>
    <n v="121.5"/>
    <n v="7.64"/>
    <n v="137"/>
    <n v="667"/>
    <n v="633"/>
    <s v="RWD"/>
    <n v="5"/>
    <s v="Van"/>
    <n v="76.900000000000006"/>
    <n v="1500"/>
    <n v="5"/>
    <n v="0"/>
    <x v="4"/>
    <x v="1"/>
    <n v="127516"/>
    <n v="3.3"/>
    <n v="5"/>
    <x v="2"/>
    <n v="3.42"/>
    <s v="High"/>
  </r>
  <r>
    <x v="0"/>
    <s v="ID. Aero"/>
    <x v="2"/>
    <s v="Long Range"/>
    <n v="42431.05"/>
    <n v="88.6"/>
    <n v="306"/>
    <n v="104.2"/>
    <n v="5.94"/>
    <n v="166"/>
    <n v="337"/>
    <n v="286"/>
    <s v="AWD"/>
    <n v="5"/>
    <s v="Coupe"/>
    <n v="39.700000000000003"/>
    <n v="1590"/>
    <n v="3"/>
    <n v="1"/>
    <x v="0"/>
    <x v="1"/>
    <n v="260840"/>
    <n v="3.5"/>
    <n v="4"/>
    <x v="1"/>
    <n v="3.45"/>
    <s v="High"/>
  </r>
  <r>
    <x v="7"/>
    <s v="Dolphin"/>
    <x v="2"/>
    <s v="Performance"/>
    <n v="30671.06"/>
    <n v="87.5"/>
    <n v="303"/>
    <n v="233.1"/>
    <n v="4.18"/>
    <n v="190"/>
    <n v="345"/>
    <n v="269"/>
    <s v="AWD"/>
    <n v="5"/>
    <s v="Sedan"/>
    <n v="29.5"/>
    <n v="1815"/>
    <n v="5"/>
    <n v="0"/>
    <x v="4"/>
    <x v="3"/>
    <n v="201621"/>
    <n v="3.3"/>
    <n v="4"/>
    <x v="1"/>
    <n v="3.46"/>
    <s v="High"/>
  </r>
  <r>
    <x v="5"/>
    <s v="EQC"/>
    <x v="3"/>
    <s v="Performance"/>
    <n v="188302.14"/>
    <n v="78.5"/>
    <n v="277"/>
    <n v="225"/>
    <n v="4.32"/>
    <n v="185"/>
    <n v="1000"/>
    <n v="943"/>
    <s v="RWD"/>
    <n v="7"/>
    <s v="Coupe"/>
    <n v="28.5"/>
    <n v="1500"/>
    <n v="4"/>
    <n v="2"/>
    <x v="0"/>
    <x v="0"/>
    <n v="43172"/>
    <n v="4"/>
    <n v="7"/>
    <x v="1"/>
    <n v="3.53"/>
    <s v="High"/>
  </r>
  <r>
    <x v="0"/>
    <s v="ID.4"/>
    <x v="0"/>
    <s v="Long Range"/>
    <n v="94330.19"/>
    <n v="105.4"/>
    <n v="383"/>
    <n v="105.8"/>
    <n v="5.17"/>
    <n v="177"/>
    <n v="1000"/>
    <n v="868"/>
    <s v="FWD"/>
    <n v="7"/>
    <s v="Sedan"/>
    <n v="21.8"/>
    <n v="1500"/>
    <n v="5"/>
    <n v="1"/>
    <x v="0"/>
    <x v="2"/>
    <n v="232451"/>
    <n v="4"/>
    <n v="3"/>
    <x v="1"/>
    <n v="3.63"/>
    <s v="High"/>
  </r>
  <r>
    <x v="7"/>
    <s v="Dolphin"/>
    <x v="2"/>
    <s v="Premium"/>
    <n v="83518.44"/>
    <n v="77.099999999999994"/>
    <n v="267"/>
    <n v="148.30000000000001"/>
    <n v="7.36"/>
    <n v="146"/>
    <n v="954"/>
    <n v="884"/>
    <s v="AWD"/>
    <n v="5"/>
    <s v="Coupe"/>
    <n v="21.5"/>
    <n v="1652"/>
    <n v="3"/>
    <n v="1"/>
    <x v="4"/>
    <x v="2"/>
    <n v="148454"/>
    <n v="3.3"/>
    <n v="5"/>
    <x v="2"/>
    <n v="3.46"/>
    <s v="High"/>
  </r>
  <r>
    <x v="3"/>
    <s v="Niro EV"/>
    <x v="2"/>
    <s v="Premium"/>
    <n v="68436.66"/>
    <n v="70"/>
    <n v="249"/>
    <n v="131.30000000000001"/>
    <n v="7.12"/>
    <n v="141"/>
    <n v="790"/>
    <n v="742"/>
    <s v="AWD"/>
    <n v="5"/>
    <s v="Coupe"/>
    <n v="23"/>
    <n v="1556"/>
    <n v="3"/>
    <n v="0"/>
    <x v="3"/>
    <x v="2"/>
    <n v="81219"/>
    <n v="3.6"/>
    <n v="3"/>
    <x v="2"/>
    <n v="3.56"/>
    <s v="High"/>
  </r>
  <r>
    <x v="4"/>
    <s v="Model Y"/>
    <x v="3"/>
    <s v="Performance"/>
    <n v="43196.41"/>
    <n v="111.9"/>
    <n v="408"/>
    <n v="293.7"/>
    <n v="4.2300000000000004"/>
    <n v="197"/>
    <n v="338"/>
    <n v="357"/>
    <s v="RWD"/>
    <n v="7"/>
    <s v="Truck"/>
    <n v="70.3"/>
    <n v="2547"/>
    <n v="5"/>
    <n v="3"/>
    <x v="2"/>
    <x v="1"/>
    <n v="437912"/>
    <n v="4"/>
    <n v="5"/>
    <x v="1"/>
    <n v="3.65"/>
    <s v="High"/>
  </r>
  <r>
    <x v="9"/>
    <s v="Explorer EV"/>
    <x v="2"/>
    <s v="Long Range"/>
    <n v="66402.61"/>
    <n v="90.5"/>
    <n v="334"/>
    <n v="96.1"/>
    <n v="5.88"/>
    <n v="162"/>
    <n v="752"/>
    <n v="677"/>
    <s v="RWD"/>
    <n v="5"/>
    <s v="Van"/>
    <n v="67.5"/>
    <n v="1894"/>
    <n v="5"/>
    <n v="1"/>
    <x v="2"/>
    <x v="2"/>
    <n v="36517"/>
    <n v="3.7"/>
    <n v="3"/>
    <x v="1"/>
    <n v="3.69"/>
    <s v="High"/>
  </r>
  <r>
    <x v="4"/>
    <s v="Model X"/>
    <x v="2"/>
    <s v="Performance"/>
    <n v="42932.18"/>
    <n v="99"/>
    <n v="356"/>
    <n v="209.1"/>
    <n v="3.87"/>
    <n v="192"/>
    <n v="227"/>
    <n v="200"/>
    <s v="RWD"/>
    <n v="7"/>
    <s v="Hatchback"/>
    <n v="27.2"/>
    <n v="1500"/>
    <n v="5"/>
    <n v="2"/>
    <x v="2"/>
    <x v="1"/>
    <n v="238196"/>
    <n v="4"/>
    <n v="5"/>
    <x v="0"/>
    <n v="3.6"/>
    <s v="High"/>
  </r>
  <r>
    <x v="14"/>
    <s v="Macan Electric"/>
    <x v="1"/>
    <s v="Long Range"/>
    <n v="101897.93"/>
    <n v="76.099999999999994"/>
    <n v="254"/>
    <n v="291"/>
    <n v="5.76"/>
    <n v="163"/>
    <n v="335"/>
    <n v="326"/>
    <s v="AWD"/>
    <n v="7"/>
    <s v="Truck"/>
    <n v="72.099999999999994"/>
    <n v="2679"/>
    <n v="5"/>
    <n v="0"/>
    <x v="0"/>
    <x v="0"/>
    <n v="26972"/>
    <n v="3.7"/>
    <n v="7"/>
    <x v="1"/>
    <n v="3.34"/>
    <s v="High"/>
  </r>
  <r>
    <x v="9"/>
    <s v="E-Transit"/>
    <x v="3"/>
    <s v="Premium"/>
    <n v="45539.59"/>
    <n v="55.1"/>
    <n v="198"/>
    <n v="143.80000000000001"/>
    <n v="5.26"/>
    <n v="173"/>
    <n v="379"/>
    <n v="335"/>
    <s v="AWD"/>
    <n v="5"/>
    <s v="Hatchback"/>
    <n v="16.399999999999999"/>
    <n v="1785"/>
    <n v="5"/>
    <n v="0"/>
    <x v="2"/>
    <x v="1"/>
    <n v="26865"/>
    <n v="3"/>
    <n v="3"/>
    <x v="1"/>
    <n v="3.59"/>
    <s v="High"/>
  </r>
  <r>
    <x v="4"/>
    <s v="Model S"/>
    <x v="2"/>
    <s v="Premium"/>
    <n v="66707.72"/>
    <n v="45.8"/>
    <n v="150"/>
    <n v="301.10000000000002"/>
    <n v="5.19"/>
    <n v="166"/>
    <n v="486"/>
    <n v="420"/>
    <s v="AWD"/>
    <n v="5"/>
    <s v="Van"/>
    <n v="69.7"/>
    <n v="1686"/>
    <n v="5"/>
    <n v="2"/>
    <x v="2"/>
    <x v="2"/>
    <n v="187104"/>
    <n v="3.2"/>
    <n v="5"/>
    <x v="1"/>
    <n v="3.28"/>
    <s v="High"/>
  </r>
  <r>
    <x v="4"/>
    <s v="Model S"/>
    <x v="6"/>
    <s v="Performance"/>
    <n v="102900.51"/>
    <n v="74.099999999999994"/>
    <n v="231"/>
    <n v="323.39999999999998"/>
    <n v="2.61"/>
    <n v="200"/>
    <n v="708"/>
    <n v="567"/>
    <s v="RWD"/>
    <n v="5"/>
    <s v="Truck"/>
    <n v="79.8"/>
    <n v="2284"/>
    <n v="3"/>
    <n v="2"/>
    <x v="2"/>
    <x v="0"/>
    <n v="184383"/>
    <n v="3.8"/>
    <n v="5"/>
    <x v="0"/>
    <n v="3.12"/>
    <s v="High"/>
  </r>
  <r>
    <x v="9"/>
    <s v="Explorer EV"/>
    <x v="2"/>
    <s v="Long Range"/>
    <n v="69723.399999999994"/>
    <n v="91.5"/>
    <n v="331"/>
    <n v="118.7"/>
    <n v="5.32"/>
    <n v="180"/>
    <n v="792"/>
    <n v="705"/>
    <s v="AWD"/>
    <n v="7"/>
    <s v="Truck"/>
    <n v="72.900000000000006"/>
    <n v="2451"/>
    <n v="5"/>
    <n v="0"/>
    <x v="2"/>
    <x v="2"/>
    <n v="54063"/>
    <n v="3.6"/>
    <n v="4"/>
    <x v="1"/>
    <n v="3.62"/>
    <s v="High"/>
  </r>
  <r>
    <x v="2"/>
    <s v="Bolt EUV"/>
    <x v="3"/>
    <s v="Performance"/>
    <n v="102049.38"/>
    <n v="116.6"/>
    <n v="395"/>
    <n v="163.19999999999999"/>
    <n v="4.21"/>
    <n v="192"/>
    <n v="1000"/>
    <n v="893"/>
    <s v="AWD"/>
    <n v="5"/>
    <s v="Van"/>
    <n v="72.099999999999994"/>
    <n v="1834"/>
    <n v="4"/>
    <n v="1"/>
    <x v="2"/>
    <x v="0"/>
    <n v="7957"/>
    <n v="4.2"/>
    <n v="5"/>
    <x v="1"/>
    <n v="3.39"/>
    <s v="Medium"/>
  </r>
  <r>
    <x v="2"/>
    <s v="Equinox EV"/>
    <x v="2"/>
    <s v="Long Range"/>
    <n v="78668.52"/>
    <n v="102.9"/>
    <n v="368"/>
    <n v="72.099999999999994"/>
    <n v="4.4400000000000004"/>
    <n v="179"/>
    <n v="1000"/>
    <n v="916"/>
    <s v="AWD"/>
    <n v="5"/>
    <s v="SUV"/>
    <n v="65.5"/>
    <n v="2096"/>
    <n v="5"/>
    <n v="0"/>
    <x v="2"/>
    <x v="2"/>
    <n v="14020"/>
    <n v="4"/>
    <n v="4"/>
    <x v="1"/>
    <n v="3.58"/>
    <s v="Medium"/>
  </r>
  <r>
    <x v="9"/>
    <s v="Mustang Mach-E"/>
    <x v="2"/>
    <s v="Standard"/>
    <n v="79438.2"/>
    <n v="82.5"/>
    <n v="299"/>
    <n v="128.6"/>
    <n v="6.77"/>
    <n v="149"/>
    <n v="967"/>
    <n v="916"/>
    <s v="RWD"/>
    <n v="5"/>
    <s v="Van"/>
    <n v="80"/>
    <n v="1521"/>
    <n v="5"/>
    <n v="0"/>
    <x v="2"/>
    <x v="2"/>
    <n v="21827"/>
    <n v="3.8"/>
    <n v="3"/>
    <x v="1"/>
    <n v="3.62"/>
    <s v="High"/>
  </r>
  <r>
    <x v="4"/>
    <s v="Model 3"/>
    <x v="2"/>
    <s v="Performance"/>
    <n v="139025.28"/>
    <n v="93.4"/>
    <n v="320"/>
    <n v="293.89999999999998"/>
    <n v="3.06"/>
    <n v="200"/>
    <n v="995"/>
    <n v="917"/>
    <s v="AWD"/>
    <n v="5"/>
    <s v="Coupe"/>
    <n v="17.8"/>
    <n v="1500"/>
    <n v="4"/>
    <n v="2"/>
    <x v="2"/>
    <x v="0"/>
    <n v="220216"/>
    <n v="4.0999999999999996"/>
    <n v="5"/>
    <x v="0"/>
    <n v="3.43"/>
    <s v="High"/>
  </r>
  <r>
    <x v="0"/>
    <s v="ID.3"/>
    <x v="3"/>
    <s v="Base"/>
    <n v="38889.440000000002"/>
    <n v="65"/>
    <n v="231"/>
    <n v="142.69999999999999"/>
    <n v="6.1"/>
    <n v="160"/>
    <n v="313"/>
    <n v="257"/>
    <s v="FWD"/>
    <n v="5"/>
    <s v="Sedan"/>
    <n v="20.9"/>
    <n v="1571"/>
    <n v="5"/>
    <n v="1"/>
    <x v="0"/>
    <x v="1"/>
    <n v="293320"/>
    <n v="3.4"/>
    <n v="3"/>
    <x v="1"/>
    <n v="3.55"/>
    <s v="High"/>
  </r>
  <r>
    <x v="4"/>
    <s v="Model 3"/>
    <x v="3"/>
    <s v="Performance"/>
    <n v="169366.43"/>
    <n v="117.4"/>
    <n v="416"/>
    <n v="241.6"/>
    <n v="3.06"/>
    <n v="200"/>
    <n v="1000"/>
    <n v="931"/>
    <s v="RWD"/>
    <n v="7"/>
    <s v="SUV"/>
    <n v="44.7"/>
    <n v="1923"/>
    <n v="5"/>
    <n v="2"/>
    <x v="2"/>
    <x v="0"/>
    <n v="248754"/>
    <n v="4.0999999999999996"/>
    <n v="5"/>
    <x v="0"/>
    <n v="3.54"/>
    <s v="High"/>
  </r>
  <r>
    <x v="5"/>
    <s v="GLE EV"/>
    <x v="0"/>
    <s v="Standard"/>
    <n v="144581.79"/>
    <n v="42.8"/>
    <n v="150"/>
    <n v="146.80000000000001"/>
    <n v="6.34"/>
    <n v="156"/>
    <n v="852"/>
    <n v="767"/>
    <s v="FWD"/>
    <n v="7"/>
    <s v="SUV"/>
    <n v="57.7"/>
    <n v="1857"/>
    <n v="4"/>
    <n v="1"/>
    <x v="0"/>
    <x v="0"/>
    <n v="76491"/>
    <n v="3.4"/>
    <n v="7"/>
    <x v="1"/>
    <n v="3.5"/>
    <s v="High"/>
  </r>
  <r>
    <x v="10"/>
    <s v="iX"/>
    <x v="0"/>
    <s v="Premium"/>
    <n v="86081.93"/>
    <n v="72.3"/>
    <n v="247"/>
    <n v="125.7"/>
    <n v="5.89"/>
    <n v="166"/>
    <n v="612"/>
    <n v="541"/>
    <s v="AWD"/>
    <n v="7"/>
    <s v="Truck"/>
    <n v="60.3"/>
    <n v="2745"/>
    <n v="4"/>
    <n v="2"/>
    <x v="0"/>
    <x v="2"/>
    <n v="51887"/>
    <n v="3.4"/>
    <n v="6"/>
    <x v="1"/>
    <n v="3.42"/>
    <s v="High"/>
  </r>
  <r>
    <x v="7"/>
    <s v="Max"/>
    <x v="5"/>
    <s v="Performance"/>
    <n v="101561.3"/>
    <n v="101.6"/>
    <n v="329"/>
    <n v="185.5"/>
    <n v="2.59"/>
    <n v="200"/>
    <n v="1000"/>
    <n v="906"/>
    <s v="RWD"/>
    <n v="5"/>
    <s v="Truck"/>
    <n v="62.3"/>
    <n v="2633"/>
    <n v="3"/>
    <n v="0"/>
    <x v="4"/>
    <x v="0"/>
    <n v="216998"/>
    <n v="3.7"/>
    <n v="3"/>
    <x v="0"/>
    <n v="3.24"/>
    <s v="High"/>
  </r>
  <r>
    <x v="4"/>
    <s v="Cybertruck"/>
    <x v="2"/>
    <s v="Long Range"/>
    <n v="158925.9"/>
    <n v="82.5"/>
    <n v="291"/>
    <n v="310.8"/>
    <n v="4.0599999999999996"/>
    <n v="186"/>
    <n v="1000"/>
    <n v="962"/>
    <s v="AWD"/>
    <n v="5"/>
    <s v="Truck"/>
    <n v="67"/>
    <n v="2567"/>
    <n v="5"/>
    <n v="3"/>
    <x v="2"/>
    <x v="0"/>
    <n v="138950"/>
    <n v="3.9"/>
    <n v="6"/>
    <x v="1"/>
    <n v="3.53"/>
    <s v="High"/>
  </r>
  <r>
    <x v="7"/>
    <s v="Yuan Plus"/>
    <x v="0"/>
    <s v="Standard"/>
    <n v="21523.03"/>
    <n v="42.4"/>
    <n v="150"/>
    <n v="72.7"/>
    <n v="6.84"/>
    <n v="157"/>
    <n v="207"/>
    <n v="200"/>
    <s v="FWD"/>
    <n v="7"/>
    <s v="Sedan"/>
    <n v="16.899999999999999"/>
    <n v="1621"/>
    <n v="4"/>
    <n v="0"/>
    <x v="4"/>
    <x v="3"/>
    <n v="183596"/>
    <n v="3.2"/>
    <n v="3"/>
    <x v="1"/>
    <n v="3.54"/>
    <s v="High"/>
  </r>
  <r>
    <x v="7"/>
    <s v="Leaf 50X"/>
    <x v="2"/>
    <s v="Premium"/>
    <n v="100360.19"/>
    <n v="50"/>
    <n v="193"/>
    <n v="132.4"/>
    <n v="6.15"/>
    <n v="155"/>
    <n v="1000"/>
    <n v="888"/>
    <s v="RWD"/>
    <n v="5"/>
    <s v="Van"/>
    <n v="61.5"/>
    <n v="1876"/>
    <n v="5"/>
    <n v="0"/>
    <x v="4"/>
    <x v="0"/>
    <n v="137465"/>
    <n v="3.1"/>
    <n v="4"/>
    <x v="1"/>
    <n v="3.86"/>
    <s v="High"/>
  </r>
  <r>
    <x v="2"/>
    <s v="Bolt EUV"/>
    <x v="5"/>
    <s v="Base"/>
    <n v="63696.78"/>
    <n v="78"/>
    <n v="262"/>
    <n v="101.2"/>
    <n v="7.32"/>
    <n v="136"/>
    <n v="835"/>
    <n v="746"/>
    <s v="FWD"/>
    <n v="5"/>
    <s v="Truck"/>
    <n v="62.1"/>
    <n v="2581"/>
    <n v="5"/>
    <n v="0"/>
    <x v="2"/>
    <x v="1"/>
    <n v="8032"/>
    <n v="3.6"/>
    <n v="3"/>
    <x v="2"/>
    <n v="3.36"/>
    <s v="Medium"/>
  </r>
  <r>
    <x v="10"/>
    <s v="i3"/>
    <x v="2"/>
    <s v="Standard"/>
    <n v="84405.92"/>
    <n v="52.5"/>
    <n v="173"/>
    <n v="105.6"/>
    <n v="5.09"/>
    <n v="169"/>
    <n v="612"/>
    <n v="505"/>
    <s v="RWD"/>
    <n v="5"/>
    <s v="Truck"/>
    <n v="57.9"/>
    <n v="2679"/>
    <n v="3"/>
    <n v="1"/>
    <x v="0"/>
    <x v="2"/>
    <n v="42777"/>
    <n v="3.2"/>
    <n v="6"/>
    <x v="1"/>
    <n v="3.3"/>
    <s v="High"/>
  </r>
  <r>
    <x v="11"/>
    <s v="Q6 e-tron"/>
    <x v="2"/>
    <s v="Standard"/>
    <n v="73910.789999999994"/>
    <n v="41.9"/>
    <n v="150"/>
    <n v="94.4"/>
    <n v="7.68"/>
    <n v="142"/>
    <n v="431"/>
    <n v="377"/>
    <s v="FWD"/>
    <n v="5"/>
    <s v="SUV"/>
    <n v="53"/>
    <n v="2121"/>
    <n v="4"/>
    <n v="1"/>
    <x v="0"/>
    <x v="2"/>
    <n v="36319"/>
    <n v="3"/>
    <n v="5"/>
    <x v="2"/>
    <n v="3.58"/>
    <s v="High"/>
  </r>
  <r>
    <x v="8"/>
    <s v="Ioniq 5"/>
    <x v="3"/>
    <s v="Performance"/>
    <n v="57904.84"/>
    <n v="80.5"/>
    <n v="286"/>
    <n v="194.1"/>
    <n v="2.76"/>
    <n v="200"/>
    <n v="704"/>
    <n v="589"/>
    <s v="AWD"/>
    <n v="7"/>
    <s v="Sedan"/>
    <n v="30.1"/>
    <n v="1792"/>
    <n v="4"/>
    <n v="2"/>
    <x v="3"/>
    <x v="1"/>
    <n v="68118"/>
    <n v="3.7"/>
    <n v="4"/>
    <x v="0"/>
    <n v="3.55"/>
    <s v="High"/>
  </r>
  <r>
    <x v="4"/>
    <s v="Cybertruck"/>
    <x v="2"/>
    <s v="Base"/>
    <n v="38394.15"/>
    <n v="47.7"/>
    <n v="189"/>
    <n v="334.7"/>
    <n v="5.25"/>
    <n v="169"/>
    <n v="227"/>
    <n v="200"/>
    <s v="AWD"/>
    <n v="7"/>
    <s v="Truck"/>
    <n v="68.099999999999994"/>
    <n v="2403"/>
    <n v="3"/>
    <n v="3"/>
    <x v="2"/>
    <x v="1"/>
    <n v="246203"/>
    <n v="3.5"/>
    <n v="4"/>
    <x v="1"/>
    <n v="3.96"/>
    <s v="High"/>
  </r>
  <r>
    <x v="2"/>
    <s v="Bolt EUV"/>
    <x v="5"/>
    <s v="Standard"/>
    <n v="71136.28"/>
    <n v="49.6"/>
    <n v="171"/>
    <n v="135.80000000000001"/>
    <n v="7.19"/>
    <n v="142"/>
    <n v="938"/>
    <n v="820"/>
    <s v="FWD"/>
    <n v="5"/>
    <s v="Hatchback"/>
    <n v="39.299999999999997"/>
    <n v="1500"/>
    <n v="5"/>
    <n v="0"/>
    <x v="2"/>
    <x v="2"/>
    <n v="27175"/>
    <n v="3.3"/>
    <n v="4"/>
    <x v="2"/>
    <n v="3.45"/>
    <s v="High"/>
  </r>
  <r>
    <x v="2"/>
    <s v="Blazer EV"/>
    <x v="2"/>
    <s v="Long Range"/>
    <n v="76560.479999999996"/>
    <n v="82.9"/>
    <n v="300"/>
    <n v="143"/>
    <n v="4.1900000000000004"/>
    <n v="184"/>
    <n v="1000"/>
    <n v="882"/>
    <s v="RWD"/>
    <n v="5"/>
    <s v="Van"/>
    <n v="75"/>
    <n v="1598"/>
    <n v="4"/>
    <n v="0"/>
    <x v="2"/>
    <x v="2"/>
    <n v="12139"/>
    <n v="3.5"/>
    <n v="4"/>
    <x v="1"/>
    <n v="3.62"/>
    <s v="Medium"/>
  </r>
  <r>
    <x v="3"/>
    <s v="Niro EV"/>
    <x v="0"/>
    <s v="Premium"/>
    <n v="92594.29"/>
    <n v="74.2"/>
    <n v="257"/>
    <n v="76.8"/>
    <n v="6.08"/>
    <n v="158"/>
    <n v="1000"/>
    <n v="874"/>
    <s v="AWD"/>
    <n v="5"/>
    <s v="Coupe"/>
    <n v="23.4"/>
    <n v="1506"/>
    <n v="5"/>
    <n v="0"/>
    <x v="3"/>
    <x v="2"/>
    <n v="83731"/>
    <n v="3.6"/>
    <n v="4"/>
    <x v="1"/>
    <n v="3.46"/>
    <s v="High"/>
  </r>
  <r>
    <x v="9"/>
    <s v="Mustang Mach-E"/>
    <x v="0"/>
    <s v="Long Range"/>
    <n v="76072"/>
    <n v="105.6"/>
    <n v="363"/>
    <n v="104.6"/>
    <n v="4.21"/>
    <n v="189"/>
    <n v="891"/>
    <n v="791"/>
    <s v="FWD"/>
    <n v="5"/>
    <s v="Hatchback"/>
    <n v="21.8"/>
    <n v="1734"/>
    <n v="5"/>
    <n v="0"/>
    <x v="2"/>
    <x v="2"/>
    <n v="48060"/>
    <n v="4"/>
    <n v="4"/>
    <x v="1"/>
    <n v="3.44"/>
    <s v="High"/>
  </r>
  <r>
    <x v="8"/>
    <s v="Ioniq"/>
    <x v="2"/>
    <s v="Standard"/>
    <n v="44654.99"/>
    <n v="65.400000000000006"/>
    <n v="223"/>
    <n v="143.4"/>
    <n v="7.07"/>
    <n v="146"/>
    <n v="440"/>
    <n v="435"/>
    <s v="RWD"/>
    <n v="5"/>
    <s v="SUV"/>
    <n v="43.9"/>
    <n v="1844"/>
    <n v="4"/>
    <n v="1"/>
    <x v="3"/>
    <x v="1"/>
    <n v="128091"/>
    <n v="3"/>
    <n v="4"/>
    <x v="2"/>
    <n v="3.41"/>
    <s v="High"/>
  </r>
  <r>
    <x v="8"/>
    <s v="Ioniq 6"/>
    <x v="3"/>
    <s v="Performance"/>
    <n v="45837.99"/>
    <n v="84.4"/>
    <n v="306"/>
    <n v="182.4"/>
    <n v="3.82"/>
    <n v="192"/>
    <n v="416"/>
    <n v="397"/>
    <s v="RWD"/>
    <n v="5"/>
    <s v="Sedan"/>
    <n v="36.200000000000003"/>
    <n v="1557"/>
    <n v="5"/>
    <n v="0"/>
    <x v="3"/>
    <x v="1"/>
    <n v="96533"/>
    <n v="3.3"/>
    <n v="3"/>
    <x v="0"/>
    <n v="3.63"/>
    <s v="High"/>
  </r>
  <r>
    <x v="0"/>
    <s v="ID.4"/>
    <x v="0"/>
    <s v="Performance"/>
    <n v="80921.960000000006"/>
    <n v="108.9"/>
    <n v="399"/>
    <n v="199.3"/>
    <n v="3.77"/>
    <n v="198"/>
    <n v="878"/>
    <n v="828"/>
    <s v="RWD"/>
    <n v="5"/>
    <s v="Hatchback"/>
    <n v="29.1"/>
    <n v="1500"/>
    <n v="3"/>
    <n v="1"/>
    <x v="0"/>
    <x v="2"/>
    <n v="234095"/>
    <n v="3.9"/>
    <n v="5"/>
    <x v="0"/>
    <n v="3.66"/>
    <s v="High"/>
  </r>
  <r>
    <x v="4"/>
    <s v="Model X"/>
    <x v="0"/>
    <s v="Performance"/>
    <n v="184745.86"/>
    <n v="106.3"/>
    <n v="348"/>
    <n v="325.60000000000002"/>
    <n v="3.73"/>
    <n v="198"/>
    <n v="1000"/>
    <n v="915"/>
    <s v="RWD"/>
    <n v="5"/>
    <s v="Coupe"/>
    <n v="31.5"/>
    <n v="1782"/>
    <n v="3"/>
    <n v="3"/>
    <x v="2"/>
    <x v="0"/>
    <n v="148529"/>
    <n v="4.3"/>
    <n v="5"/>
    <x v="0"/>
    <n v="3.27"/>
    <s v="High"/>
  </r>
  <r>
    <x v="4"/>
    <s v="Cybertruck"/>
    <x v="2"/>
    <s v="Performance"/>
    <n v="177944.09"/>
    <n v="93"/>
    <n v="295"/>
    <n v="334.1"/>
    <n v="3.79"/>
    <n v="193"/>
    <n v="1000"/>
    <n v="868"/>
    <s v="RWD"/>
    <n v="5"/>
    <s v="Truck"/>
    <n v="59.7"/>
    <n v="2270"/>
    <n v="3"/>
    <n v="3"/>
    <x v="2"/>
    <x v="0"/>
    <n v="234160"/>
    <n v="3.9"/>
    <n v="6"/>
    <x v="0"/>
    <n v="3.17"/>
    <s v="High"/>
  </r>
  <r>
    <x v="4"/>
    <s v="Cybertruck"/>
    <x v="2"/>
    <s v="Base"/>
    <n v="59967.87"/>
    <n v="70"/>
    <n v="238"/>
    <n v="220.7"/>
    <n v="5.24"/>
    <n v="159"/>
    <n v="393"/>
    <n v="348"/>
    <s v="AWD"/>
    <n v="7"/>
    <s v="Truck"/>
    <n v="63.9"/>
    <n v="2448"/>
    <n v="4"/>
    <n v="2"/>
    <x v="2"/>
    <x v="1"/>
    <n v="228933"/>
    <n v="3.4"/>
    <n v="5"/>
    <x v="1"/>
    <n v="3.4"/>
    <s v="High"/>
  </r>
  <r>
    <x v="10"/>
    <s v="iX"/>
    <x v="2"/>
    <s v="Performance"/>
    <n v="84125.95"/>
    <n v="98.9"/>
    <n v="363"/>
    <n v="225.3"/>
    <n v="4.25"/>
    <n v="192"/>
    <n v="658"/>
    <n v="592"/>
    <s v="RWD"/>
    <n v="5"/>
    <s v="Hatchback"/>
    <n v="34.200000000000003"/>
    <n v="1588"/>
    <n v="5"/>
    <n v="1"/>
    <x v="0"/>
    <x v="2"/>
    <n v="33561"/>
    <n v="3.5"/>
    <n v="7"/>
    <x v="1"/>
    <n v="3.67"/>
    <s v="High"/>
  </r>
  <r>
    <x v="7"/>
    <s v="Qin"/>
    <x v="1"/>
    <s v="Standard"/>
    <n v="37515.42"/>
    <n v="52.5"/>
    <n v="194"/>
    <n v="133.19999999999999"/>
    <n v="7.93"/>
    <n v="137"/>
    <n v="360"/>
    <n v="323"/>
    <s v="AWD"/>
    <n v="5"/>
    <s v="Truck"/>
    <n v="51.2"/>
    <n v="2894"/>
    <n v="4"/>
    <n v="0"/>
    <x v="4"/>
    <x v="1"/>
    <n v="192045"/>
    <n v="3.3"/>
    <n v="5"/>
    <x v="2"/>
    <n v="3.7"/>
    <s v="High"/>
  </r>
  <r>
    <x v="8"/>
    <s v="Kona Electric"/>
    <x v="1"/>
    <s v="Long Range"/>
    <n v="84513.62"/>
    <n v="109.9"/>
    <n v="400"/>
    <n v="83.7"/>
    <n v="5.88"/>
    <n v="165"/>
    <n v="1000"/>
    <n v="907"/>
    <s v="RWD"/>
    <n v="7"/>
    <s v="Coupe"/>
    <n v="32.6"/>
    <n v="1784"/>
    <n v="4"/>
    <n v="1"/>
    <x v="3"/>
    <x v="2"/>
    <n v="95418"/>
    <n v="3.7"/>
    <n v="4"/>
    <x v="1"/>
    <n v="3.64"/>
    <s v="High"/>
  </r>
  <r>
    <x v="11"/>
    <s v="e-tron"/>
    <x v="3"/>
    <s v="Premium"/>
    <n v="80343.06"/>
    <n v="66.3"/>
    <n v="231"/>
    <n v="56.2"/>
    <n v="6.02"/>
    <n v="161"/>
    <n v="459"/>
    <n v="414"/>
    <s v="RWD"/>
    <n v="7"/>
    <s v="Van"/>
    <n v="67.099999999999994"/>
    <n v="1500"/>
    <n v="5"/>
    <n v="1"/>
    <x v="0"/>
    <x v="2"/>
    <n v="43236"/>
    <n v="3.4"/>
    <n v="7"/>
    <x v="1"/>
    <n v="3.48"/>
    <s v="High"/>
  </r>
  <r>
    <x v="7"/>
    <s v="Leaf 50X"/>
    <x v="3"/>
    <s v="Base"/>
    <n v="75747.87"/>
    <n v="69.2"/>
    <n v="279"/>
    <n v="108.2"/>
    <n v="6.2"/>
    <n v="154"/>
    <n v="815"/>
    <n v="722"/>
    <s v="FWD"/>
    <n v="5"/>
    <s v="Sedan"/>
    <n v="30.5"/>
    <n v="1500"/>
    <n v="3"/>
    <n v="0"/>
    <x v="4"/>
    <x v="2"/>
    <n v="114789"/>
    <n v="3.7"/>
    <n v="3"/>
    <x v="1"/>
    <n v="4.03"/>
    <s v="High"/>
  </r>
  <r>
    <x v="0"/>
    <s v="ID.3"/>
    <x v="2"/>
    <s v="Performance"/>
    <n v="50097.49"/>
    <n v="98.3"/>
    <n v="341"/>
    <n v="179.6"/>
    <n v="2.79"/>
    <n v="200"/>
    <n v="436"/>
    <n v="358"/>
    <s v="FWD"/>
    <n v="5"/>
    <s v="Van"/>
    <n v="75.099999999999994"/>
    <n v="1780"/>
    <n v="3"/>
    <n v="0"/>
    <x v="0"/>
    <x v="1"/>
    <n v="263009"/>
    <n v="3.8"/>
    <n v="5"/>
    <x v="0"/>
    <n v="3.47"/>
    <s v="High"/>
  </r>
  <r>
    <x v="2"/>
    <s v="Bolt EUV"/>
    <x v="2"/>
    <s v="Premium"/>
    <n v="43668.28"/>
    <n v="79.400000000000006"/>
    <n v="284"/>
    <n v="108.1"/>
    <n v="7.81"/>
    <n v="120"/>
    <n v="453"/>
    <n v="469"/>
    <s v="RWD"/>
    <n v="7"/>
    <s v="Truck"/>
    <n v="60.3"/>
    <n v="2572"/>
    <n v="4"/>
    <n v="1"/>
    <x v="2"/>
    <x v="1"/>
    <n v="1211"/>
    <n v="3.3"/>
    <n v="3"/>
    <x v="2"/>
    <n v="3.58"/>
    <s v="Low"/>
  </r>
  <r>
    <x v="7"/>
    <s v="Qin"/>
    <x v="3"/>
    <s v="Long Range"/>
    <n v="61700.639999999999"/>
    <n v="101.3"/>
    <n v="351"/>
    <n v="69.900000000000006"/>
    <n v="4.53"/>
    <n v="175"/>
    <n v="649"/>
    <n v="584"/>
    <s v="AWD"/>
    <n v="7"/>
    <s v="SUV"/>
    <n v="62.5"/>
    <n v="1726"/>
    <n v="5"/>
    <n v="1"/>
    <x v="4"/>
    <x v="1"/>
    <n v="190763"/>
    <n v="4"/>
    <n v="3"/>
    <x v="1"/>
    <n v="3.46"/>
    <s v="High"/>
  </r>
  <r>
    <x v="4"/>
    <s v="Model 3"/>
    <x v="3"/>
    <s v="Premium"/>
    <n v="152706.13"/>
    <n v="77.099999999999994"/>
    <n v="260"/>
    <n v="325.60000000000002"/>
    <n v="6.63"/>
    <n v="155"/>
    <n v="1000"/>
    <n v="857"/>
    <s v="AWD"/>
    <n v="5"/>
    <s v="SUV"/>
    <n v="42.1"/>
    <n v="1903"/>
    <n v="4"/>
    <n v="2"/>
    <x v="2"/>
    <x v="0"/>
    <n v="172494"/>
    <n v="3.8"/>
    <n v="5"/>
    <x v="1"/>
    <n v="3.37"/>
    <s v="High"/>
  </r>
  <r>
    <x v="7"/>
    <s v="Max"/>
    <x v="0"/>
    <s v="Performance"/>
    <n v="26461.18"/>
    <n v="71.3"/>
    <n v="265"/>
    <n v="249.5"/>
    <n v="2.9"/>
    <n v="200"/>
    <n v="236"/>
    <n v="202"/>
    <s v="RWD"/>
    <n v="7"/>
    <s v="SUV"/>
    <n v="41.5"/>
    <n v="2379"/>
    <n v="3"/>
    <n v="2"/>
    <x v="4"/>
    <x v="3"/>
    <n v="226324"/>
    <n v="3.6"/>
    <n v="3"/>
    <x v="0"/>
    <n v="3.72"/>
    <s v="High"/>
  </r>
  <r>
    <x v="4"/>
    <s v="Model 3"/>
    <x v="5"/>
    <s v="Base"/>
    <n v="36489.360000000001"/>
    <n v="45.5"/>
    <n v="150"/>
    <n v="253.7"/>
    <n v="7.97"/>
    <n v="131"/>
    <n v="247"/>
    <n v="226"/>
    <s v="AWD"/>
    <n v="5"/>
    <s v="Van"/>
    <n v="65.7"/>
    <n v="1500"/>
    <n v="3"/>
    <n v="2"/>
    <x v="2"/>
    <x v="1"/>
    <n v="214895"/>
    <n v="3.6"/>
    <n v="5"/>
    <x v="2"/>
    <n v="3.3"/>
    <s v="High"/>
  </r>
  <r>
    <x v="13"/>
    <s v="R3"/>
    <x v="4"/>
    <s v="Base"/>
    <n v="60978.95"/>
    <n v="84.5"/>
    <n v="304"/>
    <n v="61.5"/>
    <n v="6.47"/>
    <n v="153"/>
    <n v="150"/>
    <n v="200"/>
    <s v="FWD"/>
    <n v="5"/>
    <s v="Hatchback"/>
    <n v="16.8"/>
    <n v="1500"/>
    <n v="5"/>
    <n v="2"/>
    <x v="2"/>
    <x v="1"/>
    <n v="7599"/>
    <n v="3.4"/>
    <n v="6"/>
    <x v="1"/>
    <n v="3.6"/>
    <s v="Medium"/>
  </r>
  <r>
    <x v="9"/>
    <s v="F-150 Lightning"/>
    <x v="3"/>
    <s v="Base"/>
    <n v="57536.04"/>
    <n v="73.3"/>
    <n v="254"/>
    <n v="69.5"/>
    <n v="7.43"/>
    <n v="139"/>
    <n v="619"/>
    <n v="529"/>
    <s v="FWD"/>
    <n v="4"/>
    <s v="Truck"/>
    <n v="74.099999999999994"/>
    <n v="2341"/>
    <n v="4"/>
    <n v="1"/>
    <x v="2"/>
    <x v="1"/>
    <n v="44164"/>
    <n v="3.5"/>
    <n v="4"/>
    <x v="2"/>
    <n v="3.47"/>
    <s v="High"/>
  </r>
  <r>
    <x v="10"/>
    <s v="i3"/>
    <x v="3"/>
    <s v="Performance"/>
    <n v="162822.68"/>
    <n v="70.599999999999994"/>
    <n v="255"/>
    <n v="193.4"/>
    <n v="2.76"/>
    <n v="200"/>
    <n v="1000"/>
    <n v="867"/>
    <s v="AWD"/>
    <n v="7"/>
    <s v="Truck"/>
    <n v="62.6"/>
    <n v="2729"/>
    <n v="5"/>
    <n v="1"/>
    <x v="0"/>
    <x v="0"/>
    <n v="48304"/>
    <n v="3.2"/>
    <n v="7"/>
    <x v="0"/>
    <n v="3.61"/>
    <s v="High"/>
  </r>
  <r>
    <x v="5"/>
    <s v="EQG"/>
    <x v="0"/>
    <s v="Long Range"/>
    <n v="163924.89000000001"/>
    <n v="83.9"/>
    <n v="285"/>
    <n v="119.9"/>
    <n v="4.66"/>
    <n v="180"/>
    <n v="1000"/>
    <n v="946"/>
    <s v="AWD"/>
    <n v="5"/>
    <s v="Coupe"/>
    <n v="27.2"/>
    <n v="1540"/>
    <n v="4"/>
    <n v="1"/>
    <x v="0"/>
    <x v="0"/>
    <n v="50822"/>
    <n v="3.8"/>
    <n v="6"/>
    <x v="1"/>
    <n v="3.4"/>
    <s v="High"/>
  </r>
  <r>
    <x v="9"/>
    <s v="F-150 Lightning"/>
    <x v="2"/>
    <s v="Long Range"/>
    <n v="54997.37"/>
    <n v="100.7"/>
    <n v="353"/>
    <n v="144.1"/>
    <n v="4.3499999999999996"/>
    <n v="183"/>
    <n v="523"/>
    <n v="469"/>
    <s v="FWD"/>
    <n v="2"/>
    <s v="Truck"/>
    <n v="60.8"/>
    <n v="2427"/>
    <n v="5"/>
    <n v="0"/>
    <x v="2"/>
    <x v="1"/>
    <n v="49671"/>
    <n v="3.7"/>
    <n v="3"/>
    <x v="1"/>
    <n v="3.51"/>
    <s v="High"/>
  </r>
  <r>
    <x v="4"/>
    <s v="Model Y"/>
    <x v="5"/>
    <s v="Standard"/>
    <n v="96644.91"/>
    <n v="76.400000000000006"/>
    <n v="244"/>
    <n v="238.4"/>
    <n v="5.98"/>
    <n v="164"/>
    <n v="684"/>
    <n v="604"/>
    <s v="RWD"/>
    <n v="5"/>
    <s v="Sedan"/>
    <n v="28.9"/>
    <n v="1500"/>
    <n v="5"/>
    <n v="2"/>
    <x v="2"/>
    <x v="2"/>
    <n v="408778"/>
    <n v="4"/>
    <n v="4"/>
    <x v="1"/>
    <n v="3.19"/>
    <s v="High"/>
  </r>
  <r>
    <x v="11"/>
    <s v="e-tron"/>
    <x v="3"/>
    <s v="Standard"/>
    <n v="72972.25"/>
    <n v="58"/>
    <n v="223"/>
    <n v="129.9"/>
    <n v="7.8"/>
    <n v="139"/>
    <n v="409"/>
    <n v="398"/>
    <s v="FWD"/>
    <n v="7"/>
    <s v="SUV"/>
    <n v="63.6"/>
    <n v="1928"/>
    <n v="5"/>
    <n v="1"/>
    <x v="0"/>
    <x v="2"/>
    <n v="23427"/>
    <n v="3.4"/>
    <n v="5"/>
    <x v="2"/>
    <n v="3.84"/>
    <s v="High"/>
  </r>
  <r>
    <x v="3"/>
    <s v="Niro EV"/>
    <x v="0"/>
    <s v="Premium"/>
    <n v="38796.18"/>
    <n v="49.4"/>
    <n v="150"/>
    <n v="141.19999999999999"/>
    <n v="5.12"/>
    <n v="168"/>
    <n v="376"/>
    <n v="343"/>
    <s v="RWD"/>
    <n v="7"/>
    <s v="Coupe"/>
    <n v="38.4"/>
    <n v="1751"/>
    <n v="5"/>
    <n v="1"/>
    <x v="3"/>
    <x v="1"/>
    <n v="146563"/>
    <n v="3.1"/>
    <n v="4"/>
    <x v="1"/>
    <n v="3.04"/>
    <s v="High"/>
  </r>
  <r>
    <x v="9"/>
    <s v="Mustang Mach-E"/>
    <x v="0"/>
    <s v="Base"/>
    <n v="59885.41"/>
    <n v="65.900000000000006"/>
    <n v="231"/>
    <n v="81.2"/>
    <n v="6.28"/>
    <n v="148"/>
    <n v="667"/>
    <n v="623"/>
    <s v="AWD"/>
    <n v="5"/>
    <s v="Truck"/>
    <n v="65.7"/>
    <n v="2597"/>
    <n v="4"/>
    <n v="1"/>
    <x v="2"/>
    <x v="1"/>
    <n v="28589"/>
    <n v="3.5"/>
    <n v="4"/>
    <x v="1"/>
    <n v="3.51"/>
    <s v="High"/>
  </r>
  <r>
    <x v="11"/>
    <s v="Q6 e-tron"/>
    <x v="2"/>
    <s v="Long Range"/>
    <n v="130606.12"/>
    <n v="106.6"/>
    <n v="385"/>
    <n v="58.2"/>
    <n v="5.2"/>
    <n v="169"/>
    <n v="1000"/>
    <n v="873"/>
    <s v="RWD"/>
    <n v="7"/>
    <s v="SUV"/>
    <n v="61.8"/>
    <n v="2080"/>
    <n v="5"/>
    <n v="2"/>
    <x v="0"/>
    <x v="0"/>
    <n v="39897"/>
    <n v="3.7"/>
    <n v="7"/>
    <x v="1"/>
    <n v="3.61"/>
    <s v="High"/>
  </r>
  <r>
    <x v="7"/>
    <s v="Atto 3"/>
    <x v="2"/>
    <s v="Long Range"/>
    <n v="47823.41"/>
    <n v="77.2"/>
    <n v="258"/>
    <n v="118.3"/>
    <n v="4.47"/>
    <n v="182"/>
    <n v="535"/>
    <n v="460"/>
    <s v="RWD"/>
    <n v="7"/>
    <s v="Coupe"/>
    <n v="33.5"/>
    <n v="1500"/>
    <n v="5"/>
    <n v="0"/>
    <x v="4"/>
    <x v="1"/>
    <n v="108045"/>
    <n v="3.6"/>
    <n v="4"/>
    <x v="1"/>
    <n v="3.34"/>
    <s v="High"/>
  </r>
  <r>
    <x v="4"/>
    <s v="Model S"/>
    <x v="0"/>
    <s v="Performance"/>
    <n v="65004.86"/>
    <n v="111"/>
    <n v="405"/>
    <n v="260.3"/>
    <n v="3.66"/>
    <n v="200"/>
    <n v="448"/>
    <n v="345"/>
    <s v="RWD"/>
    <n v="7"/>
    <s v="Truck"/>
    <n v="71.3"/>
    <n v="2744"/>
    <n v="4"/>
    <n v="3"/>
    <x v="2"/>
    <x v="2"/>
    <n v="208805"/>
    <n v="4.3"/>
    <n v="4"/>
    <x v="0"/>
    <n v="3.65"/>
    <s v="High"/>
  </r>
  <r>
    <x v="7"/>
    <s v="Qin"/>
    <x v="2"/>
    <s v="Standard"/>
    <n v="21712.400000000001"/>
    <n v="83.3"/>
    <n v="307"/>
    <n v="77.099999999999994"/>
    <n v="5.75"/>
    <n v="171"/>
    <n v="190"/>
    <n v="200"/>
    <s v="RWD"/>
    <n v="5"/>
    <s v="Van"/>
    <n v="78.2"/>
    <n v="1628"/>
    <n v="4"/>
    <n v="0"/>
    <x v="4"/>
    <x v="3"/>
    <n v="169389"/>
    <n v="3.4"/>
    <n v="3"/>
    <x v="1"/>
    <n v="3.69"/>
    <s v="High"/>
  </r>
  <r>
    <x v="0"/>
    <s v="ID. Aero"/>
    <x v="2"/>
    <s v="Long Range"/>
    <n v="54335.65"/>
    <n v="77.599999999999994"/>
    <n v="286"/>
    <n v="91.5"/>
    <n v="4.84"/>
    <n v="186"/>
    <n v="485"/>
    <n v="454"/>
    <s v="RWD"/>
    <n v="7"/>
    <s v="Sedan"/>
    <n v="18.399999999999999"/>
    <n v="1630"/>
    <n v="5"/>
    <n v="0"/>
    <x v="0"/>
    <x v="1"/>
    <n v="284565"/>
    <n v="3.7"/>
    <n v="3"/>
    <x v="1"/>
    <n v="3.69"/>
    <s v="High"/>
  </r>
  <r>
    <x v="9"/>
    <s v="Explorer EV"/>
    <x v="2"/>
    <s v="Base"/>
    <n v="53737.95"/>
    <n v="61.5"/>
    <n v="226"/>
    <n v="78.099999999999994"/>
    <n v="7.47"/>
    <n v="152"/>
    <n v="555"/>
    <n v="526"/>
    <s v="RWD"/>
    <n v="7"/>
    <s v="Sedan"/>
    <n v="32.6"/>
    <n v="1500"/>
    <n v="3"/>
    <n v="1"/>
    <x v="2"/>
    <x v="1"/>
    <n v="62660"/>
    <n v="3.3"/>
    <n v="3"/>
    <x v="2"/>
    <n v="3.67"/>
    <s v="High"/>
  </r>
  <r>
    <x v="5"/>
    <s v="GLE EV"/>
    <x v="5"/>
    <s v="Standard"/>
    <n v="68994.81"/>
    <n v="48.5"/>
    <n v="168"/>
    <n v="130.19999999999999"/>
    <n v="6.02"/>
    <n v="157"/>
    <n v="287"/>
    <n v="240"/>
    <s v="FWD"/>
    <n v="7"/>
    <s v="Van"/>
    <n v="60.2"/>
    <n v="1568"/>
    <n v="5"/>
    <n v="1"/>
    <x v="0"/>
    <x v="2"/>
    <n v="79213"/>
    <n v="3.8"/>
    <n v="7"/>
    <x v="1"/>
    <n v="3.46"/>
    <s v="High"/>
  </r>
  <r>
    <x v="4"/>
    <s v="Model Y"/>
    <x v="2"/>
    <s v="Base"/>
    <n v="105607.38"/>
    <n v="44.4"/>
    <n v="150"/>
    <n v="201"/>
    <n v="6.21"/>
    <n v="163"/>
    <n v="784"/>
    <n v="689"/>
    <s v="FWD"/>
    <n v="7"/>
    <s v="Van"/>
    <n v="79.8"/>
    <n v="1500"/>
    <n v="4"/>
    <n v="2"/>
    <x v="2"/>
    <x v="0"/>
    <n v="422392"/>
    <n v="3.5"/>
    <n v="5"/>
    <x v="1"/>
    <n v="3.38"/>
    <s v="High"/>
  </r>
  <r>
    <x v="8"/>
    <s v="i30"/>
    <x v="3"/>
    <s v="Performance"/>
    <n v="97964.98"/>
    <n v="106.9"/>
    <n v="392"/>
    <n v="183.9"/>
    <n v="3.92"/>
    <n v="192"/>
    <n v="1000"/>
    <n v="914"/>
    <s v="RWD"/>
    <n v="7"/>
    <s v="Truck"/>
    <n v="59.8"/>
    <n v="2842"/>
    <n v="4"/>
    <n v="0"/>
    <x v="3"/>
    <x v="2"/>
    <n v="98285"/>
    <n v="3.8"/>
    <n v="3"/>
    <x v="0"/>
    <n v="3.67"/>
    <s v="High"/>
  </r>
  <r>
    <x v="0"/>
    <s v="ID. Buzz"/>
    <x v="3"/>
    <s v="Standard"/>
    <n v="60229.21"/>
    <n v="40.6"/>
    <n v="150"/>
    <n v="137.80000000000001"/>
    <n v="7.86"/>
    <n v="145"/>
    <n v="580"/>
    <n v="569"/>
    <s v="FWD"/>
    <n v="7"/>
    <s v="SUV"/>
    <n v="45.9"/>
    <n v="2260"/>
    <n v="5"/>
    <n v="1"/>
    <x v="0"/>
    <x v="1"/>
    <n v="215577"/>
    <n v="3.2"/>
    <n v="4"/>
    <x v="2"/>
    <n v="3.69"/>
    <s v="High"/>
  </r>
  <r>
    <x v="7"/>
    <s v="Leaf 50X"/>
    <x v="3"/>
    <s v="Premium"/>
    <n v="41881.699999999997"/>
    <n v="82.8"/>
    <n v="280"/>
    <n v="147"/>
    <n v="7.2"/>
    <n v="138"/>
    <n v="459"/>
    <n v="427"/>
    <s v="AWD"/>
    <n v="7"/>
    <s v="SUV"/>
    <n v="61.7"/>
    <n v="2237"/>
    <n v="4"/>
    <n v="1"/>
    <x v="4"/>
    <x v="1"/>
    <n v="128802"/>
    <n v="3.5"/>
    <n v="3"/>
    <x v="2"/>
    <n v="3.38"/>
    <s v="High"/>
  </r>
  <r>
    <x v="4"/>
    <s v="Model 3"/>
    <x v="2"/>
    <s v="Long Range"/>
    <n v="138760.95999999999"/>
    <n v="99.4"/>
    <n v="376"/>
    <n v="338.9"/>
    <n v="5.24"/>
    <n v="175"/>
    <n v="1000"/>
    <n v="928"/>
    <s v="FWD"/>
    <n v="5"/>
    <s v="Sedan"/>
    <n v="19.899999999999999"/>
    <n v="1500"/>
    <n v="5"/>
    <n v="2"/>
    <x v="2"/>
    <x v="0"/>
    <n v="204411"/>
    <n v="4"/>
    <n v="5"/>
    <x v="1"/>
    <n v="3.78"/>
    <s v="High"/>
  </r>
  <r>
    <x v="7"/>
    <s v="Atto 3"/>
    <x v="3"/>
    <s v="Long Range"/>
    <n v="90653.56"/>
    <n v="81.3"/>
    <n v="304"/>
    <n v="52.5"/>
    <n v="5.38"/>
    <n v="164"/>
    <n v="1000"/>
    <n v="895"/>
    <s v="FWD"/>
    <n v="5"/>
    <s v="Van"/>
    <n v="64"/>
    <n v="1500"/>
    <n v="5"/>
    <n v="0"/>
    <x v="4"/>
    <x v="2"/>
    <n v="227338"/>
    <n v="3.6"/>
    <n v="4"/>
    <x v="1"/>
    <n v="3.74"/>
    <s v="High"/>
  </r>
  <r>
    <x v="12"/>
    <s v="EL8"/>
    <x v="1"/>
    <s v="Base"/>
    <n v="53544.18"/>
    <n v="45"/>
    <n v="186"/>
    <n v="121.5"/>
    <n v="5.72"/>
    <n v="172"/>
    <n v="279"/>
    <n v="237"/>
    <s v="AWD"/>
    <n v="7"/>
    <s v="SUV"/>
    <n v="40.799999999999997"/>
    <n v="1956"/>
    <n v="4"/>
    <n v="1"/>
    <x v="4"/>
    <x v="1"/>
    <n v="10495"/>
    <n v="3.4"/>
    <n v="5"/>
    <x v="1"/>
    <n v="4.13"/>
    <s v="Medium"/>
  </r>
  <r>
    <x v="7"/>
    <s v="Dolphin"/>
    <x v="3"/>
    <s v="Long Range"/>
    <n v="27390.16"/>
    <n v="86"/>
    <n v="278"/>
    <n v="137.30000000000001"/>
    <n v="4.17"/>
    <n v="187"/>
    <n v="321"/>
    <n v="285"/>
    <s v="AWD"/>
    <n v="7"/>
    <s v="Coupe"/>
    <n v="19.8"/>
    <n v="1616"/>
    <n v="4"/>
    <n v="0"/>
    <x v="4"/>
    <x v="3"/>
    <n v="146828"/>
    <n v="3.7"/>
    <n v="4"/>
    <x v="1"/>
    <n v="3.23"/>
    <s v="High"/>
  </r>
  <r>
    <x v="8"/>
    <s v="Ioniq 5"/>
    <x v="3"/>
    <s v="Long Range"/>
    <n v="94028.85"/>
    <n v="102.7"/>
    <n v="334"/>
    <n v="104.5"/>
    <n v="4.08"/>
    <n v="194"/>
    <n v="1000"/>
    <n v="949"/>
    <s v="AWD"/>
    <n v="5"/>
    <s v="SUV"/>
    <n v="55.4"/>
    <n v="2407"/>
    <n v="4"/>
    <n v="1"/>
    <x v="3"/>
    <x v="2"/>
    <n v="71912"/>
    <n v="3.6"/>
    <n v="3"/>
    <x v="1"/>
    <n v="3.25"/>
    <s v="High"/>
  </r>
  <r>
    <x v="2"/>
    <s v="Bolt EV"/>
    <x v="3"/>
    <s v="Premium"/>
    <n v="59620.99"/>
    <n v="44.8"/>
    <n v="150"/>
    <n v="111.3"/>
    <n v="7.42"/>
    <n v="142"/>
    <n v="825"/>
    <n v="763"/>
    <s v="RWD"/>
    <n v="7"/>
    <s v="Coupe"/>
    <n v="20.100000000000001"/>
    <n v="1744"/>
    <n v="5"/>
    <n v="0"/>
    <x v="2"/>
    <x v="1"/>
    <n v="21979"/>
    <n v="3.3"/>
    <n v="4"/>
    <x v="2"/>
    <n v="3.35"/>
    <s v="High"/>
  </r>
  <r>
    <x v="0"/>
    <s v="ID. Buzz"/>
    <x v="3"/>
    <s v="Performance"/>
    <n v="78713.929999999993"/>
    <n v="85.5"/>
    <n v="300"/>
    <n v="199.7"/>
    <n v="2.86"/>
    <n v="200"/>
    <n v="812"/>
    <n v="761"/>
    <s v="AWD"/>
    <n v="5"/>
    <s v="Truck"/>
    <n v="60.2"/>
    <n v="2608"/>
    <n v="4"/>
    <n v="0"/>
    <x v="0"/>
    <x v="2"/>
    <n v="216549"/>
    <n v="3.7"/>
    <n v="4"/>
    <x v="0"/>
    <n v="3.51"/>
    <s v="High"/>
  </r>
  <r>
    <x v="6"/>
    <s v="Ocean"/>
    <x v="1"/>
    <s v="Long Range"/>
    <n v="59484.88"/>
    <n v="82.4"/>
    <n v="287"/>
    <n v="106"/>
    <n v="5.72"/>
    <n v="163"/>
    <n v="389"/>
    <n v="407"/>
    <s v="RWD"/>
    <n v="7"/>
    <s v="Hatchback"/>
    <n v="19.8"/>
    <n v="1611"/>
    <n v="5"/>
    <n v="0"/>
    <x v="2"/>
    <x v="1"/>
    <n v="23860"/>
    <n v="3.4"/>
    <n v="5"/>
    <x v="1"/>
    <n v="3.48"/>
    <s v="High"/>
  </r>
  <r>
    <x v="1"/>
    <s v="bZ4X"/>
    <x v="3"/>
    <s v="Performance"/>
    <n v="62345.64"/>
    <n v="105.4"/>
    <n v="377"/>
    <n v="208.3"/>
    <n v="2.75"/>
    <n v="200"/>
    <n v="708"/>
    <n v="618"/>
    <s v="AWD"/>
    <n v="5"/>
    <s v="Truck"/>
    <n v="68.7"/>
    <n v="2450"/>
    <n v="5"/>
    <n v="0"/>
    <x v="1"/>
    <x v="1"/>
    <n v="15819"/>
    <n v="4.2"/>
    <n v="3"/>
    <x v="0"/>
    <n v="3.58"/>
    <s v="Medium"/>
  </r>
  <r>
    <x v="7"/>
    <s v="Dolphin"/>
    <x v="0"/>
    <s v="Performance"/>
    <n v="33904.31"/>
    <n v="91.8"/>
    <n v="310"/>
    <n v="177.7"/>
    <n v="3.62"/>
    <n v="200"/>
    <n v="356"/>
    <n v="315"/>
    <s v="RWD"/>
    <n v="5"/>
    <s v="Sedan"/>
    <n v="33.1"/>
    <n v="1623"/>
    <n v="4"/>
    <n v="2"/>
    <x v="4"/>
    <x v="3"/>
    <n v="106140"/>
    <n v="3.7"/>
    <n v="3"/>
    <x v="0"/>
    <n v="3.38"/>
    <s v="High"/>
  </r>
  <r>
    <x v="8"/>
    <s v="Kona Electric"/>
    <x v="3"/>
    <s v="Long Range"/>
    <n v="40497.64"/>
    <n v="109"/>
    <n v="417"/>
    <n v="73.7"/>
    <n v="4.97"/>
    <n v="177"/>
    <n v="340"/>
    <n v="302"/>
    <s v="AWD"/>
    <n v="7"/>
    <s v="SUV"/>
    <n v="41.8"/>
    <n v="2284"/>
    <n v="3"/>
    <n v="1"/>
    <x v="3"/>
    <x v="1"/>
    <n v="61921"/>
    <n v="3.9"/>
    <n v="3"/>
    <x v="1"/>
    <n v="3.83"/>
    <s v="High"/>
  </r>
  <r>
    <x v="7"/>
    <s v="Dolphin"/>
    <x v="2"/>
    <s v="Premium"/>
    <n v="89340.39"/>
    <n v="64.599999999999994"/>
    <n v="223"/>
    <n v="111.7"/>
    <n v="7.58"/>
    <n v="132"/>
    <n v="1000"/>
    <n v="861"/>
    <s v="AWD"/>
    <n v="7"/>
    <s v="Van"/>
    <n v="67.3"/>
    <n v="1633"/>
    <n v="5"/>
    <n v="2"/>
    <x v="4"/>
    <x v="2"/>
    <n v="229760"/>
    <n v="3.4"/>
    <n v="4"/>
    <x v="2"/>
    <n v="3.45"/>
    <s v="High"/>
  </r>
  <r>
    <x v="7"/>
    <s v="Seagull"/>
    <x v="0"/>
    <s v="Long Range"/>
    <n v="77902.259999999995"/>
    <n v="85.2"/>
    <n v="288"/>
    <n v="67"/>
    <n v="4.1900000000000004"/>
    <n v="183"/>
    <n v="837"/>
    <n v="747"/>
    <s v="AWD"/>
    <n v="5"/>
    <s v="SUV"/>
    <n v="54.1"/>
    <n v="1861"/>
    <n v="5"/>
    <n v="1"/>
    <x v="4"/>
    <x v="2"/>
    <n v="177211"/>
    <n v="3.4"/>
    <n v="3"/>
    <x v="1"/>
    <n v="3.38"/>
    <s v="High"/>
  </r>
  <r>
    <x v="4"/>
    <s v="Model S"/>
    <x v="3"/>
    <s v="Standard"/>
    <n v="67489.81"/>
    <n v="67.099999999999994"/>
    <n v="239"/>
    <n v="339.9"/>
    <n v="6.73"/>
    <n v="146"/>
    <n v="480"/>
    <n v="402"/>
    <s v="RWD"/>
    <n v="5"/>
    <s v="Coupe"/>
    <n v="28.4"/>
    <n v="1692"/>
    <n v="4"/>
    <n v="2"/>
    <x v="2"/>
    <x v="2"/>
    <n v="226745"/>
    <n v="3.6"/>
    <n v="5"/>
    <x v="1"/>
    <n v="3.56"/>
    <s v="High"/>
  </r>
  <r>
    <x v="3"/>
    <s v="Sportage EV"/>
    <x v="3"/>
    <s v="Performance"/>
    <n v="99993.15"/>
    <n v="93.7"/>
    <n v="336"/>
    <n v="154"/>
    <n v="3.15"/>
    <n v="196"/>
    <n v="1000"/>
    <n v="897"/>
    <s v="RWD"/>
    <n v="5"/>
    <s v="SUV"/>
    <n v="39.6"/>
    <n v="2114"/>
    <n v="4"/>
    <n v="1"/>
    <x v="3"/>
    <x v="2"/>
    <n v="52100"/>
    <n v="3.6"/>
    <n v="3"/>
    <x v="0"/>
    <n v="3.59"/>
    <s v="High"/>
  </r>
  <r>
    <x v="8"/>
    <s v="Ioniq"/>
    <x v="2"/>
    <s v="Base"/>
    <n v="29445.040000000001"/>
    <n v="64.2"/>
    <n v="222"/>
    <n v="133"/>
    <n v="5.4"/>
    <n v="173"/>
    <n v="180"/>
    <n v="200"/>
    <s v="FWD"/>
    <n v="7"/>
    <s v="Hatchback"/>
    <n v="30.7"/>
    <n v="1684"/>
    <n v="5"/>
    <n v="2"/>
    <x v="3"/>
    <x v="3"/>
    <n v="53245"/>
    <n v="3.2"/>
    <n v="3"/>
    <x v="1"/>
    <n v="3.46"/>
    <s v="High"/>
  </r>
  <r>
    <x v="4"/>
    <s v="Cybertruck"/>
    <x v="2"/>
    <s v="Long Range"/>
    <n v="57586.87"/>
    <n v="108.4"/>
    <n v="364"/>
    <n v="235.9"/>
    <n v="5.26"/>
    <n v="163"/>
    <n v="428"/>
    <n v="397"/>
    <s v="RWD"/>
    <n v="5"/>
    <s v="Truck"/>
    <n v="69.599999999999994"/>
    <n v="2629"/>
    <n v="4"/>
    <n v="2"/>
    <x v="2"/>
    <x v="1"/>
    <n v="136381"/>
    <n v="3.8"/>
    <n v="4"/>
    <x v="1"/>
    <n v="3.36"/>
    <s v="High"/>
  </r>
  <r>
    <x v="7"/>
    <s v="Dolphin"/>
    <x v="0"/>
    <s v="Standard"/>
    <n v="50127.13"/>
    <n v="47.6"/>
    <n v="150"/>
    <n v="55.7"/>
    <n v="6.75"/>
    <n v="140"/>
    <n v="584"/>
    <n v="556"/>
    <s v="FWD"/>
    <n v="7"/>
    <s v="Sedan"/>
    <n v="29.6"/>
    <n v="1618"/>
    <n v="4"/>
    <n v="1"/>
    <x v="4"/>
    <x v="1"/>
    <n v="176192"/>
    <n v="3.2"/>
    <n v="4"/>
    <x v="1"/>
    <n v="3.15"/>
    <s v="High"/>
  </r>
  <r>
    <x v="11"/>
    <s v="Q6 e-tron"/>
    <x v="2"/>
    <s v="Standard"/>
    <n v="112837.91"/>
    <n v="61"/>
    <n v="222"/>
    <n v="121.7"/>
    <n v="6.33"/>
    <n v="144"/>
    <n v="864"/>
    <n v="787"/>
    <s v="FWD"/>
    <n v="7"/>
    <s v="Sedan"/>
    <n v="17.100000000000001"/>
    <n v="1591"/>
    <n v="3"/>
    <n v="1"/>
    <x v="0"/>
    <x v="0"/>
    <n v="45029"/>
    <n v="3.6"/>
    <n v="8"/>
    <x v="1"/>
    <n v="3.64"/>
    <s v="High"/>
  </r>
  <r>
    <x v="7"/>
    <s v="Max"/>
    <x v="0"/>
    <s v="Premium"/>
    <n v="29372.26"/>
    <n v="77"/>
    <n v="257"/>
    <n v="100.3"/>
    <n v="7.52"/>
    <n v="129"/>
    <n v="322"/>
    <n v="336"/>
    <s v="AWD"/>
    <n v="5"/>
    <s v="Hatchback"/>
    <n v="34.5"/>
    <n v="1500"/>
    <n v="4"/>
    <n v="0"/>
    <x v="4"/>
    <x v="3"/>
    <n v="240988"/>
    <n v="3.5"/>
    <n v="4"/>
    <x v="2"/>
    <n v="3.34"/>
    <s v="High"/>
  </r>
  <r>
    <x v="4"/>
    <s v="Model Y"/>
    <x v="2"/>
    <s v="Base"/>
    <n v="40219.61"/>
    <n v="80.099999999999994"/>
    <n v="308"/>
    <n v="347.6"/>
    <n v="5.15"/>
    <n v="171"/>
    <n v="274"/>
    <n v="232"/>
    <s v="AWD"/>
    <n v="5"/>
    <s v="Coupe"/>
    <n v="17"/>
    <n v="1547"/>
    <n v="5"/>
    <n v="2"/>
    <x v="2"/>
    <x v="1"/>
    <n v="429025"/>
    <n v="3.7"/>
    <n v="5"/>
    <x v="1"/>
    <n v="3.85"/>
    <s v="High"/>
  </r>
  <r>
    <x v="8"/>
    <s v="i30"/>
    <x v="3"/>
    <s v="Base"/>
    <n v="51159.74"/>
    <n v="75.599999999999994"/>
    <n v="278"/>
    <n v="128.5"/>
    <n v="6.46"/>
    <n v="153"/>
    <n v="573"/>
    <n v="520"/>
    <s v="AWD"/>
    <n v="5"/>
    <s v="Van"/>
    <n v="79"/>
    <n v="1683"/>
    <n v="5"/>
    <n v="1"/>
    <x v="3"/>
    <x v="1"/>
    <n v="89226"/>
    <n v="3.7"/>
    <n v="4"/>
    <x v="1"/>
    <n v="3.68"/>
    <s v="High"/>
  </r>
  <r>
    <x v="14"/>
    <s v="Taycan"/>
    <x v="2"/>
    <s v="Premium"/>
    <n v="142936.98000000001"/>
    <n v="54.2"/>
    <n v="186"/>
    <n v="345"/>
    <n v="7.83"/>
    <n v="130"/>
    <n v="677"/>
    <n v="554"/>
    <s v="RWD"/>
    <n v="5"/>
    <s v="SUV"/>
    <n v="67.8"/>
    <n v="2128"/>
    <n v="5"/>
    <n v="2"/>
    <x v="0"/>
    <x v="0"/>
    <n v="23751"/>
    <n v="3.9"/>
    <n v="5"/>
    <x v="2"/>
    <n v="3.43"/>
    <s v="High"/>
  </r>
  <r>
    <x v="7"/>
    <s v="Qin"/>
    <x v="2"/>
    <s v="Performance"/>
    <n v="99381.36"/>
    <n v="80.7"/>
    <n v="289"/>
    <n v="159.69999999999999"/>
    <n v="2.61"/>
    <n v="200"/>
    <n v="1000"/>
    <n v="891"/>
    <s v="AWD"/>
    <n v="5"/>
    <s v="Truck"/>
    <n v="68.3"/>
    <n v="2757"/>
    <n v="4"/>
    <n v="0"/>
    <x v="4"/>
    <x v="2"/>
    <n v="152043"/>
    <n v="3.5"/>
    <n v="4"/>
    <x v="0"/>
    <n v="3.58"/>
    <s v="High"/>
  </r>
  <r>
    <x v="10"/>
    <s v="i3"/>
    <x v="2"/>
    <s v="Premium"/>
    <n v="109123.19"/>
    <n v="75.8"/>
    <n v="284"/>
    <n v="68.8"/>
    <n v="7.25"/>
    <n v="136"/>
    <n v="922"/>
    <n v="817"/>
    <s v="AWD"/>
    <n v="5"/>
    <s v="Van"/>
    <n v="68.900000000000006"/>
    <n v="1611"/>
    <n v="5"/>
    <n v="1"/>
    <x v="0"/>
    <x v="0"/>
    <n v="54152"/>
    <n v="3.6"/>
    <n v="8"/>
    <x v="2"/>
    <n v="3.75"/>
    <s v="High"/>
  </r>
  <r>
    <x v="9"/>
    <s v="F-150 Lightning"/>
    <x v="5"/>
    <s v="Standard"/>
    <n v="51712.72"/>
    <n v="44.2"/>
    <n v="150"/>
    <n v="136.69999999999999"/>
    <n v="5.73"/>
    <n v="160"/>
    <n v="475"/>
    <n v="390"/>
    <s v="RWD"/>
    <n v="4"/>
    <s v="Truck"/>
    <n v="59.7"/>
    <n v="2391"/>
    <n v="4"/>
    <n v="0"/>
    <x v="2"/>
    <x v="1"/>
    <n v="26384"/>
    <n v="3.1"/>
    <n v="5"/>
    <x v="1"/>
    <n v="3.39"/>
    <s v="High"/>
  </r>
  <r>
    <x v="7"/>
    <s v="Seagull"/>
    <x v="2"/>
    <s v="Base"/>
    <n v="19470.990000000002"/>
    <n v="82.7"/>
    <n v="291"/>
    <n v="127.9"/>
    <n v="6.57"/>
    <n v="159"/>
    <n v="204"/>
    <n v="201"/>
    <s v="FWD"/>
    <n v="5"/>
    <s v="Truck"/>
    <n v="68.2"/>
    <n v="2552"/>
    <n v="3"/>
    <n v="1"/>
    <x v="4"/>
    <x v="3"/>
    <n v="210937"/>
    <n v="3.5"/>
    <n v="3"/>
    <x v="1"/>
    <n v="3.52"/>
    <s v="High"/>
  </r>
  <r>
    <x v="2"/>
    <s v="Blazer EV"/>
    <x v="3"/>
    <s v="Standard"/>
    <n v="46970.49"/>
    <n v="53.9"/>
    <n v="191"/>
    <n v="61.9"/>
    <n v="5.21"/>
    <n v="174"/>
    <n v="476"/>
    <n v="426"/>
    <s v="AWD"/>
    <n v="7"/>
    <s v="SUV"/>
    <n v="45.1"/>
    <n v="1866"/>
    <n v="4"/>
    <n v="1"/>
    <x v="2"/>
    <x v="1"/>
    <n v="6914"/>
    <n v="3.2"/>
    <n v="4"/>
    <x v="1"/>
    <n v="3.54"/>
    <s v="Medium"/>
  </r>
  <r>
    <x v="0"/>
    <s v="ID. Buzz"/>
    <x v="3"/>
    <s v="Long Range"/>
    <n v="93619.57"/>
    <n v="83.5"/>
    <n v="289"/>
    <n v="76.7"/>
    <n v="5.01"/>
    <n v="172"/>
    <n v="1000"/>
    <n v="912"/>
    <s v="RWD"/>
    <n v="5"/>
    <s v="Sedan"/>
    <n v="19.600000000000001"/>
    <n v="1697"/>
    <n v="5"/>
    <n v="1"/>
    <x v="0"/>
    <x v="2"/>
    <n v="222583"/>
    <n v="3.4"/>
    <n v="3"/>
    <x v="1"/>
    <n v="3.46"/>
    <s v="High"/>
  </r>
  <r>
    <x v="10"/>
    <s v="iX"/>
    <x v="3"/>
    <s v="Long Range"/>
    <n v="124852.49"/>
    <n v="85.3"/>
    <n v="324"/>
    <n v="119.3"/>
    <n v="5.97"/>
    <n v="158"/>
    <n v="1000"/>
    <n v="865"/>
    <s v="FWD"/>
    <n v="7"/>
    <s v="Sedan"/>
    <n v="24.9"/>
    <n v="1872"/>
    <n v="3"/>
    <n v="1"/>
    <x v="0"/>
    <x v="0"/>
    <n v="51096"/>
    <n v="3.4"/>
    <n v="7"/>
    <x v="1"/>
    <n v="3.8"/>
    <s v="High"/>
  </r>
  <r>
    <x v="10"/>
    <s v="i5"/>
    <x v="3"/>
    <s v="Standard"/>
    <n v="97046.62"/>
    <n v="60"/>
    <n v="209"/>
    <n v="79.599999999999994"/>
    <n v="7.79"/>
    <n v="131"/>
    <n v="788"/>
    <n v="683"/>
    <s v="AWD"/>
    <n v="5"/>
    <s v="Hatchback"/>
    <n v="18.3"/>
    <n v="1510"/>
    <n v="5"/>
    <n v="2"/>
    <x v="0"/>
    <x v="2"/>
    <n v="66065"/>
    <n v="3.4"/>
    <n v="5"/>
    <x v="2"/>
    <n v="3.48"/>
    <s v="High"/>
  </r>
  <r>
    <x v="8"/>
    <s v="Ioniq"/>
    <x v="4"/>
    <s v="Premium"/>
    <n v="81529.22"/>
    <n v="52"/>
    <n v="173"/>
    <n v="132.4"/>
    <n v="5.26"/>
    <n v="175"/>
    <n v="1000"/>
    <n v="933"/>
    <s v="AWD"/>
    <n v="5"/>
    <s v="Truck"/>
    <n v="70.7"/>
    <n v="2400"/>
    <n v="4"/>
    <n v="0"/>
    <x v="3"/>
    <x v="2"/>
    <n v="137712"/>
    <n v="3.3"/>
    <n v="4"/>
    <x v="1"/>
    <n v="3.33"/>
    <s v="High"/>
  </r>
  <r>
    <x v="4"/>
    <s v="Model 3"/>
    <x v="0"/>
    <s v="Premium"/>
    <n v="123494.48"/>
    <n v="79.099999999999994"/>
    <n v="283"/>
    <n v="211.3"/>
    <n v="5.34"/>
    <n v="175"/>
    <n v="888"/>
    <n v="781"/>
    <s v="AWD"/>
    <n v="7"/>
    <s v="SUV"/>
    <n v="68.900000000000006"/>
    <n v="2083"/>
    <n v="5"/>
    <n v="3"/>
    <x v="2"/>
    <x v="0"/>
    <n v="228731"/>
    <n v="3.4"/>
    <n v="4"/>
    <x v="1"/>
    <n v="3.58"/>
    <s v="High"/>
  </r>
  <r>
    <x v="5"/>
    <s v="GLE EV"/>
    <x v="2"/>
    <s v="Premium"/>
    <n v="194076.68"/>
    <n v="41.1"/>
    <n v="160"/>
    <n v="133.6"/>
    <n v="7.92"/>
    <n v="136"/>
    <n v="1000"/>
    <n v="932"/>
    <s v="RWD"/>
    <n v="5"/>
    <s v="Hatchback"/>
    <n v="39.6"/>
    <n v="1581"/>
    <n v="3"/>
    <n v="1"/>
    <x v="0"/>
    <x v="0"/>
    <n v="69583"/>
    <n v="3.7"/>
    <n v="7"/>
    <x v="2"/>
    <n v="3.89"/>
    <s v="High"/>
  </r>
  <r>
    <x v="7"/>
    <s v="Qin"/>
    <x v="4"/>
    <s v="Standard"/>
    <n v="47541.74"/>
    <n v="75.3"/>
    <n v="274"/>
    <n v="83.8"/>
    <n v="7.74"/>
    <n v="133"/>
    <n v="520"/>
    <n v="490"/>
    <s v="FWD"/>
    <n v="5"/>
    <s v="SUV"/>
    <n v="46"/>
    <n v="2063"/>
    <n v="3"/>
    <n v="1"/>
    <x v="4"/>
    <x v="1"/>
    <n v="230454"/>
    <n v="3.4"/>
    <n v="5"/>
    <x v="2"/>
    <n v="3.64"/>
    <s v="High"/>
  </r>
  <r>
    <x v="4"/>
    <s v="Model S"/>
    <x v="1"/>
    <s v="Long Range"/>
    <n v="133033.76"/>
    <n v="83.6"/>
    <n v="310"/>
    <n v="331.6"/>
    <n v="4.49"/>
    <n v="181"/>
    <n v="932"/>
    <n v="846"/>
    <s v="AWD"/>
    <n v="7"/>
    <s v="Coupe"/>
    <n v="34"/>
    <n v="1500"/>
    <n v="5"/>
    <n v="2"/>
    <x v="2"/>
    <x v="0"/>
    <n v="213496"/>
    <n v="3.8"/>
    <n v="5"/>
    <x v="1"/>
    <n v="3.71"/>
    <s v="High"/>
  </r>
  <r>
    <x v="4"/>
    <s v="Model X"/>
    <x v="0"/>
    <s v="Premium"/>
    <n v="41055.46"/>
    <n v="66.5"/>
    <n v="234"/>
    <n v="322.89999999999998"/>
    <n v="5.98"/>
    <n v="157"/>
    <n v="305"/>
    <n v="223"/>
    <s v="AWD"/>
    <n v="5"/>
    <s v="Truck"/>
    <n v="57.8"/>
    <n v="2601"/>
    <n v="5"/>
    <n v="3"/>
    <x v="2"/>
    <x v="1"/>
    <n v="203412"/>
    <n v="3.8"/>
    <n v="4"/>
    <x v="1"/>
    <n v="3.52"/>
    <s v="High"/>
  </r>
  <r>
    <x v="3"/>
    <s v="EV6"/>
    <x v="1"/>
    <s v="Base"/>
    <n v="59652.7"/>
    <n v="67.900000000000006"/>
    <n v="238"/>
    <n v="84.3"/>
    <n v="5.99"/>
    <n v="156"/>
    <n v="588"/>
    <n v="557"/>
    <s v="RWD"/>
    <n v="5"/>
    <s v="SUV"/>
    <n v="64.2"/>
    <n v="1917"/>
    <n v="5"/>
    <n v="0"/>
    <x v="3"/>
    <x v="1"/>
    <n v="145797"/>
    <n v="3.6"/>
    <n v="3"/>
    <x v="1"/>
    <n v="3.51"/>
    <s v="High"/>
  </r>
  <r>
    <x v="10"/>
    <s v="i4"/>
    <x v="0"/>
    <s v="Long Range"/>
    <n v="76874.69"/>
    <n v="96.7"/>
    <n v="338"/>
    <n v="51.5"/>
    <n v="5.84"/>
    <n v="159"/>
    <n v="528"/>
    <n v="453"/>
    <s v="AWD"/>
    <n v="7"/>
    <s v="Sedan"/>
    <n v="23.8"/>
    <n v="1596"/>
    <n v="5"/>
    <n v="2"/>
    <x v="0"/>
    <x v="2"/>
    <n v="29925"/>
    <n v="3.9"/>
    <n v="5"/>
    <x v="1"/>
    <n v="3.5"/>
    <s v="High"/>
  </r>
  <r>
    <x v="4"/>
    <s v="Model Y"/>
    <x v="2"/>
    <s v="Standard"/>
    <n v="31623.119999999999"/>
    <n v="77.5"/>
    <n v="246"/>
    <n v="331.8"/>
    <n v="5.59"/>
    <n v="165"/>
    <n v="161"/>
    <n v="200"/>
    <s v="FWD"/>
    <n v="7"/>
    <s v="Hatchback"/>
    <n v="28"/>
    <n v="1500"/>
    <n v="5"/>
    <n v="2"/>
    <x v="2"/>
    <x v="3"/>
    <n v="457458"/>
    <n v="3.8"/>
    <n v="5"/>
    <x v="1"/>
    <n v="3.17"/>
    <s v="High"/>
  </r>
  <r>
    <x v="8"/>
    <s v="Kona Electric"/>
    <x v="3"/>
    <s v="Long Range"/>
    <n v="43168.2"/>
    <n v="97.5"/>
    <n v="334"/>
    <n v="115.6"/>
    <n v="5.07"/>
    <n v="179"/>
    <n v="444"/>
    <n v="434"/>
    <s v="FWD"/>
    <n v="5"/>
    <s v="Van"/>
    <n v="63.4"/>
    <n v="1663"/>
    <n v="4"/>
    <n v="0"/>
    <x v="3"/>
    <x v="1"/>
    <n v="84174"/>
    <n v="3.3"/>
    <n v="3"/>
    <x v="1"/>
    <n v="3.43"/>
    <s v="High"/>
  </r>
  <r>
    <x v="7"/>
    <s v="Leaf 50X"/>
    <x v="2"/>
    <s v="Base"/>
    <n v="77144.36"/>
    <n v="70.900000000000006"/>
    <n v="259"/>
    <n v="60.7"/>
    <n v="7.34"/>
    <n v="137"/>
    <n v="850"/>
    <n v="788"/>
    <s v="FWD"/>
    <n v="5"/>
    <s v="Hatchback"/>
    <n v="22.8"/>
    <n v="1656"/>
    <n v="4"/>
    <n v="0"/>
    <x v="4"/>
    <x v="2"/>
    <n v="140199"/>
    <n v="3.6"/>
    <n v="5"/>
    <x v="2"/>
    <n v="3.65"/>
    <s v="High"/>
  </r>
  <r>
    <x v="10"/>
    <s v="i5"/>
    <x v="0"/>
    <s v="Base"/>
    <n v="58951.66"/>
    <n v="72.400000000000006"/>
    <n v="252"/>
    <n v="112.7"/>
    <n v="5.44"/>
    <n v="167"/>
    <n v="253"/>
    <n v="248"/>
    <s v="FWD"/>
    <n v="5"/>
    <s v="Van"/>
    <n v="63.5"/>
    <n v="1615"/>
    <n v="5"/>
    <n v="1"/>
    <x v="0"/>
    <x v="1"/>
    <n v="20422"/>
    <n v="3.4"/>
    <n v="8"/>
    <x v="1"/>
    <n v="3.48"/>
    <s v="High"/>
  </r>
  <r>
    <x v="4"/>
    <s v="Cybertruck"/>
    <x v="0"/>
    <s v="Base"/>
    <n v="113861.27"/>
    <n v="81.2"/>
    <n v="306"/>
    <n v="220.4"/>
    <n v="7.93"/>
    <n v="131"/>
    <n v="809"/>
    <n v="719"/>
    <s v="AWD"/>
    <n v="7"/>
    <s v="Truck"/>
    <n v="61.3"/>
    <n v="2449"/>
    <n v="5"/>
    <n v="2"/>
    <x v="2"/>
    <x v="0"/>
    <n v="162424"/>
    <n v="3.8"/>
    <n v="4"/>
    <x v="2"/>
    <n v="3.77"/>
    <s v="High"/>
  </r>
  <r>
    <x v="2"/>
    <s v="Blazer EV"/>
    <x v="1"/>
    <s v="Base"/>
    <n v="24572.41"/>
    <n v="46.5"/>
    <n v="182"/>
    <n v="128.69999999999999"/>
    <n v="5.73"/>
    <n v="168"/>
    <n v="150"/>
    <n v="200"/>
    <s v="AWD"/>
    <n v="7"/>
    <s v="Truck"/>
    <n v="60.8"/>
    <n v="2500"/>
    <n v="4"/>
    <n v="1"/>
    <x v="2"/>
    <x v="3"/>
    <n v="9346"/>
    <n v="3.5"/>
    <n v="3"/>
    <x v="1"/>
    <n v="3.91"/>
    <s v="Medium"/>
  </r>
  <r>
    <x v="0"/>
    <s v="ID.4"/>
    <x v="3"/>
    <s v="Premium"/>
    <n v="67323.210000000006"/>
    <n v="57.6"/>
    <n v="187"/>
    <n v="141"/>
    <n v="5.46"/>
    <n v="172"/>
    <n v="684"/>
    <n v="618"/>
    <s v="RWD"/>
    <n v="5"/>
    <s v="Van"/>
    <n v="64.2"/>
    <n v="1500"/>
    <n v="5"/>
    <n v="0"/>
    <x v="0"/>
    <x v="2"/>
    <n v="295974"/>
    <n v="3.5"/>
    <n v="5"/>
    <x v="1"/>
    <n v="3.25"/>
    <s v="High"/>
  </r>
  <r>
    <x v="12"/>
    <s v="ET6"/>
    <x v="3"/>
    <s v="Long Range"/>
    <n v="108463.22"/>
    <n v="80"/>
    <n v="263"/>
    <n v="101.8"/>
    <n v="4.01"/>
    <n v="200"/>
    <n v="1000"/>
    <n v="882"/>
    <s v="FWD"/>
    <n v="7"/>
    <s v="SUV"/>
    <n v="41.2"/>
    <n v="1856"/>
    <n v="3"/>
    <n v="1"/>
    <x v="4"/>
    <x v="0"/>
    <n v="18130"/>
    <n v="3.2"/>
    <n v="4"/>
    <x v="1"/>
    <n v="3.29"/>
    <s v="Medium"/>
  </r>
  <r>
    <x v="4"/>
    <s v="Model X"/>
    <x v="3"/>
    <s v="Base"/>
    <n v="71274.600000000006"/>
    <n v="49.2"/>
    <n v="150"/>
    <n v="349.3"/>
    <n v="6.44"/>
    <n v="160"/>
    <n v="586"/>
    <n v="509"/>
    <s v="RWD"/>
    <n v="7"/>
    <s v="Van"/>
    <n v="60"/>
    <n v="1837"/>
    <n v="5"/>
    <n v="2"/>
    <x v="2"/>
    <x v="2"/>
    <n v="132658"/>
    <n v="3.6"/>
    <n v="4"/>
    <x v="1"/>
    <n v="3.05"/>
    <s v="High"/>
  </r>
  <r>
    <x v="7"/>
    <s v="Leaf 50X"/>
    <x v="2"/>
    <s v="Standard"/>
    <n v="55111.29"/>
    <n v="68.400000000000006"/>
    <n v="223"/>
    <n v="87.6"/>
    <n v="5.3"/>
    <n v="171"/>
    <n v="566"/>
    <n v="572"/>
    <s v="RWD"/>
    <n v="5"/>
    <s v="Hatchback"/>
    <n v="25.2"/>
    <n v="1630"/>
    <n v="4"/>
    <n v="1"/>
    <x v="4"/>
    <x v="1"/>
    <n v="112631"/>
    <n v="3.5"/>
    <n v="5"/>
    <x v="1"/>
    <n v="3.26"/>
    <s v="High"/>
  </r>
  <r>
    <x v="4"/>
    <s v="Model 3"/>
    <x v="3"/>
    <s v="Standard"/>
    <n v="132101.43"/>
    <n v="47.9"/>
    <n v="150"/>
    <n v="307.60000000000002"/>
    <n v="7.33"/>
    <n v="144"/>
    <n v="997"/>
    <n v="944"/>
    <s v="RWD"/>
    <n v="5"/>
    <s v="SUV"/>
    <n v="35.9"/>
    <n v="1751"/>
    <n v="5"/>
    <n v="3"/>
    <x v="2"/>
    <x v="0"/>
    <n v="220080"/>
    <n v="3.4"/>
    <n v="6"/>
    <x v="2"/>
    <n v="3.13"/>
    <s v="High"/>
  </r>
  <r>
    <x v="13"/>
    <s v="R3"/>
    <x v="0"/>
    <s v="Performance"/>
    <n v="104608.91"/>
    <n v="116.3"/>
    <n v="395"/>
    <n v="220.2"/>
    <n v="3.1"/>
    <n v="200"/>
    <n v="1000"/>
    <n v="932"/>
    <s v="RWD"/>
    <n v="7"/>
    <s v="Sedan"/>
    <n v="15.8"/>
    <n v="1647"/>
    <n v="5"/>
    <n v="1"/>
    <x v="2"/>
    <x v="0"/>
    <n v="4453"/>
    <n v="3.7"/>
    <n v="4"/>
    <x v="0"/>
    <n v="3.4"/>
    <s v="Low"/>
  </r>
  <r>
    <x v="11"/>
    <s v="e-tron GT"/>
    <x v="5"/>
    <s v="Performance"/>
    <n v="126813.57"/>
    <n v="114.9"/>
    <n v="393"/>
    <n v="230.5"/>
    <n v="4.2"/>
    <n v="190"/>
    <n v="1000"/>
    <n v="899"/>
    <s v="AWD"/>
    <n v="5"/>
    <s v="Sedan"/>
    <n v="21.8"/>
    <n v="1634"/>
    <n v="5"/>
    <n v="1"/>
    <x v="0"/>
    <x v="0"/>
    <n v="35466"/>
    <n v="3.8"/>
    <n v="7"/>
    <x v="1"/>
    <n v="3.42"/>
    <s v="High"/>
  </r>
  <r>
    <x v="7"/>
    <s v="Atto 3"/>
    <x v="5"/>
    <s v="Premium"/>
    <n v="102365.27"/>
    <n v="40.6"/>
    <n v="150"/>
    <n v="99.9"/>
    <n v="5.22"/>
    <n v="182"/>
    <n v="1000"/>
    <n v="960"/>
    <s v="RWD"/>
    <n v="5"/>
    <s v="Sedan"/>
    <n v="35.5"/>
    <n v="1770"/>
    <n v="4"/>
    <n v="1"/>
    <x v="4"/>
    <x v="0"/>
    <n v="112568"/>
    <n v="3.2"/>
    <n v="4"/>
    <x v="1"/>
    <n v="3.69"/>
    <s v="High"/>
  </r>
  <r>
    <x v="10"/>
    <s v="i5"/>
    <x v="3"/>
    <s v="Premium"/>
    <n v="71335.77"/>
    <n v="45.4"/>
    <n v="168"/>
    <n v="70.7"/>
    <n v="7.21"/>
    <n v="143"/>
    <n v="436"/>
    <n v="426"/>
    <s v="RWD"/>
    <n v="7"/>
    <s v="Hatchback"/>
    <n v="25.4"/>
    <n v="1688"/>
    <n v="4"/>
    <n v="2"/>
    <x v="0"/>
    <x v="2"/>
    <n v="26069"/>
    <n v="3.2"/>
    <n v="7"/>
    <x v="2"/>
    <n v="3.7"/>
    <s v="High"/>
  </r>
  <r>
    <x v="9"/>
    <s v="E-Transit"/>
    <x v="5"/>
    <s v="Performance"/>
    <n v="52666.03"/>
    <n v="83.7"/>
    <n v="310"/>
    <n v="230.2"/>
    <n v="3.27"/>
    <n v="197"/>
    <n v="496"/>
    <n v="444"/>
    <s v="AWD"/>
    <n v="5"/>
    <s v="SUV"/>
    <n v="59.5"/>
    <n v="1927"/>
    <n v="5"/>
    <n v="1"/>
    <x v="2"/>
    <x v="1"/>
    <n v="76169"/>
    <n v="3.7"/>
    <n v="4"/>
    <x v="0"/>
    <n v="3.7"/>
    <s v="High"/>
  </r>
  <r>
    <x v="3"/>
    <s v="EV9"/>
    <x v="2"/>
    <s v="Premium"/>
    <n v="65472.17"/>
    <n v="78.2"/>
    <n v="224"/>
    <n v="99"/>
    <n v="7.54"/>
    <n v="133"/>
    <n v="716"/>
    <n v="680"/>
    <s v="AWD"/>
    <n v="5"/>
    <s v="SUV"/>
    <n v="55"/>
    <n v="2132"/>
    <n v="4"/>
    <n v="0"/>
    <x v="3"/>
    <x v="2"/>
    <n v="60682"/>
    <n v="3.3"/>
    <n v="3"/>
    <x v="2"/>
    <n v="2.86"/>
    <s v="High"/>
  </r>
  <r>
    <x v="8"/>
    <s v="i30"/>
    <x v="1"/>
    <s v="Standard"/>
    <n v="35583.1"/>
    <n v="60.1"/>
    <n v="220"/>
    <n v="137.69999999999999"/>
    <n v="5.87"/>
    <n v="157"/>
    <n v="272"/>
    <n v="230"/>
    <s v="FWD"/>
    <n v="5"/>
    <s v="Sedan"/>
    <n v="19.600000000000001"/>
    <n v="1500"/>
    <n v="5"/>
    <n v="0"/>
    <x v="3"/>
    <x v="1"/>
    <n v="116403"/>
    <n v="3.4"/>
    <n v="3"/>
    <x v="1"/>
    <n v="3.66"/>
    <s v="High"/>
  </r>
  <r>
    <x v="7"/>
    <s v="Dolphin"/>
    <x v="3"/>
    <s v="Base"/>
    <n v="62107.839999999997"/>
    <n v="82.5"/>
    <n v="291"/>
    <n v="96.3"/>
    <n v="7.45"/>
    <n v="142"/>
    <n v="648"/>
    <n v="600"/>
    <s v="RWD"/>
    <n v="5"/>
    <s v="Truck"/>
    <n v="77.2"/>
    <n v="2468"/>
    <n v="4"/>
    <n v="0"/>
    <x v="4"/>
    <x v="1"/>
    <n v="129397"/>
    <n v="3.6"/>
    <n v="5"/>
    <x v="2"/>
    <n v="3.53"/>
    <s v="High"/>
  </r>
  <r>
    <x v="4"/>
    <s v="Model S"/>
    <x v="2"/>
    <s v="Performance"/>
    <n v="119857.21"/>
    <n v="83.5"/>
    <n v="307"/>
    <n v="348.4"/>
    <n v="3.03"/>
    <n v="200"/>
    <n v="861"/>
    <n v="780"/>
    <s v="AWD"/>
    <n v="5"/>
    <s v="Truck"/>
    <n v="74.099999999999994"/>
    <n v="2510"/>
    <n v="4"/>
    <n v="2"/>
    <x v="2"/>
    <x v="0"/>
    <n v="142701"/>
    <n v="4.0999999999999996"/>
    <n v="5"/>
    <x v="0"/>
    <n v="3.68"/>
    <s v="High"/>
  </r>
  <r>
    <x v="11"/>
    <s v="e-tron GT"/>
    <x v="3"/>
    <s v="Long Range"/>
    <n v="70111.179999999993"/>
    <n v="75.599999999999994"/>
    <n v="262"/>
    <n v="143.30000000000001"/>
    <n v="5.27"/>
    <n v="166"/>
    <n v="375"/>
    <n v="380"/>
    <s v="FWD"/>
    <n v="5"/>
    <s v="Coupe"/>
    <n v="18"/>
    <n v="1548"/>
    <n v="3"/>
    <n v="1"/>
    <x v="0"/>
    <x v="2"/>
    <n v="79614"/>
    <n v="3.5"/>
    <n v="5"/>
    <x v="1"/>
    <n v="3.47"/>
    <s v="High"/>
  </r>
  <r>
    <x v="11"/>
    <s v="Q6 e-tron"/>
    <x v="3"/>
    <s v="Premium"/>
    <n v="138510.75"/>
    <n v="62.7"/>
    <n v="204"/>
    <n v="124.6"/>
    <n v="7.99"/>
    <n v="133"/>
    <n v="1000"/>
    <n v="963"/>
    <s v="RWD"/>
    <n v="5"/>
    <s v="Coupe"/>
    <n v="37.200000000000003"/>
    <n v="1588"/>
    <n v="4"/>
    <n v="1"/>
    <x v="0"/>
    <x v="0"/>
    <n v="58972"/>
    <n v="3.2"/>
    <n v="6"/>
    <x v="2"/>
    <n v="3.25"/>
    <s v="High"/>
  </r>
  <r>
    <x v="10"/>
    <s v="iX"/>
    <x v="0"/>
    <s v="Base"/>
    <n v="90267.93"/>
    <n v="63"/>
    <n v="260"/>
    <n v="67.099999999999994"/>
    <n v="5.59"/>
    <n v="172"/>
    <n v="713"/>
    <n v="591"/>
    <s v="AWD"/>
    <n v="5"/>
    <s v="Hatchback"/>
    <n v="24.7"/>
    <n v="1500"/>
    <n v="4"/>
    <n v="1"/>
    <x v="0"/>
    <x v="2"/>
    <n v="26056"/>
    <n v="3.5"/>
    <n v="5"/>
    <x v="1"/>
    <n v="4.13"/>
    <s v="High"/>
  </r>
  <r>
    <x v="7"/>
    <s v="Max"/>
    <x v="6"/>
    <s v="Base"/>
    <n v="67729.77"/>
    <n v="44.2"/>
    <n v="157"/>
    <n v="50.1"/>
    <n v="7.68"/>
    <n v="137"/>
    <n v="692"/>
    <n v="628"/>
    <s v="RWD"/>
    <n v="7"/>
    <s v="Truck"/>
    <n v="60.1"/>
    <n v="2386"/>
    <n v="4"/>
    <n v="0"/>
    <x v="4"/>
    <x v="2"/>
    <n v="160145"/>
    <n v="3.2"/>
    <n v="4"/>
    <x v="2"/>
    <n v="3.55"/>
    <s v="High"/>
  </r>
  <r>
    <x v="7"/>
    <s v="Yuan Plus"/>
    <x v="1"/>
    <s v="Standard"/>
    <n v="27939.32"/>
    <n v="56.5"/>
    <n v="182"/>
    <n v="129.80000000000001"/>
    <n v="7.12"/>
    <n v="141"/>
    <n v="254"/>
    <n v="200"/>
    <s v="AWD"/>
    <n v="7"/>
    <s v="SUV"/>
    <n v="68.5"/>
    <n v="1964"/>
    <n v="5"/>
    <n v="0"/>
    <x v="4"/>
    <x v="3"/>
    <n v="100593"/>
    <n v="3.2"/>
    <n v="4"/>
    <x v="2"/>
    <n v="3.22"/>
    <s v="High"/>
  </r>
  <r>
    <x v="2"/>
    <s v="Bolt EUV"/>
    <x v="5"/>
    <s v="Long Range"/>
    <n v="70455.09"/>
    <n v="97.8"/>
    <n v="367"/>
    <n v="125.7"/>
    <n v="5.21"/>
    <n v="173"/>
    <n v="972"/>
    <n v="860"/>
    <s v="RWD"/>
    <n v="5"/>
    <s v="Truck"/>
    <n v="76.8"/>
    <n v="2305"/>
    <n v="4"/>
    <n v="0"/>
    <x v="2"/>
    <x v="2"/>
    <n v="1598"/>
    <n v="3.6"/>
    <n v="5"/>
    <x v="1"/>
    <n v="3.75"/>
    <s v="Low"/>
  </r>
  <r>
    <x v="11"/>
    <s v="e-tron GT"/>
    <x v="3"/>
    <s v="Base"/>
    <n v="104530.78"/>
    <n v="61.3"/>
    <n v="194"/>
    <n v="96.2"/>
    <n v="7.71"/>
    <n v="135"/>
    <n v="795"/>
    <n v="707"/>
    <s v="RWD"/>
    <n v="7"/>
    <s v="SUV"/>
    <n v="50.8"/>
    <n v="2104"/>
    <n v="5"/>
    <n v="2"/>
    <x v="0"/>
    <x v="0"/>
    <n v="52472"/>
    <n v="3.5"/>
    <n v="8"/>
    <x v="2"/>
    <n v="3.16"/>
    <s v="High"/>
  </r>
  <r>
    <x v="11"/>
    <s v="Q6 e-tron"/>
    <x v="3"/>
    <s v="Long Range"/>
    <n v="97248.51"/>
    <n v="90.6"/>
    <n v="304"/>
    <n v="80.3"/>
    <n v="5.49"/>
    <n v="168"/>
    <n v="720"/>
    <n v="612"/>
    <s v="RWD"/>
    <n v="5"/>
    <s v="Van"/>
    <n v="75.7"/>
    <n v="1500"/>
    <n v="5"/>
    <n v="1"/>
    <x v="0"/>
    <x v="2"/>
    <n v="46587"/>
    <n v="3.2"/>
    <n v="6"/>
    <x v="1"/>
    <n v="3.36"/>
    <s v="High"/>
  </r>
  <r>
    <x v="9"/>
    <s v="Explorer EV"/>
    <x v="2"/>
    <s v="Performance"/>
    <n v="105603.42"/>
    <n v="114.4"/>
    <n v="427"/>
    <n v="181.6"/>
    <n v="3.18"/>
    <n v="200"/>
    <n v="1000"/>
    <n v="860"/>
    <s v="AWD"/>
    <n v="5"/>
    <s v="Van"/>
    <n v="72.400000000000006"/>
    <n v="2052"/>
    <n v="4"/>
    <n v="0"/>
    <x v="2"/>
    <x v="0"/>
    <n v="31600"/>
    <n v="4"/>
    <n v="5"/>
    <x v="0"/>
    <n v="3.73"/>
    <s v="High"/>
  </r>
  <r>
    <x v="10"/>
    <s v="iX"/>
    <x v="3"/>
    <s v="Standard"/>
    <n v="55554.9"/>
    <n v="41.7"/>
    <n v="151"/>
    <n v="100.9"/>
    <n v="5.73"/>
    <n v="173"/>
    <n v="203"/>
    <n v="200"/>
    <s v="AWD"/>
    <n v="5"/>
    <s v="Van"/>
    <n v="73.3"/>
    <n v="1646"/>
    <n v="5"/>
    <n v="2"/>
    <x v="0"/>
    <x v="1"/>
    <n v="69514"/>
    <n v="3.1"/>
    <n v="8"/>
    <x v="1"/>
    <n v="3.62"/>
    <s v="High"/>
  </r>
  <r>
    <x v="4"/>
    <s v="Cybertruck"/>
    <x v="5"/>
    <s v="Base"/>
    <n v="50614.31"/>
    <n v="85"/>
    <n v="304"/>
    <n v="267"/>
    <n v="6.34"/>
    <n v="152"/>
    <n v="315"/>
    <n v="263"/>
    <s v="RWD"/>
    <n v="7"/>
    <s v="Truck"/>
    <n v="66.2"/>
    <n v="2227"/>
    <n v="5"/>
    <n v="2"/>
    <x v="2"/>
    <x v="1"/>
    <n v="175527"/>
    <n v="4"/>
    <n v="4"/>
    <x v="1"/>
    <n v="3.58"/>
    <s v="High"/>
  </r>
  <r>
    <x v="4"/>
    <s v="Model Y"/>
    <x v="3"/>
    <s v="Base"/>
    <n v="42292.45"/>
    <n v="67.3"/>
    <n v="240"/>
    <n v="307.7"/>
    <n v="6.74"/>
    <n v="159"/>
    <n v="313"/>
    <n v="323"/>
    <s v="RWD"/>
    <n v="7"/>
    <s v="Truck"/>
    <n v="79.8"/>
    <n v="2648"/>
    <n v="4"/>
    <n v="2"/>
    <x v="2"/>
    <x v="1"/>
    <n v="472726"/>
    <n v="3.7"/>
    <n v="5"/>
    <x v="1"/>
    <n v="3.57"/>
    <s v="High"/>
  </r>
  <r>
    <x v="11"/>
    <s v="Q4 e-tron"/>
    <x v="5"/>
    <s v="Long Range"/>
    <n v="94110.46"/>
    <n v="90.4"/>
    <n v="323"/>
    <n v="138.19999999999999"/>
    <n v="4.41"/>
    <n v="188"/>
    <n v="644"/>
    <n v="602"/>
    <s v="FWD"/>
    <n v="5"/>
    <s v="Sedan"/>
    <n v="33.700000000000003"/>
    <n v="1508"/>
    <n v="4"/>
    <n v="1"/>
    <x v="0"/>
    <x v="2"/>
    <n v="38660"/>
    <n v="3.6"/>
    <n v="8"/>
    <x v="1"/>
    <n v="3.57"/>
    <s v="High"/>
  </r>
  <r>
    <x v="3"/>
    <s v="EV9"/>
    <x v="3"/>
    <s v="Standard"/>
    <n v="77483.58"/>
    <n v="46.2"/>
    <n v="176"/>
    <n v="60.3"/>
    <n v="7.19"/>
    <n v="133"/>
    <n v="950"/>
    <n v="840"/>
    <s v="FWD"/>
    <n v="5"/>
    <s v="SUV"/>
    <n v="60.7"/>
    <n v="1989"/>
    <n v="3"/>
    <n v="1"/>
    <x v="3"/>
    <x v="2"/>
    <n v="116585"/>
    <n v="3"/>
    <n v="4"/>
    <x v="2"/>
    <n v="3.81"/>
    <s v="High"/>
  </r>
  <r>
    <x v="4"/>
    <s v="Model Y"/>
    <x v="1"/>
    <s v="Long Range"/>
    <n v="112382.86"/>
    <n v="81.900000000000006"/>
    <n v="270"/>
    <n v="243.2"/>
    <n v="5.21"/>
    <n v="182"/>
    <n v="816"/>
    <n v="719"/>
    <s v="FWD"/>
    <n v="5"/>
    <s v="Coupe"/>
    <n v="25.1"/>
    <n v="1583"/>
    <n v="4"/>
    <n v="2"/>
    <x v="2"/>
    <x v="0"/>
    <n v="494879"/>
    <n v="3.8"/>
    <n v="4"/>
    <x v="1"/>
    <n v="3.3"/>
    <s v="High"/>
  </r>
  <r>
    <x v="4"/>
    <s v="Model X"/>
    <x v="3"/>
    <s v="Premium"/>
    <n v="112066.22"/>
    <n v="43.2"/>
    <n v="167"/>
    <n v="297.10000000000002"/>
    <n v="7.91"/>
    <n v="134"/>
    <n v="825"/>
    <n v="749"/>
    <s v="FWD"/>
    <n v="5"/>
    <s v="Van"/>
    <n v="75"/>
    <n v="1720"/>
    <n v="4"/>
    <n v="2"/>
    <x v="2"/>
    <x v="0"/>
    <n v="245565"/>
    <n v="3.8"/>
    <n v="4"/>
    <x v="2"/>
    <n v="3.87"/>
    <s v="High"/>
  </r>
  <r>
    <x v="10"/>
    <s v="i7"/>
    <x v="2"/>
    <s v="Long Range"/>
    <n v="93724.2"/>
    <n v="100"/>
    <n v="326"/>
    <n v="91.1"/>
    <n v="4.4400000000000004"/>
    <n v="188"/>
    <n v="725"/>
    <n v="651"/>
    <s v="AWD"/>
    <n v="7"/>
    <s v="Van"/>
    <n v="72.2"/>
    <n v="1614"/>
    <n v="4"/>
    <n v="1"/>
    <x v="0"/>
    <x v="2"/>
    <n v="36760"/>
    <n v="3.6"/>
    <n v="6"/>
    <x v="1"/>
    <n v="3.26"/>
    <s v="High"/>
  </r>
  <r>
    <x v="4"/>
    <s v="Cybertruck"/>
    <x v="4"/>
    <s v="Base"/>
    <n v="98646.080000000002"/>
    <n v="76"/>
    <n v="242"/>
    <n v="326.8"/>
    <n v="7.18"/>
    <n v="143"/>
    <n v="690"/>
    <n v="602"/>
    <s v="RWD"/>
    <n v="5"/>
    <s v="Truck"/>
    <n v="52"/>
    <n v="2415"/>
    <n v="5"/>
    <n v="2"/>
    <x v="2"/>
    <x v="2"/>
    <n v="235244"/>
    <n v="3.9"/>
    <n v="6"/>
    <x v="2"/>
    <n v="3.18"/>
    <s v="High"/>
  </r>
  <r>
    <x v="4"/>
    <s v="Cybertruck"/>
    <x v="0"/>
    <s v="Base"/>
    <n v="46210.19"/>
    <n v="70.099999999999994"/>
    <n v="244"/>
    <n v="291"/>
    <n v="5.57"/>
    <n v="171"/>
    <n v="310"/>
    <n v="227"/>
    <s v="AWD"/>
    <n v="5"/>
    <s v="Truck"/>
    <n v="65.099999999999994"/>
    <n v="2463"/>
    <n v="4"/>
    <n v="2"/>
    <x v="2"/>
    <x v="1"/>
    <n v="187848"/>
    <n v="3.6"/>
    <n v="4"/>
    <x v="1"/>
    <n v="3.48"/>
    <s v="High"/>
  </r>
  <r>
    <x v="3"/>
    <s v="EV6"/>
    <x v="4"/>
    <s v="Long Range"/>
    <n v="66633.95"/>
    <n v="75.099999999999994"/>
    <n v="272"/>
    <n v="109.4"/>
    <n v="5.22"/>
    <n v="170"/>
    <n v="795"/>
    <n v="688"/>
    <s v="AWD"/>
    <n v="7"/>
    <s v="Coupe"/>
    <n v="29"/>
    <n v="1500"/>
    <n v="5"/>
    <n v="0"/>
    <x v="3"/>
    <x v="2"/>
    <n v="57850"/>
    <n v="3.3"/>
    <n v="5"/>
    <x v="1"/>
    <n v="3.62"/>
    <s v="High"/>
  </r>
  <r>
    <x v="2"/>
    <s v="Silverado EV"/>
    <x v="5"/>
    <s v="Performance"/>
    <n v="65284.93"/>
    <n v="116.3"/>
    <n v="439"/>
    <n v="241.3"/>
    <n v="4.25"/>
    <n v="186"/>
    <n v="776"/>
    <n v="701"/>
    <s v="AWD"/>
    <n v="7"/>
    <s v="Coupe"/>
    <n v="19.8"/>
    <n v="1566"/>
    <n v="4"/>
    <n v="0"/>
    <x v="2"/>
    <x v="2"/>
    <n v="25704"/>
    <n v="4.2"/>
    <n v="4"/>
    <x v="1"/>
    <n v="3.77"/>
    <s v="High"/>
  </r>
  <r>
    <x v="10"/>
    <s v="i3"/>
    <x v="0"/>
    <s v="Premium"/>
    <n v="137951.81"/>
    <n v="60.1"/>
    <n v="220"/>
    <n v="71.2"/>
    <n v="6.56"/>
    <n v="152"/>
    <n v="1000"/>
    <n v="895"/>
    <s v="RWD"/>
    <n v="7"/>
    <s v="Hatchback"/>
    <n v="22.7"/>
    <n v="1654"/>
    <n v="4"/>
    <n v="1"/>
    <x v="0"/>
    <x v="0"/>
    <n v="26110"/>
    <n v="3.5"/>
    <n v="7"/>
    <x v="1"/>
    <n v="3.66"/>
    <s v="High"/>
  </r>
  <r>
    <x v="7"/>
    <s v="Seagull"/>
    <x v="2"/>
    <s v="Standard"/>
    <n v="32276.7"/>
    <n v="53.8"/>
    <n v="220"/>
    <n v="127.9"/>
    <n v="7.3"/>
    <n v="142"/>
    <n v="314"/>
    <n v="266"/>
    <s v="RWD"/>
    <n v="5"/>
    <s v="Hatchback"/>
    <n v="18.5"/>
    <n v="1646"/>
    <n v="5"/>
    <n v="0"/>
    <x v="4"/>
    <x v="3"/>
    <n v="236029"/>
    <n v="3.7"/>
    <n v="4"/>
    <x v="2"/>
    <n v="4.09"/>
    <s v="High"/>
  </r>
  <r>
    <x v="2"/>
    <s v="Bolt EV"/>
    <x v="2"/>
    <s v="Standard"/>
    <n v="61070.92"/>
    <n v="75.7"/>
    <n v="280"/>
    <n v="76.8"/>
    <n v="6.23"/>
    <n v="156"/>
    <n v="808"/>
    <n v="740"/>
    <s v="AWD"/>
    <n v="7"/>
    <s v="Hatchback"/>
    <n v="25.2"/>
    <n v="1883"/>
    <n v="5"/>
    <n v="0"/>
    <x v="2"/>
    <x v="1"/>
    <n v="2434"/>
    <n v="3.3"/>
    <n v="4"/>
    <x v="1"/>
    <n v="3.7"/>
    <s v="Low"/>
  </r>
  <r>
    <x v="7"/>
    <s v="Seagull"/>
    <x v="3"/>
    <s v="Base"/>
    <n v="67469.58"/>
    <n v="57.5"/>
    <n v="191"/>
    <n v="57.3"/>
    <n v="7.8"/>
    <n v="138"/>
    <n v="780"/>
    <n v="688"/>
    <s v="AWD"/>
    <n v="7"/>
    <s v="Hatchback"/>
    <n v="21.2"/>
    <n v="1654"/>
    <n v="4"/>
    <n v="1"/>
    <x v="4"/>
    <x v="2"/>
    <n v="179136"/>
    <n v="3.5"/>
    <n v="4"/>
    <x v="2"/>
    <n v="3.32"/>
    <s v="High"/>
  </r>
  <r>
    <x v="7"/>
    <s v="Seagull"/>
    <x v="3"/>
    <s v="Long Range"/>
    <n v="48990.53"/>
    <n v="99.3"/>
    <n v="357"/>
    <n v="57.3"/>
    <n v="5.58"/>
    <n v="156"/>
    <n v="540"/>
    <n v="454"/>
    <s v="RWD"/>
    <n v="5"/>
    <s v="SUV"/>
    <n v="58.2"/>
    <n v="2202"/>
    <n v="4"/>
    <n v="1"/>
    <x v="4"/>
    <x v="1"/>
    <n v="211809"/>
    <n v="3.7"/>
    <n v="4"/>
    <x v="1"/>
    <n v="3.6"/>
    <s v="High"/>
  </r>
  <r>
    <x v="2"/>
    <s v="Bolt EV"/>
    <x v="2"/>
    <s v="Base"/>
    <n v="56305.37"/>
    <n v="52"/>
    <n v="170"/>
    <n v="83.9"/>
    <n v="6.49"/>
    <n v="149"/>
    <n v="652"/>
    <n v="577"/>
    <s v="AWD"/>
    <n v="5"/>
    <s v="Van"/>
    <n v="61.8"/>
    <n v="1500"/>
    <n v="4"/>
    <n v="1"/>
    <x v="2"/>
    <x v="1"/>
    <n v="2728"/>
    <n v="3.2"/>
    <n v="5"/>
    <x v="1"/>
    <n v="3.27"/>
    <s v="Low"/>
  </r>
  <r>
    <x v="10"/>
    <s v="i5"/>
    <x v="4"/>
    <s v="Standard"/>
    <n v="94181.96"/>
    <n v="40.799999999999997"/>
    <n v="160"/>
    <n v="97.4"/>
    <n v="5.01"/>
    <n v="176"/>
    <n v="738"/>
    <n v="659"/>
    <s v="AWD"/>
    <n v="7"/>
    <s v="Coupe"/>
    <n v="38.6"/>
    <n v="1626"/>
    <n v="5"/>
    <n v="1"/>
    <x v="0"/>
    <x v="2"/>
    <n v="79673"/>
    <n v="3.1"/>
    <n v="7"/>
    <x v="1"/>
    <n v="3.92"/>
    <s v="High"/>
  </r>
  <r>
    <x v="5"/>
    <s v="GLE EV"/>
    <x v="3"/>
    <s v="Long Range"/>
    <n v="122338.76"/>
    <n v="85.1"/>
    <n v="270"/>
    <n v="58.6"/>
    <n v="4"/>
    <n v="193"/>
    <n v="741"/>
    <n v="661"/>
    <s v="FWD"/>
    <n v="7"/>
    <s v="Hatchback"/>
    <n v="16.600000000000001"/>
    <n v="1843"/>
    <n v="3"/>
    <n v="2"/>
    <x v="0"/>
    <x v="0"/>
    <n v="52641"/>
    <n v="4.0999999999999996"/>
    <n v="7"/>
    <x v="1"/>
    <n v="3.17"/>
    <s v="High"/>
  </r>
  <r>
    <x v="10"/>
    <s v="i3"/>
    <x v="0"/>
    <s v="Standard"/>
    <n v="67705.119999999995"/>
    <n v="63"/>
    <n v="239"/>
    <n v="65.7"/>
    <n v="5.05"/>
    <n v="176"/>
    <n v="410"/>
    <n v="318"/>
    <s v="AWD"/>
    <n v="5"/>
    <s v="Coupe"/>
    <n v="27.6"/>
    <n v="1770"/>
    <n v="5"/>
    <n v="2"/>
    <x v="0"/>
    <x v="2"/>
    <n v="68305"/>
    <n v="3.3"/>
    <n v="8"/>
    <x v="1"/>
    <n v="3.79"/>
    <s v="High"/>
  </r>
  <r>
    <x v="3"/>
    <s v="EV6"/>
    <x v="2"/>
    <s v="Standard"/>
    <n v="44920.54"/>
    <n v="57.9"/>
    <n v="198"/>
    <n v="78.599999999999994"/>
    <n v="7.88"/>
    <n v="122"/>
    <n v="391"/>
    <n v="344"/>
    <s v="FWD"/>
    <n v="5"/>
    <s v="Truck"/>
    <n v="68.8"/>
    <n v="2615"/>
    <n v="5"/>
    <n v="1"/>
    <x v="3"/>
    <x v="1"/>
    <n v="145791"/>
    <n v="3"/>
    <n v="5"/>
    <x v="2"/>
    <n v="3.42"/>
    <s v="High"/>
  </r>
  <r>
    <x v="4"/>
    <s v="Cybertruck"/>
    <x v="2"/>
    <s v="Premium"/>
    <n v="47891.48"/>
    <n v="42.5"/>
    <n v="164"/>
    <n v="276.3"/>
    <n v="5.16"/>
    <n v="175"/>
    <n v="346"/>
    <n v="313"/>
    <s v="FWD"/>
    <n v="7"/>
    <s v="Truck"/>
    <n v="74"/>
    <n v="2335"/>
    <n v="3"/>
    <n v="2"/>
    <x v="2"/>
    <x v="1"/>
    <n v="118665"/>
    <n v="3.7"/>
    <n v="6"/>
    <x v="1"/>
    <n v="3.86"/>
    <s v="High"/>
  </r>
  <r>
    <x v="0"/>
    <s v="ID.5"/>
    <x v="1"/>
    <s v="Premium"/>
    <n v="62108.39"/>
    <n v="82.1"/>
    <n v="268"/>
    <n v="60.6"/>
    <n v="7.01"/>
    <n v="137"/>
    <n v="637"/>
    <n v="524"/>
    <s v="FWD"/>
    <n v="7"/>
    <s v="SUV"/>
    <n v="38"/>
    <n v="1760"/>
    <n v="5"/>
    <n v="0"/>
    <x v="0"/>
    <x v="1"/>
    <n v="222675"/>
    <n v="3.2"/>
    <n v="5"/>
    <x v="2"/>
    <n v="3.26"/>
    <s v="High"/>
  </r>
  <r>
    <x v="7"/>
    <s v="Seagull"/>
    <x v="3"/>
    <s v="Long Range"/>
    <n v="24414.35"/>
    <n v="86.4"/>
    <n v="281"/>
    <n v="141"/>
    <n v="5.27"/>
    <n v="175"/>
    <n v="170"/>
    <n v="200"/>
    <s v="FWD"/>
    <n v="5"/>
    <s v="Sedan"/>
    <n v="38.9"/>
    <n v="1500"/>
    <n v="5"/>
    <n v="0"/>
    <x v="4"/>
    <x v="3"/>
    <n v="228388"/>
    <n v="3.6"/>
    <n v="4"/>
    <x v="1"/>
    <n v="3.25"/>
    <s v="High"/>
  </r>
  <r>
    <x v="7"/>
    <s v="Qin"/>
    <x v="0"/>
    <s v="Standard"/>
    <n v="36044.93"/>
    <n v="74.5"/>
    <n v="251"/>
    <n v="96.5"/>
    <n v="7.83"/>
    <n v="127"/>
    <n v="336"/>
    <n v="291"/>
    <s v="FWD"/>
    <n v="5"/>
    <s v="Truck"/>
    <n v="64.3"/>
    <n v="2600"/>
    <n v="4"/>
    <n v="0"/>
    <x v="4"/>
    <x v="1"/>
    <n v="117310"/>
    <n v="3.6"/>
    <n v="5"/>
    <x v="2"/>
    <n v="3.37"/>
    <s v="High"/>
  </r>
  <r>
    <x v="6"/>
    <s v="Ronin"/>
    <x v="2"/>
    <s v="Premium"/>
    <n v="67456.63"/>
    <n v="41.7"/>
    <n v="150"/>
    <n v="55.2"/>
    <n v="5.69"/>
    <n v="169"/>
    <n v="509"/>
    <n v="469"/>
    <s v="AWD"/>
    <n v="5"/>
    <s v="Coupe"/>
    <n v="16.5"/>
    <n v="1631"/>
    <n v="4"/>
    <n v="1"/>
    <x v="2"/>
    <x v="2"/>
    <n v="20333"/>
    <n v="3.3"/>
    <n v="4"/>
    <x v="1"/>
    <n v="3.6"/>
    <s v="High"/>
  </r>
  <r>
    <x v="0"/>
    <s v="ID. Buzz"/>
    <x v="3"/>
    <s v="Long Range"/>
    <n v="52579.97"/>
    <n v="94.8"/>
    <n v="325"/>
    <n v="90.3"/>
    <n v="5.3"/>
    <n v="171"/>
    <n v="508"/>
    <n v="499"/>
    <s v="FWD"/>
    <n v="5"/>
    <s v="Hatchback"/>
    <n v="19"/>
    <n v="1588"/>
    <n v="3"/>
    <n v="1"/>
    <x v="0"/>
    <x v="1"/>
    <n v="238272"/>
    <n v="3.6"/>
    <n v="4"/>
    <x v="1"/>
    <n v="3.43"/>
    <s v="High"/>
  </r>
  <r>
    <x v="11"/>
    <s v="Q4 e-tron"/>
    <x v="3"/>
    <s v="Base"/>
    <n v="81941.39"/>
    <n v="40.200000000000003"/>
    <n v="150"/>
    <n v="138.19999999999999"/>
    <n v="5.44"/>
    <n v="166"/>
    <n v="495"/>
    <n v="468"/>
    <s v="RWD"/>
    <n v="5"/>
    <s v="Coupe"/>
    <n v="35.5"/>
    <n v="1693"/>
    <n v="5"/>
    <n v="2"/>
    <x v="0"/>
    <x v="2"/>
    <n v="77358"/>
    <n v="3"/>
    <n v="7"/>
    <x v="1"/>
    <n v="3.73"/>
    <s v="High"/>
  </r>
  <r>
    <x v="10"/>
    <s v="i4"/>
    <x v="5"/>
    <s v="Performance"/>
    <n v="133852.24"/>
    <n v="84.9"/>
    <n v="318"/>
    <n v="197.1"/>
    <n v="2.9"/>
    <n v="200"/>
    <n v="1000"/>
    <n v="904"/>
    <s v="AWD"/>
    <n v="5"/>
    <s v="Truck"/>
    <n v="55"/>
    <n v="2197"/>
    <n v="4"/>
    <n v="2"/>
    <x v="0"/>
    <x v="0"/>
    <n v="50521"/>
    <n v="3.5"/>
    <n v="7"/>
    <x v="0"/>
    <n v="3.75"/>
    <s v="High"/>
  </r>
  <r>
    <x v="9"/>
    <s v="Mustang Mach-E"/>
    <x v="3"/>
    <s v="Standard"/>
    <n v="56042.09"/>
    <n v="79.5"/>
    <n v="293"/>
    <n v="130.19999999999999"/>
    <n v="6.05"/>
    <n v="157"/>
    <n v="541"/>
    <n v="501"/>
    <s v="RWD"/>
    <n v="5"/>
    <s v="SUV"/>
    <n v="66.900000000000006"/>
    <n v="2215"/>
    <n v="3"/>
    <n v="0"/>
    <x v="2"/>
    <x v="1"/>
    <n v="69874"/>
    <n v="3.4"/>
    <n v="4"/>
    <x v="1"/>
    <n v="3.69"/>
    <s v="High"/>
  </r>
  <r>
    <x v="8"/>
    <s v="Ioniq 5"/>
    <x v="2"/>
    <s v="Long Range"/>
    <n v="83570.149999999994"/>
    <n v="78.5"/>
    <n v="258"/>
    <n v="51.5"/>
    <n v="4.33"/>
    <n v="189"/>
    <n v="1000"/>
    <n v="924"/>
    <s v="AWD"/>
    <n v="5"/>
    <s v="Coupe"/>
    <n v="17"/>
    <n v="1794"/>
    <n v="5"/>
    <n v="1"/>
    <x v="3"/>
    <x v="2"/>
    <n v="145959"/>
    <n v="3.4"/>
    <n v="4"/>
    <x v="1"/>
    <n v="3.29"/>
    <s v="High"/>
  </r>
  <r>
    <x v="3"/>
    <s v="Picanto EV"/>
    <x v="1"/>
    <s v="Performance"/>
    <n v="111175.38"/>
    <n v="89.2"/>
    <n v="319"/>
    <n v="178.4"/>
    <n v="3.67"/>
    <n v="190"/>
    <n v="1000"/>
    <n v="964"/>
    <s v="RWD"/>
    <n v="5"/>
    <s v="Hatchback"/>
    <n v="18.8"/>
    <n v="1538"/>
    <n v="5"/>
    <n v="1"/>
    <x v="3"/>
    <x v="0"/>
    <n v="51798"/>
    <n v="3.8"/>
    <n v="5"/>
    <x v="0"/>
    <n v="3.58"/>
    <s v="High"/>
  </r>
  <r>
    <x v="8"/>
    <s v="Ioniq 5"/>
    <x v="3"/>
    <s v="Base"/>
    <n v="61128.92"/>
    <n v="46.1"/>
    <n v="180"/>
    <n v="80.3"/>
    <n v="6.4"/>
    <n v="153"/>
    <n v="706"/>
    <n v="583"/>
    <s v="RWD"/>
    <n v="5"/>
    <s v="Van"/>
    <n v="78"/>
    <n v="1903"/>
    <n v="5"/>
    <n v="0"/>
    <x v="3"/>
    <x v="1"/>
    <n v="110095"/>
    <n v="3.3"/>
    <n v="3"/>
    <x v="1"/>
    <n v="3.9"/>
    <s v="High"/>
  </r>
  <r>
    <x v="4"/>
    <s v="Model Y"/>
    <x v="0"/>
    <s v="Standard"/>
    <n v="44516.36"/>
    <n v="56.4"/>
    <n v="227"/>
    <n v="211.2"/>
    <n v="6.51"/>
    <n v="147"/>
    <n v="308"/>
    <n v="239"/>
    <s v="FWD"/>
    <n v="5"/>
    <s v="Sedan"/>
    <n v="15.2"/>
    <n v="1513"/>
    <n v="4"/>
    <n v="2"/>
    <x v="2"/>
    <x v="1"/>
    <n v="403294"/>
    <n v="3.5"/>
    <n v="5"/>
    <x v="1"/>
    <n v="4.0199999999999996"/>
    <s v="High"/>
  </r>
  <r>
    <x v="2"/>
    <s v="Equinox EV"/>
    <x v="3"/>
    <s v="Standard"/>
    <n v="32070.17"/>
    <n v="44.1"/>
    <n v="158"/>
    <n v="62.7"/>
    <n v="6.07"/>
    <n v="161"/>
    <n v="279"/>
    <n v="261"/>
    <s v="AWD"/>
    <n v="5"/>
    <s v="SUV"/>
    <n v="66.099999999999994"/>
    <n v="2020"/>
    <n v="4"/>
    <n v="0"/>
    <x v="2"/>
    <x v="3"/>
    <n v="1331"/>
    <n v="3.3"/>
    <n v="3"/>
    <x v="1"/>
    <n v="3.58"/>
    <s v="Low"/>
  </r>
  <r>
    <x v="7"/>
    <s v="Yuan Plus"/>
    <x v="2"/>
    <s v="Premium"/>
    <n v="107358.88"/>
    <n v="58.4"/>
    <n v="205"/>
    <n v="140.80000000000001"/>
    <n v="7.41"/>
    <n v="132"/>
    <n v="1000"/>
    <n v="888"/>
    <s v="FWD"/>
    <n v="7"/>
    <s v="Coupe"/>
    <n v="27.3"/>
    <n v="1661"/>
    <n v="3"/>
    <n v="1"/>
    <x v="4"/>
    <x v="0"/>
    <n v="110469"/>
    <n v="3.6"/>
    <n v="4"/>
    <x v="2"/>
    <n v="3.51"/>
    <s v="High"/>
  </r>
  <r>
    <x v="4"/>
    <s v="Model Y"/>
    <x v="5"/>
    <s v="Standard"/>
    <n v="78088.259999999995"/>
    <n v="70.2"/>
    <n v="245"/>
    <n v="310.8"/>
    <n v="7.6"/>
    <n v="130"/>
    <n v="599"/>
    <n v="573"/>
    <s v="AWD"/>
    <n v="7"/>
    <s v="Sedan"/>
    <n v="26.8"/>
    <n v="1514"/>
    <n v="5"/>
    <n v="2"/>
    <x v="2"/>
    <x v="2"/>
    <n v="489120"/>
    <n v="3.8"/>
    <n v="5"/>
    <x v="2"/>
    <n v="3.49"/>
    <s v="High"/>
  </r>
  <r>
    <x v="10"/>
    <s v="i5"/>
    <x v="3"/>
    <s v="Performance"/>
    <n v="132666.57999999999"/>
    <n v="82"/>
    <n v="299"/>
    <n v="208.4"/>
    <n v="3.52"/>
    <n v="194"/>
    <n v="1000"/>
    <n v="873"/>
    <s v="AWD"/>
    <n v="7"/>
    <s v="Van"/>
    <n v="68.2"/>
    <n v="1817"/>
    <n v="5"/>
    <n v="1"/>
    <x v="0"/>
    <x v="0"/>
    <n v="71584"/>
    <n v="3.7"/>
    <n v="6"/>
    <x v="0"/>
    <n v="3.65"/>
    <s v="High"/>
  </r>
  <r>
    <x v="4"/>
    <s v="Model X"/>
    <x v="0"/>
    <s v="Premium"/>
    <n v="100324.34"/>
    <n v="79.900000000000006"/>
    <n v="300"/>
    <n v="214.5"/>
    <n v="6.43"/>
    <n v="150"/>
    <n v="724"/>
    <n v="607"/>
    <s v="AWD"/>
    <n v="5"/>
    <s v="Coupe"/>
    <n v="22.9"/>
    <n v="1500"/>
    <n v="4"/>
    <n v="2"/>
    <x v="2"/>
    <x v="0"/>
    <n v="121739"/>
    <n v="3.6"/>
    <n v="4"/>
    <x v="1"/>
    <n v="3.75"/>
    <s v="High"/>
  </r>
  <r>
    <x v="12"/>
    <s v="EL6"/>
    <x v="1"/>
    <s v="Standard"/>
    <n v="69452.42"/>
    <n v="47.9"/>
    <n v="170"/>
    <n v="63.1"/>
    <n v="7.3"/>
    <n v="147"/>
    <n v="514"/>
    <n v="452"/>
    <s v="FWD"/>
    <n v="5"/>
    <s v="Sedan"/>
    <n v="22.3"/>
    <n v="1500"/>
    <n v="5"/>
    <n v="0"/>
    <x v="4"/>
    <x v="2"/>
    <n v="28334"/>
    <n v="3.2"/>
    <n v="5"/>
    <x v="2"/>
    <n v="3.55"/>
    <s v="High"/>
  </r>
  <r>
    <x v="1"/>
    <s v="bZ4X"/>
    <x v="0"/>
    <s v="Base"/>
    <n v="53579.07"/>
    <n v="65.5"/>
    <n v="233"/>
    <n v="141.19999999999999"/>
    <n v="7.84"/>
    <n v="133"/>
    <n v="505"/>
    <n v="443"/>
    <s v="FWD"/>
    <n v="7"/>
    <s v="Coupe"/>
    <n v="36.5"/>
    <n v="1576"/>
    <n v="4"/>
    <n v="0"/>
    <x v="1"/>
    <x v="1"/>
    <n v="16544"/>
    <n v="3.4"/>
    <n v="4"/>
    <x v="2"/>
    <n v="3.56"/>
    <s v="Medium"/>
  </r>
  <r>
    <x v="13"/>
    <s v="R3"/>
    <x v="0"/>
    <s v="Standard"/>
    <n v="81874.34"/>
    <n v="83.6"/>
    <n v="317"/>
    <n v="132.5"/>
    <n v="5.17"/>
    <n v="177"/>
    <n v="866"/>
    <n v="733"/>
    <s v="AWD"/>
    <n v="5"/>
    <s v="Sedan"/>
    <n v="37.9"/>
    <n v="1668"/>
    <n v="4"/>
    <n v="1"/>
    <x v="2"/>
    <x v="2"/>
    <n v="1989"/>
    <n v="3.6"/>
    <n v="4"/>
    <x v="1"/>
    <n v="3.79"/>
    <s v="Low"/>
  </r>
  <r>
    <x v="0"/>
    <s v="ID. Aero"/>
    <x v="2"/>
    <s v="Long Range"/>
    <n v="59514"/>
    <n v="103.6"/>
    <n v="337"/>
    <n v="124.5"/>
    <n v="4.16"/>
    <n v="183"/>
    <n v="577"/>
    <n v="501"/>
    <s v="FWD"/>
    <n v="7"/>
    <s v="SUV"/>
    <n v="68.7"/>
    <n v="1974"/>
    <n v="4"/>
    <n v="2"/>
    <x v="0"/>
    <x v="1"/>
    <n v="230145"/>
    <n v="3.7"/>
    <n v="3"/>
    <x v="1"/>
    <n v="3.25"/>
    <s v="High"/>
  </r>
  <r>
    <x v="4"/>
    <s v="Model 3"/>
    <x v="5"/>
    <s v="Base"/>
    <n v="80808.44"/>
    <n v="42.4"/>
    <n v="154"/>
    <n v="231.2"/>
    <n v="6.51"/>
    <n v="147"/>
    <n v="522"/>
    <n v="481"/>
    <s v="RWD"/>
    <n v="7"/>
    <s v="Coupe"/>
    <n v="39"/>
    <n v="1500"/>
    <n v="5"/>
    <n v="2"/>
    <x v="2"/>
    <x v="2"/>
    <n v="234368"/>
    <n v="3.5"/>
    <n v="5"/>
    <x v="1"/>
    <n v="3.63"/>
    <s v="High"/>
  </r>
  <r>
    <x v="13"/>
    <s v="R2"/>
    <x v="2"/>
    <s v="Standard"/>
    <n v="84156.92"/>
    <n v="68.400000000000006"/>
    <n v="226"/>
    <n v="117"/>
    <n v="5.22"/>
    <n v="165"/>
    <n v="931"/>
    <n v="808"/>
    <s v="FWD"/>
    <n v="5"/>
    <s v="Coupe"/>
    <n v="39.200000000000003"/>
    <n v="1500"/>
    <n v="4"/>
    <n v="0"/>
    <x v="2"/>
    <x v="2"/>
    <n v="29685"/>
    <n v="3.4"/>
    <n v="4"/>
    <x v="1"/>
    <n v="3.3"/>
    <s v="High"/>
  </r>
  <r>
    <x v="0"/>
    <s v="ID.5"/>
    <x v="2"/>
    <s v="Base"/>
    <n v="39960.53"/>
    <n v="63.9"/>
    <n v="252"/>
    <n v="56.8"/>
    <n v="5.58"/>
    <n v="165"/>
    <n v="316"/>
    <n v="259"/>
    <s v="AWD"/>
    <n v="5"/>
    <s v="Sedan"/>
    <n v="19.7"/>
    <n v="1793"/>
    <n v="4"/>
    <n v="0"/>
    <x v="0"/>
    <x v="1"/>
    <n v="212818"/>
    <n v="3.5"/>
    <n v="3"/>
    <x v="1"/>
    <n v="3.94"/>
    <s v="High"/>
  </r>
  <r>
    <x v="6"/>
    <s v="Ronin"/>
    <x v="2"/>
    <s v="Long Range"/>
    <n v="115878.52"/>
    <n v="94.5"/>
    <n v="334"/>
    <n v="67.599999999999994"/>
    <n v="5.43"/>
    <n v="166"/>
    <n v="983"/>
    <n v="908"/>
    <s v="AWD"/>
    <n v="7"/>
    <s v="Truck"/>
    <n v="75.5"/>
    <n v="2039"/>
    <n v="4"/>
    <n v="1"/>
    <x v="2"/>
    <x v="0"/>
    <n v="6077"/>
    <n v="3.6"/>
    <n v="5"/>
    <x v="1"/>
    <n v="3.53"/>
    <s v="Medium"/>
  </r>
  <r>
    <x v="1"/>
    <s v="bZ Compact SUV"/>
    <x v="2"/>
    <s v="Long Range"/>
    <n v="64461.760000000002"/>
    <n v="85.4"/>
    <n v="288"/>
    <n v="86.3"/>
    <n v="4.5"/>
    <n v="180"/>
    <n v="774"/>
    <n v="731"/>
    <s v="FWD"/>
    <n v="7"/>
    <s v="SUV"/>
    <n v="64.400000000000006"/>
    <n v="2334"/>
    <n v="4"/>
    <n v="2"/>
    <x v="1"/>
    <x v="1"/>
    <n v="1214"/>
    <n v="3.8"/>
    <n v="4"/>
    <x v="1"/>
    <n v="3.37"/>
    <s v="Low"/>
  </r>
  <r>
    <x v="5"/>
    <s v="EQG"/>
    <x v="0"/>
    <s v="Performance"/>
    <n v="181026.58"/>
    <n v="110.6"/>
    <n v="370"/>
    <n v="212.6"/>
    <n v="2.8"/>
    <n v="200"/>
    <n v="1000"/>
    <n v="801"/>
    <s v="FWD"/>
    <n v="5"/>
    <s v="Truck"/>
    <n v="79.099999999999994"/>
    <n v="2572"/>
    <n v="4"/>
    <n v="1"/>
    <x v="0"/>
    <x v="0"/>
    <n v="35248"/>
    <n v="3.9"/>
    <n v="8"/>
    <x v="0"/>
    <n v="3.35"/>
    <s v="High"/>
  </r>
  <r>
    <x v="7"/>
    <s v="Yuan Plus"/>
    <x v="3"/>
    <s v="Long Range"/>
    <n v="48600.01"/>
    <n v="81.400000000000006"/>
    <n v="288"/>
    <n v="69.599999999999994"/>
    <n v="5.38"/>
    <n v="167"/>
    <n v="474"/>
    <n v="373"/>
    <s v="FWD"/>
    <n v="5"/>
    <s v="Sedan"/>
    <n v="33.4"/>
    <n v="1500"/>
    <n v="4"/>
    <n v="0"/>
    <x v="4"/>
    <x v="1"/>
    <n v="222634"/>
    <n v="3.7"/>
    <n v="5"/>
    <x v="1"/>
    <n v="3.54"/>
    <s v="High"/>
  </r>
  <r>
    <x v="0"/>
    <s v="ID.3"/>
    <x v="0"/>
    <s v="Premium"/>
    <n v="40146.71"/>
    <n v="41.6"/>
    <n v="150"/>
    <n v="95.1"/>
    <n v="7.26"/>
    <n v="142"/>
    <n v="312"/>
    <n v="299"/>
    <s v="AWD"/>
    <n v="7"/>
    <s v="Coupe"/>
    <n v="37.299999999999997"/>
    <n v="1894"/>
    <n v="4"/>
    <n v="0"/>
    <x v="0"/>
    <x v="1"/>
    <n v="229072"/>
    <n v="3.1"/>
    <n v="5"/>
    <x v="2"/>
    <n v="3.61"/>
    <s v="High"/>
  </r>
  <r>
    <x v="5"/>
    <s v="GLE EV"/>
    <x v="0"/>
    <s v="Long Range"/>
    <n v="182443.72"/>
    <n v="104.6"/>
    <n v="359"/>
    <n v="140.1"/>
    <n v="5.1100000000000003"/>
    <n v="174"/>
    <n v="1000"/>
    <n v="903"/>
    <s v="RWD"/>
    <n v="7"/>
    <s v="Sedan"/>
    <n v="35.4"/>
    <n v="1500"/>
    <n v="4"/>
    <n v="2"/>
    <x v="0"/>
    <x v="0"/>
    <n v="20765"/>
    <n v="4.0999999999999996"/>
    <n v="8"/>
    <x v="1"/>
    <n v="3.43"/>
    <s v="High"/>
  </r>
  <r>
    <x v="7"/>
    <s v="Atto 3"/>
    <x v="1"/>
    <s v="Performance"/>
    <n v="38276.480000000003"/>
    <n v="92"/>
    <n v="283"/>
    <n v="217.9"/>
    <n v="3.34"/>
    <n v="199"/>
    <n v="395"/>
    <n v="370"/>
    <s v="RWD"/>
    <n v="5"/>
    <s v="Van"/>
    <n v="73.900000000000006"/>
    <n v="1520"/>
    <n v="4"/>
    <n v="1"/>
    <x v="4"/>
    <x v="1"/>
    <n v="175542"/>
    <n v="3.4"/>
    <n v="5"/>
    <x v="0"/>
    <n v="3.08"/>
    <s v="High"/>
  </r>
  <r>
    <x v="4"/>
    <s v="Cybertruck"/>
    <x v="3"/>
    <s v="Performance"/>
    <n v="116077.71"/>
    <n v="118.6"/>
    <n v="428"/>
    <n v="233.8"/>
    <n v="3.86"/>
    <n v="189"/>
    <n v="859"/>
    <n v="763"/>
    <s v="FWD"/>
    <n v="5"/>
    <s v="Truck"/>
    <n v="56.7"/>
    <n v="2613"/>
    <n v="5"/>
    <n v="2"/>
    <x v="2"/>
    <x v="0"/>
    <n v="150657"/>
    <n v="4.2"/>
    <n v="5"/>
    <x v="0"/>
    <n v="3.61"/>
    <s v="High"/>
  </r>
  <r>
    <x v="3"/>
    <s v="EV9"/>
    <x v="3"/>
    <s v="Long Range"/>
    <n v="56772.77"/>
    <n v="100.2"/>
    <n v="356"/>
    <n v="143.1"/>
    <n v="5.58"/>
    <n v="167"/>
    <n v="564"/>
    <n v="536"/>
    <s v="RWD"/>
    <n v="5"/>
    <s v="SUV"/>
    <n v="44.5"/>
    <n v="2199"/>
    <n v="4"/>
    <n v="0"/>
    <x v="3"/>
    <x v="1"/>
    <n v="99235"/>
    <n v="3.7"/>
    <n v="3"/>
    <x v="1"/>
    <n v="3.55"/>
    <s v="High"/>
  </r>
  <r>
    <x v="12"/>
    <s v="EL8"/>
    <x v="3"/>
    <s v="Premium"/>
    <n v="87478.76"/>
    <n v="48.6"/>
    <n v="172"/>
    <n v="148.9"/>
    <n v="5.5"/>
    <n v="164"/>
    <n v="804"/>
    <n v="708"/>
    <s v="RWD"/>
    <n v="7"/>
    <s v="SUV"/>
    <n v="52.5"/>
    <n v="2018"/>
    <n v="4"/>
    <n v="1"/>
    <x v="4"/>
    <x v="2"/>
    <n v="16505"/>
    <n v="3.4"/>
    <n v="3"/>
    <x v="1"/>
    <n v="3.54"/>
    <s v="Medium"/>
  </r>
  <r>
    <x v="2"/>
    <s v="Bolt EUV"/>
    <x v="3"/>
    <s v="Long Range"/>
    <n v="68470.14"/>
    <n v="87.2"/>
    <n v="293"/>
    <n v="84.2"/>
    <n v="5.66"/>
    <n v="157"/>
    <n v="950"/>
    <n v="828"/>
    <s v="AWD"/>
    <n v="7"/>
    <s v="Van"/>
    <n v="74.099999999999994"/>
    <n v="1500"/>
    <n v="4"/>
    <n v="2"/>
    <x v="2"/>
    <x v="2"/>
    <n v="14899"/>
    <n v="3.3"/>
    <n v="4"/>
    <x v="1"/>
    <n v="3.36"/>
    <s v="Medium"/>
  </r>
  <r>
    <x v="3"/>
    <s v="EV9"/>
    <x v="3"/>
    <s v="Premium"/>
    <n v="89987.27"/>
    <n v="70.400000000000006"/>
    <n v="245"/>
    <n v="88.3"/>
    <n v="5.67"/>
    <n v="174"/>
    <n v="1000"/>
    <n v="935"/>
    <s v="AWD"/>
    <n v="7"/>
    <s v="SUV"/>
    <n v="36.700000000000003"/>
    <n v="2020"/>
    <n v="4"/>
    <n v="0"/>
    <x v="3"/>
    <x v="2"/>
    <n v="123485"/>
    <n v="3.5"/>
    <n v="4"/>
    <x v="1"/>
    <n v="3.48"/>
    <s v="High"/>
  </r>
  <r>
    <x v="4"/>
    <s v="Model S"/>
    <x v="0"/>
    <s v="Premium"/>
    <n v="76607.64"/>
    <n v="81.099999999999994"/>
    <n v="288"/>
    <n v="315.7"/>
    <n v="7.64"/>
    <n v="137"/>
    <n v="556"/>
    <n v="538"/>
    <s v="AWD"/>
    <n v="7"/>
    <s v="Van"/>
    <n v="69.5"/>
    <n v="1617"/>
    <n v="3"/>
    <n v="3"/>
    <x v="2"/>
    <x v="2"/>
    <n v="244244"/>
    <n v="3.8"/>
    <n v="4"/>
    <x v="2"/>
    <n v="3.55"/>
    <s v="High"/>
  </r>
  <r>
    <x v="3"/>
    <s v="Picanto EV"/>
    <x v="1"/>
    <s v="Long Range"/>
    <n v="76439.210000000006"/>
    <n v="93"/>
    <n v="337"/>
    <n v="94"/>
    <n v="5.8"/>
    <n v="164"/>
    <n v="893"/>
    <n v="853"/>
    <s v="FWD"/>
    <n v="5"/>
    <s v="Truck"/>
    <n v="75.099999999999994"/>
    <n v="2689"/>
    <n v="5"/>
    <n v="0"/>
    <x v="3"/>
    <x v="2"/>
    <n v="85577"/>
    <n v="3.7"/>
    <n v="3"/>
    <x v="1"/>
    <n v="3.62"/>
    <s v="High"/>
  </r>
  <r>
    <x v="15"/>
    <s v="XC90 Recharge"/>
    <x v="3"/>
    <s v="Performance"/>
    <n v="106316.66"/>
    <n v="104.3"/>
    <n v="367"/>
    <n v="231.2"/>
    <n v="4.12"/>
    <n v="193"/>
    <n v="1000"/>
    <n v="898"/>
    <s v="RWD"/>
    <n v="5"/>
    <s v="Van"/>
    <n v="60.8"/>
    <n v="1794"/>
    <n v="5"/>
    <n v="0"/>
    <x v="5"/>
    <x v="0"/>
    <n v="8684"/>
    <n v="3.9"/>
    <n v="4"/>
    <x v="1"/>
    <n v="3.52"/>
    <s v="Medium"/>
  </r>
  <r>
    <x v="4"/>
    <s v="Model Y"/>
    <x v="3"/>
    <s v="Premium"/>
    <n v="83799.48"/>
    <n v="74.599999999999994"/>
    <n v="276"/>
    <n v="279.2"/>
    <n v="6.55"/>
    <n v="153"/>
    <n v="644"/>
    <n v="594"/>
    <s v="RWD"/>
    <n v="5"/>
    <s v="Truck"/>
    <n v="55.2"/>
    <n v="2793"/>
    <n v="5"/>
    <n v="2"/>
    <x v="2"/>
    <x v="2"/>
    <n v="427228"/>
    <n v="4.2"/>
    <n v="4"/>
    <x v="1"/>
    <n v="3.7"/>
    <s v="High"/>
  </r>
  <r>
    <x v="8"/>
    <s v="Ioniq"/>
    <x v="2"/>
    <s v="Base"/>
    <n v="50276.57"/>
    <n v="73.2"/>
    <n v="241"/>
    <n v="96.2"/>
    <n v="7.53"/>
    <n v="138"/>
    <n v="521"/>
    <n v="483"/>
    <s v="RWD"/>
    <n v="5"/>
    <s v="Van"/>
    <n v="72.900000000000006"/>
    <n v="1533"/>
    <n v="3"/>
    <n v="1"/>
    <x v="3"/>
    <x v="1"/>
    <n v="126203"/>
    <n v="3.4"/>
    <n v="4"/>
    <x v="2"/>
    <n v="3.29"/>
    <s v="High"/>
  </r>
  <r>
    <x v="11"/>
    <s v="e-tron GT"/>
    <x v="1"/>
    <s v="Premium"/>
    <n v="98374.44"/>
    <n v="50.7"/>
    <n v="166"/>
    <n v="145.4"/>
    <n v="5.67"/>
    <n v="164"/>
    <n v="699"/>
    <n v="652"/>
    <s v="RWD"/>
    <n v="5"/>
    <s v="Truck"/>
    <n v="55.3"/>
    <n v="2533"/>
    <n v="5"/>
    <n v="1"/>
    <x v="0"/>
    <x v="2"/>
    <n v="45293"/>
    <n v="3.1"/>
    <n v="7"/>
    <x v="1"/>
    <n v="3.27"/>
    <s v="High"/>
  </r>
  <r>
    <x v="2"/>
    <s v="Equinox EV"/>
    <x v="3"/>
    <s v="Performance"/>
    <n v="101369.89"/>
    <n v="89.3"/>
    <n v="325"/>
    <n v="206.4"/>
    <n v="3.53"/>
    <n v="195"/>
    <n v="1000"/>
    <n v="948"/>
    <s v="AWD"/>
    <n v="7"/>
    <s v="SUV"/>
    <n v="39.700000000000003"/>
    <n v="1831"/>
    <n v="3"/>
    <n v="0"/>
    <x v="2"/>
    <x v="0"/>
    <n v="27681"/>
    <n v="3.4"/>
    <n v="3"/>
    <x v="0"/>
    <n v="3.64"/>
    <s v="High"/>
  </r>
  <r>
    <x v="2"/>
    <s v="Blazer EV"/>
    <x v="3"/>
    <s v="Base"/>
    <n v="61000.06"/>
    <n v="63.4"/>
    <n v="250"/>
    <n v="146.1"/>
    <n v="6.81"/>
    <n v="151"/>
    <n v="774"/>
    <n v="697"/>
    <s v="AWD"/>
    <n v="5"/>
    <s v="Truck"/>
    <n v="71.400000000000006"/>
    <n v="2734"/>
    <n v="4"/>
    <n v="0"/>
    <x v="2"/>
    <x v="1"/>
    <n v="3536"/>
    <n v="3.7"/>
    <n v="4"/>
    <x v="1"/>
    <n v="3.94"/>
    <s v="Low"/>
  </r>
  <r>
    <x v="2"/>
    <s v="Silverado EV"/>
    <x v="3"/>
    <s v="Premium"/>
    <n v="56307.41"/>
    <n v="55"/>
    <n v="193"/>
    <n v="101.8"/>
    <n v="6.37"/>
    <n v="155"/>
    <n v="631"/>
    <n v="564"/>
    <s v="RWD"/>
    <n v="5"/>
    <s v="Sedan"/>
    <n v="24.8"/>
    <n v="1699"/>
    <n v="4"/>
    <n v="0"/>
    <x v="2"/>
    <x v="1"/>
    <n v="25746"/>
    <n v="3.3"/>
    <n v="4"/>
    <x v="1"/>
    <n v="3.51"/>
    <s v="High"/>
  </r>
  <r>
    <x v="0"/>
    <s v="ID.4"/>
    <x v="4"/>
    <s v="Premium"/>
    <n v="107417.79"/>
    <n v="54.2"/>
    <n v="201"/>
    <n v="75.7"/>
    <n v="5.0599999999999996"/>
    <n v="176"/>
    <n v="1000"/>
    <n v="872"/>
    <s v="AWD"/>
    <n v="5"/>
    <s v="Hatchback"/>
    <n v="30.6"/>
    <n v="1514"/>
    <n v="5"/>
    <n v="2"/>
    <x v="0"/>
    <x v="0"/>
    <n v="254098"/>
    <n v="3.4"/>
    <n v="4"/>
    <x v="1"/>
    <n v="3.71"/>
    <s v="High"/>
  </r>
  <r>
    <x v="7"/>
    <s v="Leaf 50X"/>
    <x v="2"/>
    <s v="Performance"/>
    <n v="118468.84"/>
    <n v="86.8"/>
    <n v="291"/>
    <n v="170"/>
    <n v="3.33"/>
    <n v="200"/>
    <n v="1000"/>
    <n v="892"/>
    <s v="AWD"/>
    <n v="5"/>
    <s v="Coupe"/>
    <n v="37.6"/>
    <n v="1584"/>
    <n v="4"/>
    <n v="0"/>
    <x v="4"/>
    <x v="0"/>
    <n v="209498"/>
    <n v="3.8"/>
    <n v="3"/>
    <x v="0"/>
    <n v="3.35"/>
    <s v="High"/>
  </r>
  <r>
    <x v="9"/>
    <s v="Explorer EV"/>
    <x v="3"/>
    <s v="Long Range"/>
    <n v="92751.53"/>
    <n v="76.2"/>
    <n v="247"/>
    <n v="133.69999999999999"/>
    <n v="5.0199999999999996"/>
    <n v="178"/>
    <n v="1000"/>
    <n v="868"/>
    <s v="FWD"/>
    <n v="7"/>
    <s v="Truck"/>
    <n v="55.9"/>
    <n v="2390"/>
    <n v="4"/>
    <n v="0"/>
    <x v="2"/>
    <x v="2"/>
    <n v="70352"/>
    <n v="3.3"/>
    <n v="3"/>
    <x v="1"/>
    <n v="3.24"/>
    <s v="High"/>
  </r>
  <r>
    <x v="9"/>
    <s v="Mustang Mach-E"/>
    <x v="2"/>
    <s v="Base"/>
    <n v="52120.46"/>
    <n v="64.5"/>
    <n v="208"/>
    <n v="114.7"/>
    <n v="5.13"/>
    <n v="181"/>
    <n v="502"/>
    <n v="432"/>
    <s v="FWD"/>
    <n v="7"/>
    <s v="Coupe"/>
    <n v="35.6"/>
    <n v="1529"/>
    <n v="4"/>
    <n v="0"/>
    <x v="2"/>
    <x v="1"/>
    <n v="29029"/>
    <n v="3.2"/>
    <n v="4"/>
    <x v="1"/>
    <n v="3.22"/>
    <s v="High"/>
  </r>
  <r>
    <x v="5"/>
    <s v="EQC"/>
    <x v="2"/>
    <s v="Long Range"/>
    <n v="169395.24"/>
    <n v="99.7"/>
    <n v="323"/>
    <n v="138.5"/>
    <n v="5.15"/>
    <n v="172"/>
    <n v="1000"/>
    <n v="874"/>
    <s v="RWD"/>
    <n v="5"/>
    <s v="Truck"/>
    <n v="59.3"/>
    <n v="2679"/>
    <n v="3"/>
    <n v="2"/>
    <x v="0"/>
    <x v="0"/>
    <n v="60151"/>
    <n v="3.9"/>
    <n v="7"/>
    <x v="1"/>
    <n v="3.24"/>
    <s v="High"/>
  </r>
  <r>
    <x v="11"/>
    <s v="e-tron GT"/>
    <x v="4"/>
    <s v="Base"/>
    <n v="80311.97"/>
    <n v="74.599999999999994"/>
    <n v="241"/>
    <n v="114.4"/>
    <n v="5.32"/>
    <n v="157"/>
    <n v="510"/>
    <n v="457"/>
    <s v="AWD"/>
    <n v="5"/>
    <s v="Sedan"/>
    <n v="21.5"/>
    <n v="1509"/>
    <n v="5"/>
    <n v="2"/>
    <x v="0"/>
    <x v="2"/>
    <n v="55803"/>
    <n v="3.5"/>
    <n v="6"/>
    <x v="1"/>
    <n v="3.23"/>
    <s v="High"/>
  </r>
  <r>
    <x v="8"/>
    <s v="Ioniq 5"/>
    <x v="1"/>
    <s v="Premium"/>
    <n v="72159.44"/>
    <n v="56.2"/>
    <n v="163"/>
    <n v="114.1"/>
    <n v="7.7"/>
    <n v="132"/>
    <n v="890"/>
    <n v="768"/>
    <s v="AWD"/>
    <n v="7"/>
    <s v="Van"/>
    <n v="75.8"/>
    <n v="1500"/>
    <n v="4"/>
    <n v="0"/>
    <x v="3"/>
    <x v="2"/>
    <n v="119329"/>
    <n v="3.4"/>
    <n v="4"/>
    <x v="2"/>
    <n v="2.9"/>
    <s v="High"/>
  </r>
  <r>
    <x v="8"/>
    <s v="Ioniq 6"/>
    <x v="3"/>
    <s v="Long Range"/>
    <n v="37714.46"/>
    <n v="105.8"/>
    <n v="359"/>
    <n v="96.8"/>
    <n v="5.2"/>
    <n v="170"/>
    <n v="313"/>
    <n v="268"/>
    <s v="RWD"/>
    <n v="7"/>
    <s v="Truck"/>
    <n v="57.8"/>
    <n v="2452"/>
    <n v="4"/>
    <n v="0"/>
    <x v="3"/>
    <x v="1"/>
    <n v="77052"/>
    <n v="3.9"/>
    <n v="5"/>
    <x v="1"/>
    <n v="3.39"/>
    <s v="High"/>
  </r>
  <r>
    <x v="9"/>
    <s v="Mustang Mach-E"/>
    <x v="0"/>
    <s v="Long Range"/>
    <n v="63827.68"/>
    <n v="85.8"/>
    <n v="270"/>
    <n v="133.9"/>
    <n v="4.5999999999999996"/>
    <n v="180"/>
    <n v="665"/>
    <n v="610"/>
    <s v="FWD"/>
    <n v="7"/>
    <s v="Truck"/>
    <n v="59.4"/>
    <n v="2431"/>
    <n v="4"/>
    <n v="0"/>
    <x v="2"/>
    <x v="1"/>
    <n v="74506"/>
    <n v="3.4"/>
    <n v="3"/>
    <x v="1"/>
    <n v="3.15"/>
    <s v="High"/>
  </r>
  <r>
    <x v="10"/>
    <s v="i7"/>
    <x v="3"/>
    <s v="Premium"/>
    <n v="150512.16"/>
    <n v="44.6"/>
    <n v="150"/>
    <n v="132.1"/>
    <n v="5.28"/>
    <n v="170"/>
    <n v="1000"/>
    <n v="905"/>
    <s v="RWD"/>
    <n v="7"/>
    <s v="Hatchback"/>
    <n v="20.5"/>
    <n v="1765"/>
    <n v="4"/>
    <n v="2"/>
    <x v="0"/>
    <x v="0"/>
    <n v="47379"/>
    <n v="3.3"/>
    <n v="8"/>
    <x v="1"/>
    <n v="3.36"/>
    <s v="High"/>
  </r>
  <r>
    <x v="2"/>
    <s v="Bolt EUV"/>
    <x v="0"/>
    <s v="Performance"/>
    <n v="74889.56"/>
    <n v="92.7"/>
    <n v="312"/>
    <n v="151.1"/>
    <n v="4.05"/>
    <n v="193"/>
    <n v="994"/>
    <n v="937"/>
    <s v="RWD"/>
    <n v="7"/>
    <s v="Coupe"/>
    <n v="17.5"/>
    <n v="1704"/>
    <n v="4"/>
    <n v="2"/>
    <x v="2"/>
    <x v="2"/>
    <n v="29402"/>
    <n v="3.6"/>
    <n v="3"/>
    <x v="1"/>
    <n v="3.37"/>
    <s v="High"/>
  </r>
  <r>
    <x v="9"/>
    <s v="F-150 Lightning"/>
    <x v="3"/>
    <s v="Long Range"/>
    <n v="66474.899999999994"/>
    <n v="78.5"/>
    <n v="273"/>
    <n v="146"/>
    <n v="5.39"/>
    <n v="168"/>
    <n v="721"/>
    <n v="687"/>
    <s v="FWD"/>
    <n v="4"/>
    <s v="Truck"/>
    <n v="69.3"/>
    <n v="2671"/>
    <n v="4"/>
    <n v="0"/>
    <x v="2"/>
    <x v="2"/>
    <n v="43803"/>
    <n v="3.5"/>
    <n v="5"/>
    <x v="1"/>
    <n v="3.48"/>
    <s v="High"/>
  </r>
  <r>
    <x v="11"/>
    <s v="Q6 e-tron"/>
    <x v="6"/>
    <s v="Long Range"/>
    <n v="76665.86"/>
    <n v="103.7"/>
    <n v="353"/>
    <n v="63"/>
    <n v="5.43"/>
    <n v="165"/>
    <n v="449"/>
    <n v="388"/>
    <s v="AWD"/>
    <n v="5"/>
    <s v="Hatchback"/>
    <n v="29.6"/>
    <n v="1563"/>
    <n v="4"/>
    <n v="1"/>
    <x v="0"/>
    <x v="2"/>
    <n v="32828"/>
    <n v="3.4"/>
    <n v="5"/>
    <x v="1"/>
    <n v="3.4"/>
    <s v="High"/>
  </r>
  <r>
    <x v="7"/>
    <s v="Dolphin"/>
    <x v="3"/>
    <s v="Base"/>
    <n v="42876.18"/>
    <n v="78.3"/>
    <n v="263"/>
    <n v="87.3"/>
    <n v="5.69"/>
    <n v="161"/>
    <n v="415"/>
    <n v="379"/>
    <s v="FWD"/>
    <n v="7"/>
    <s v="SUV"/>
    <n v="41.7"/>
    <n v="2370"/>
    <n v="5"/>
    <n v="2"/>
    <x v="4"/>
    <x v="1"/>
    <n v="158327"/>
    <n v="3.3"/>
    <n v="3"/>
    <x v="1"/>
    <n v="3.36"/>
    <s v="High"/>
  </r>
  <r>
    <x v="0"/>
    <s v="ID. Buzz"/>
    <x v="5"/>
    <s v="Standard"/>
    <n v="43538.73"/>
    <n v="62.3"/>
    <n v="231"/>
    <n v="100"/>
    <n v="5.92"/>
    <n v="165"/>
    <n v="299"/>
    <n v="249"/>
    <s v="RWD"/>
    <n v="5"/>
    <s v="Van"/>
    <n v="70.599999999999994"/>
    <n v="1732"/>
    <n v="4"/>
    <n v="1"/>
    <x v="0"/>
    <x v="1"/>
    <n v="228329"/>
    <n v="3.2"/>
    <n v="3"/>
    <x v="1"/>
    <n v="3.71"/>
    <s v="High"/>
  </r>
  <r>
    <x v="4"/>
    <s v="Cybertruck"/>
    <x v="0"/>
    <s v="Base"/>
    <n v="104581.09"/>
    <n v="50.5"/>
    <n v="185"/>
    <n v="345.6"/>
    <n v="6.12"/>
    <n v="165"/>
    <n v="743"/>
    <n v="674"/>
    <s v="FWD"/>
    <n v="7"/>
    <s v="Truck"/>
    <n v="66.2"/>
    <n v="2370"/>
    <n v="5"/>
    <n v="2"/>
    <x v="2"/>
    <x v="0"/>
    <n v="156090"/>
    <n v="3.5"/>
    <n v="6"/>
    <x v="1"/>
    <n v="3.66"/>
    <s v="High"/>
  </r>
  <r>
    <x v="3"/>
    <s v="EV6"/>
    <x v="1"/>
    <s v="Long Range"/>
    <n v="90771.15"/>
    <n v="86.2"/>
    <n v="305"/>
    <n v="132.4"/>
    <n v="4.21"/>
    <n v="179"/>
    <n v="1000"/>
    <n v="874"/>
    <s v="FWD"/>
    <n v="5"/>
    <s v="Truck"/>
    <n v="78.900000000000006"/>
    <n v="2457"/>
    <n v="4"/>
    <n v="0"/>
    <x v="3"/>
    <x v="2"/>
    <n v="86318"/>
    <n v="3.5"/>
    <n v="3"/>
    <x v="1"/>
    <n v="3.54"/>
    <s v="High"/>
  </r>
  <r>
    <x v="4"/>
    <s v="Model S"/>
    <x v="1"/>
    <s v="Premium"/>
    <n v="59089.35"/>
    <n v="76.7"/>
    <n v="268"/>
    <n v="244.8"/>
    <n v="6.91"/>
    <n v="153"/>
    <n v="380"/>
    <n v="319"/>
    <s v="RWD"/>
    <n v="5"/>
    <s v="Sedan"/>
    <n v="36.700000000000003"/>
    <n v="1500"/>
    <n v="5"/>
    <n v="2"/>
    <x v="2"/>
    <x v="1"/>
    <n v="130707"/>
    <n v="3.6"/>
    <n v="5"/>
    <x v="1"/>
    <n v="3.49"/>
    <s v="High"/>
  </r>
  <r>
    <x v="8"/>
    <s v="Ioniq"/>
    <x v="2"/>
    <s v="Performance"/>
    <n v="50087.55"/>
    <n v="104.8"/>
    <n v="362"/>
    <n v="185.1"/>
    <n v="4.0199999999999996"/>
    <n v="188"/>
    <n v="578"/>
    <n v="543"/>
    <s v="FWD"/>
    <n v="7"/>
    <s v="Truck"/>
    <n v="62.2"/>
    <n v="2466"/>
    <n v="5"/>
    <n v="0"/>
    <x v="3"/>
    <x v="1"/>
    <n v="62703"/>
    <n v="3.9"/>
    <n v="3"/>
    <x v="1"/>
    <n v="3.45"/>
    <s v="High"/>
  </r>
  <r>
    <x v="3"/>
    <s v="EV6"/>
    <x v="3"/>
    <s v="Performance"/>
    <n v="117331.76"/>
    <n v="116.3"/>
    <n v="411"/>
    <n v="186.7"/>
    <n v="2.71"/>
    <n v="200"/>
    <n v="1000"/>
    <n v="905"/>
    <s v="RWD"/>
    <n v="5"/>
    <s v="Coupe"/>
    <n v="37.4"/>
    <n v="1704"/>
    <n v="4"/>
    <n v="0"/>
    <x v="3"/>
    <x v="0"/>
    <n v="108933"/>
    <n v="3.6"/>
    <n v="4"/>
    <x v="0"/>
    <n v="3.53"/>
    <s v="High"/>
  </r>
  <r>
    <x v="7"/>
    <s v="Max"/>
    <x v="2"/>
    <s v="Base"/>
    <n v="36467.370000000003"/>
    <n v="45"/>
    <n v="150"/>
    <n v="140.9"/>
    <n v="5.31"/>
    <n v="169"/>
    <n v="406"/>
    <n v="327"/>
    <s v="RWD"/>
    <n v="5"/>
    <s v="Coupe"/>
    <n v="24"/>
    <n v="1558"/>
    <n v="4"/>
    <n v="1"/>
    <x v="4"/>
    <x v="1"/>
    <n v="220450"/>
    <n v="3.2"/>
    <n v="4"/>
    <x v="1"/>
    <n v="3.33"/>
    <s v="High"/>
  </r>
  <r>
    <x v="3"/>
    <s v="EV6"/>
    <x v="3"/>
    <s v="Base"/>
    <n v="74609.83"/>
    <n v="44.7"/>
    <n v="153"/>
    <n v="82.8"/>
    <n v="5.63"/>
    <n v="165"/>
    <n v="763"/>
    <n v="677"/>
    <s v="RWD"/>
    <n v="5"/>
    <s v="Truck"/>
    <n v="50.4"/>
    <n v="2255"/>
    <n v="5"/>
    <n v="1"/>
    <x v="3"/>
    <x v="2"/>
    <n v="84247"/>
    <n v="3.4"/>
    <n v="3"/>
    <x v="1"/>
    <n v="3.42"/>
    <s v="High"/>
  </r>
  <r>
    <x v="4"/>
    <s v="Cybertruck"/>
    <x v="3"/>
    <s v="Base"/>
    <n v="87113.04"/>
    <n v="47.4"/>
    <n v="150"/>
    <n v="233.9"/>
    <n v="5.08"/>
    <n v="176"/>
    <n v="649"/>
    <n v="602"/>
    <s v="RWD"/>
    <n v="5"/>
    <s v="Truck"/>
    <n v="77.099999999999994"/>
    <n v="2639"/>
    <n v="4"/>
    <n v="2"/>
    <x v="2"/>
    <x v="2"/>
    <n v="217680"/>
    <n v="3.6"/>
    <n v="4"/>
    <x v="1"/>
    <n v="3.16"/>
    <s v="High"/>
  </r>
  <r>
    <x v="4"/>
    <s v="Cybertruck"/>
    <x v="3"/>
    <s v="Performance"/>
    <n v="166572.78"/>
    <n v="117.8"/>
    <n v="398"/>
    <n v="203"/>
    <n v="3.46"/>
    <n v="200"/>
    <n v="1000"/>
    <n v="903"/>
    <s v="AWD"/>
    <n v="5"/>
    <s v="Truck"/>
    <n v="72.900000000000006"/>
    <n v="2600"/>
    <n v="5"/>
    <n v="2"/>
    <x v="2"/>
    <x v="0"/>
    <n v="229037"/>
    <n v="4.4000000000000004"/>
    <n v="6"/>
    <x v="0"/>
    <n v="3.38"/>
    <s v="High"/>
  </r>
  <r>
    <x v="5"/>
    <s v="GLE EV"/>
    <x v="2"/>
    <s v="Base"/>
    <n v="116775.93"/>
    <n v="78.599999999999994"/>
    <n v="259"/>
    <n v="119.6"/>
    <n v="5.62"/>
    <n v="166"/>
    <n v="633"/>
    <n v="567"/>
    <s v="RWD"/>
    <n v="5"/>
    <s v="Hatchback"/>
    <n v="29"/>
    <n v="1558"/>
    <n v="4"/>
    <n v="1"/>
    <x v="0"/>
    <x v="0"/>
    <n v="43904"/>
    <n v="3.6"/>
    <n v="6"/>
    <x v="1"/>
    <n v="3.3"/>
    <s v="High"/>
  </r>
  <r>
    <x v="0"/>
    <s v="ID.3"/>
    <x v="2"/>
    <s v="Premium"/>
    <n v="98791.59"/>
    <n v="77"/>
    <n v="250"/>
    <n v="96.8"/>
    <n v="7.9"/>
    <n v="133"/>
    <n v="1000"/>
    <n v="918"/>
    <s v="AWD"/>
    <n v="5"/>
    <s v="Hatchback"/>
    <n v="25.9"/>
    <n v="1840"/>
    <n v="5"/>
    <n v="0"/>
    <x v="0"/>
    <x v="2"/>
    <n v="289215"/>
    <n v="3.5"/>
    <n v="4"/>
    <x v="2"/>
    <n v="3.25"/>
    <s v="High"/>
  </r>
  <r>
    <x v="4"/>
    <s v="Model S"/>
    <x v="0"/>
    <s v="Base"/>
    <n v="56750.25"/>
    <n v="40.5"/>
    <n v="163"/>
    <n v="297.60000000000002"/>
    <n v="7.9"/>
    <n v="136"/>
    <n v="387"/>
    <n v="382"/>
    <s v="AWD"/>
    <n v="5"/>
    <s v="Van"/>
    <n v="72.2"/>
    <n v="1500"/>
    <n v="4"/>
    <n v="2"/>
    <x v="2"/>
    <x v="1"/>
    <n v="175034"/>
    <n v="3.9"/>
    <n v="4"/>
    <x v="2"/>
    <n v="4.0199999999999996"/>
    <s v="High"/>
  </r>
  <r>
    <x v="8"/>
    <s v="Kona Electric"/>
    <x v="2"/>
    <s v="Premium"/>
    <n v="75053.58"/>
    <n v="43"/>
    <n v="154"/>
    <n v="117.1"/>
    <n v="7.11"/>
    <n v="150"/>
    <n v="943"/>
    <n v="794"/>
    <s v="RWD"/>
    <n v="7"/>
    <s v="Truck"/>
    <n v="72.400000000000006"/>
    <n v="2127"/>
    <n v="4"/>
    <n v="1"/>
    <x v="3"/>
    <x v="2"/>
    <n v="86699"/>
    <n v="3.4"/>
    <n v="4"/>
    <x v="2"/>
    <n v="3.58"/>
    <s v="High"/>
  </r>
  <r>
    <x v="9"/>
    <s v="E-Transit"/>
    <x v="3"/>
    <s v="Standard"/>
    <n v="49970.16"/>
    <n v="77.5"/>
    <n v="267"/>
    <n v="56.6"/>
    <n v="5"/>
    <n v="181"/>
    <n v="406"/>
    <n v="375"/>
    <s v="RWD"/>
    <n v="7"/>
    <s v="Truck"/>
    <n v="54"/>
    <n v="2803"/>
    <n v="4"/>
    <n v="1"/>
    <x v="2"/>
    <x v="1"/>
    <n v="35218"/>
    <n v="3.6"/>
    <n v="3"/>
    <x v="1"/>
    <n v="3.45"/>
    <s v="High"/>
  </r>
  <r>
    <x v="7"/>
    <s v="Max"/>
    <x v="2"/>
    <s v="Standard"/>
    <n v="39727.71"/>
    <n v="45.3"/>
    <n v="154"/>
    <n v="108.8"/>
    <n v="5.19"/>
    <n v="170"/>
    <n v="400"/>
    <n v="312"/>
    <s v="AWD"/>
    <n v="7"/>
    <s v="Van"/>
    <n v="74.900000000000006"/>
    <n v="1609"/>
    <n v="4"/>
    <n v="1"/>
    <x v="4"/>
    <x v="1"/>
    <n v="139199"/>
    <n v="3.1"/>
    <n v="5"/>
    <x v="1"/>
    <n v="3.4"/>
    <s v="High"/>
  </r>
  <r>
    <x v="10"/>
    <s v="i4"/>
    <x v="3"/>
    <s v="Base"/>
    <n v="85729.44"/>
    <n v="59.9"/>
    <n v="191"/>
    <n v="145.69999999999999"/>
    <n v="5.99"/>
    <n v="168"/>
    <n v="651"/>
    <n v="567"/>
    <s v="RWD"/>
    <n v="5"/>
    <s v="Truck"/>
    <n v="68.3"/>
    <n v="2688"/>
    <n v="5"/>
    <n v="2"/>
    <x v="0"/>
    <x v="2"/>
    <n v="29338"/>
    <n v="3.5"/>
    <n v="6"/>
    <x v="1"/>
    <n v="3.19"/>
    <s v="High"/>
  </r>
  <r>
    <x v="4"/>
    <s v="Cybertruck"/>
    <x v="0"/>
    <s v="Base"/>
    <n v="62213.09"/>
    <n v="54.2"/>
    <n v="191"/>
    <n v="341.2"/>
    <n v="7.6"/>
    <n v="136"/>
    <n v="404"/>
    <n v="327"/>
    <s v="FWD"/>
    <n v="5"/>
    <s v="Truck"/>
    <n v="50.7"/>
    <n v="2531"/>
    <n v="5"/>
    <n v="3"/>
    <x v="2"/>
    <x v="1"/>
    <n v="199768"/>
    <n v="3.8"/>
    <n v="5"/>
    <x v="2"/>
    <n v="3.52"/>
    <s v="High"/>
  </r>
  <r>
    <x v="4"/>
    <s v="Cybertruck"/>
    <x v="1"/>
    <s v="Performance"/>
    <n v="170128.32"/>
    <n v="84.4"/>
    <n v="303"/>
    <n v="306.89999999999998"/>
    <n v="3.88"/>
    <n v="186"/>
    <n v="1000"/>
    <n v="875"/>
    <s v="RWD"/>
    <n v="7"/>
    <s v="Truck"/>
    <n v="63.7"/>
    <n v="2467"/>
    <n v="4"/>
    <n v="2"/>
    <x v="2"/>
    <x v="0"/>
    <n v="163960"/>
    <n v="4.0999999999999996"/>
    <n v="5"/>
    <x v="0"/>
    <n v="3.59"/>
    <s v="High"/>
  </r>
  <r>
    <x v="8"/>
    <s v="Ioniq 5"/>
    <x v="2"/>
    <s v="Premium"/>
    <n v="80948.92"/>
    <n v="68.599999999999994"/>
    <n v="262"/>
    <n v="104.1"/>
    <n v="5.97"/>
    <n v="162"/>
    <n v="1000"/>
    <n v="898"/>
    <s v="FWD"/>
    <n v="7"/>
    <s v="Van"/>
    <n v="77.2"/>
    <n v="1500"/>
    <n v="5"/>
    <n v="1"/>
    <x v="3"/>
    <x v="2"/>
    <n v="134570"/>
    <n v="3.6"/>
    <n v="3"/>
    <x v="1"/>
    <n v="3.82"/>
    <s v="High"/>
  </r>
  <r>
    <x v="3"/>
    <s v="Picanto EV"/>
    <x v="1"/>
    <s v="Base"/>
    <n v="43745.72"/>
    <n v="58.3"/>
    <n v="197"/>
    <n v="109.4"/>
    <n v="7.32"/>
    <n v="141"/>
    <n v="381"/>
    <n v="354"/>
    <s v="RWD"/>
    <n v="7"/>
    <s v="Hatchback"/>
    <n v="27.1"/>
    <n v="1724"/>
    <n v="5"/>
    <n v="0"/>
    <x v="3"/>
    <x v="1"/>
    <n v="77441"/>
    <n v="3.3"/>
    <n v="4"/>
    <x v="2"/>
    <n v="3.38"/>
    <s v="High"/>
  </r>
  <r>
    <x v="10"/>
    <s v="i3"/>
    <x v="0"/>
    <s v="Long Range"/>
    <n v="134039.99"/>
    <n v="84.4"/>
    <n v="313"/>
    <n v="79.400000000000006"/>
    <n v="4.43"/>
    <n v="177"/>
    <n v="1000"/>
    <n v="874"/>
    <s v="AWD"/>
    <n v="5"/>
    <s v="Sedan"/>
    <n v="26.8"/>
    <n v="1652"/>
    <n v="5"/>
    <n v="2"/>
    <x v="0"/>
    <x v="0"/>
    <n v="70841"/>
    <n v="3.7"/>
    <n v="5"/>
    <x v="1"/>
    <n v="3.71"/>
    <s v="High"/>
  </r>
  <r>
    <x v="2"/>
    <s v="Blazer EV"/>
    <x v="3"/>
    <s v="Premium"/>
    <n v="80896.009999999995"/>
    <n v="64.400000000000006"/>
    <n v="194"/>
    <n v="102.1"/>
    <n v="6.97"/>
    <n v="148"/>
    <n v="1000"/>
    <n v="881"/>
    <s v="RWD"/>
    <n v="5"/>
    <s v="Hatchback"/>
    <n v="27.2"/>
    <n v="1500"/>
    <n v="4"/>
    <n v="0"/>
    <x v="2"/>
    <x v="2"/>
    <n v="11404"/>
    <n v="3.4"/>
    <n v="4"/>
    <x v="1"/>
    <n v="3.01"/>
    <s v="Medium"/>
  </r>
  <r>
    <x v="16"/>
    <s v="Air"/>
    <x v="5"/>
    <s v="Standard"/>
    <n v="199365.9"/>
    <n v="57.8"/>
    <n v="235"/>
    <n v="215.3"/>
    <n v="7.53"/>
    <n v="138"/>
    <n v="953"/>
    <n v="859"/>
    <s v="FWD"/>
    <n v="7"/>
    <s v="Coupe"/>
    <n v="23.6"/>
    <n v="1531"/>
    <n v="4"/>
    <n v="0"/>
    <x v="2"/>
    <x v="0"/>
    <n v="26890"/>
    <n v="3.2"/>
    <n v="5"/>
    <x v="2"/>
    <n v="4.07"/>
    <s v="High"/>
  </r>
  <r>
    <x v="8"/>
    <s v="i30"/>
    <x v="0"/>
    <s v="Long Range"/>
    <n v="65970"/>
    <n v="108.1"/>
    <n v="394"/>
    <n v="85.8"/>
    <n v="4.76"/>
    <n v="179"/>
    <n v="835"/>
    <n v="684"/>
    <s v="FWD"/>
    <n v="5"/>
    <s v="Coupe"/>
    <n v="38.200000000000003"/>
    <n v="1500"/>
    <n v="5"/>
    <n v="1"/>
    <x v="3"/>
    <x v="2"/>
    <n v="146072"/>
    <n v="4.0999999999999996"/>
    <n v="4"/>
    <x v="1"/>
    <n v="3.64"/>
    <s v="High"/>
  </r>
  <r>
    <x v="7"/>
    <s v="Qin"/>
    <x v="2"/>
    <s v="Premium"/>
    <n v="67622.89"/>
    <n v="80.400000000000006"/>
    <n v="289"/>
    <n v="98.5"/>
    <n v="7.92"/>
    <n v="131"/>
    <n v="740"/>
    <n v="667"/>
    <s v="AWD"/>
    <n v="5"/>
    <s v="Hatchback"/>
    <n v="28.6"/>
    <n v="1988"/>
    <n v="4"/>
    <n v="0"/>
    <x v="4"/>
    <x v="2"/>
    <n v="235660"/>
    <n v="3.6"/>
    <n v="5"/>
    <x v="2"/>
    <n v="3.59"/>
    <s v="High"/>
  </r>
  <r>
    <x v="9"/>
    <s v="E-Transit"/>
    <x v="0"/>
    <s v="Base"/>
    <n v="42208.33"/>
    <n v="66.3"/>
    <n v="224"/>
    <n v="72.3"/>
    <n v="5.56"/>
    <n v="165"/>
    <n v="401"/>
    <n v="336"/>
    <s v="AWD"/>
    <n v="5"/>
    <s v="SUV"/>
    <n v="35.200000000000003"/>
    <n v="1892"/>
    <n v="5"/>
    <n v="0"/>
    <x v="2"/>
    <x v="1"/>
    <n v="47569"/>
    <n v="3.4"/>
    <n v="4"/>
    <x v="1"/>
    <n v="3.38"/>
    <s v="High"/>
  </r>
  <r>
    <x v="7"/>
    <s v="Leaf 50X"/>
    <x v="2"/>
    <s v="Base"/>
    <n v="56388.91"/>
    <n v="73.7"/>
    <n v="242"/>
    <n v="113.8"/>
    <n v="6.52"/>
    <n v="156"/>
    <n v="632"/>
    <n v="585"/>
    <s v="RWD"/>
    <n v="7"/>
    <s v="Sedan"/>
    <n v="15.8"/>
    <n v="1666"/>
    <n v="5"/>
    <n v="1"/>
    <x v="4"/>
    <x v="1"/>
    <n v="205113"/>
    <n v="3.4"/>
    <n v="4"/>
    <x v="1"/>
    <n v="3.28"/>
    <s v="High"/>
  </r>
  <r>
    <x v="0"/>
    <s v="ID. Buzz"/>
    <x v="3"/>
    <s v="Long Range"/>
    <n v="66045.149999999994"/>
    <n v="82.5"/>
    <n v="269"/>
    <n v="67.599999999999994"/>
    <n v="5.49"/>
    <n v="163"/>
    <n v="665"/>
    <n v="550"/>
    <s v="FWD"/>
    <n v="7"/>
    <s v="Hatchback"/>
    <n v="26.2"/>
    <n v="1571"/>
    <n v="4"/>
    <n v="0"/>
    <x v="0"/>
    <x v="2"/>
    <n v="228215"/>
    <n v="3.4"/>
    <n v="3"/>
    <x v="1"/>
    <n v="3.26"/>
    <s v="High"/>
  </r>
  <r>
    <x v="4"/>
    <s v="Cybertruck"/>
    <x v="2"/>
    <s v="Base"/>
    <n v="37365.06"/>
    <n v="44.7"/>
    <n v="150"/>
    <n v="237.7"/>
    <n v="5.52"/>
    <n v="169"/>
    <n v="223"/>
    <n v="200"/>
    <s v="AWD"/>
    <n v="5"/>
    <s v="Truck"/>
    <n v="50.6"/>
    <n v="2555"/>
    <n v="5"/>
    <n v="2"/>
    <x v="2"/>
    <x v="1"/>
    <n v="220616"/>
    <n v="3.8"/>
    <n v="5"/>
    <x v="1"/>
    <n v="3.36"/>
    <s v="High"/>
  </r>
  <r>
    <x v="4"/>
    <s v="Cybertruck"/>
    <x v="0"/>
    <s v="Base"/>
    <n v="38622.29"/>
    <n v="51.5"/>
    <n v="186"/>
    <n v="261.7"/>
    <n v="7.84"/>
    <n v="124"/>
    <n v="276"/>
    <n v="226"/>
    <s v="FWD"/>
    <n v="5"/>
    <s v="Truck"/>
    <n v="75.7"/>
    <n v="2714"/>
    <n v="5"/>
    <n v="2"/>
    <x v="2"/>
    <x v="1"/>
    <n v="174372"/>
    <n v="3.4"/>
    <n v="5"/>
    <x v="2"/>
    <n v="3.61"/>
    <s v="High"/>
  </r>
  <r>
    <x v="1"/>
    <s v="bZ4X"/>
    <x v="1"/>
    <s v="Standard"/>
    <n v="69982.490000000005"/>
    <n v="42.6"/>
    <n v="156"/>
    <n v="93.7"/>
    <n v="6.21"/>
    <n v="153"/>
    <n v="850"/>
    <n v="731"/>
    <s v="AWD"/>
    <n v="5"/>
    <s v="Truck"/>
    <n v="64.8"/>
    <n v="2317"/>
    <n v="5"/>
    <n v="1"/>
    <x v="1"/>
    <x v="2"/>
    <n v="8818"/>
    <n v="3.2"/>
    <n v="3"/>
    <x v="1"/>
    <n v="3.66"/>
    <s v="Medium"/>
  </r>
  <r>
    <x v="5"/>
    <s v="EQE"/>
    <x v="4"/>
    <s v="Performance"/>
    <n v="165233.4"/>
    <n v="100.3"/>
    <n v="329"/>
    <n v="158.6"/>
    <n v="4.0199999999999996"/>
    <n v="194"/>
    <n v="1000"/>
    <n v="842"/>
    <s v="AWD"/>
    <n v="7"/>
    <s v="Van"/>
    <n v="62.5"/>
    <n v="1751"/>
    <n v="4"/>
    <n v="1"/>
    <x v="0"/>
    <x v="0"/>
    <n v="35726"/>
    <n v="3.8"/>
    <n v="6"/>
    <x v="1"/>
    <n v="3.28"/>
    <s v="High"/>
  </r>
  <r>
    <x v="2"/>
    <s v="Blazer EV"/>
    <x v="3"/>
    <s v="Standard"/>
    <n v="70614.100000000006"/>
    <n v="41.9"/>
    <n v="187"/>
    <n v="142"/>
    <n v="5.15"/>
    <n v="173"/>
    <n v="995"/>
    <n v="902"/>
    <s v="AWD"/>
    <n v="7"/>
    <s v="Hatchback"/>
    <n v="33.299999999999997"/>
    <n v="1629"/>
    <n v="4"/>
    <n v="0"/>
    <x v="2"/>
    <x v="2"/>
    <n v="27643"/>
    <n v="3.4"/>
    <n v="4"/>
    <x v="1"/>
    <n v="4.46"/>
    <s v="High"/>
  </r>
  <r>
    <x v="0"/>
    <s v="ID.4"/>
    <x v="3"/>
    <s v="Performance"/>
    <n v="80549.5"/>
    <n v="119.7"/>
    <n v="447"/>
    <n v="160.5"/>
    <n v="3.41"/>
    <n v="192"/>
    <n v="904"/>
    <n v="799"/>
    <s v="RWD"/>
    <n v="7"/>
    <s v="Truck"/>
    <n v="70.900000000000006"/>
    <n v="2812"/>
    <n v="5"/>
    <n v="0"/>
    <x v="0"/>
    <x v="2"/>
    <n v="291709"/>
    <n v="3.7"/>
    <n v="3"/>
    <x v="0"/>
    <n v="3.73"/>
    <s v="High"/>
  </r>
  <r>
    <x v="4"/>
    <s v="Model Y"/>
    <x v="6"/>
    <s v="Long Range"/>
    <n v="96390.76"/>
    <n v="80.400000000000006"/>
    <n v="287"/>
    <n v="340"/>
    <n v="5.88"/>
    <n v="160"/>
    <n v="697"/>
    <n v="653"/>
    <s v="FWD"/>
    <n v="5"/>
    <s v="Van"/>
    <n v="74"/>
    <n v="1505"/>
    <n v="4"/>
    <n v="3"/>
    <x v="2"/>
    <x v="2"/>
    <n v="498047"/>
    <n v="3.8"/>
    <n v="5"/>
    <x v="1"/>
    <n v="3.57"/>
    <s v="High"/>
  </r>
  <r>
    <x v="4"/>
    <s v="Model X"/>
    <x v="0"/>
    <s v="Base"/>
    <n v="27433.3"/>
    <n v="82.4"/>
    <n v="258"/>
    <n v="223.7"/>
    <n v="6.02"/>
    <n v="161"/>
    <n v="168"/>
    <n v="200"/>
    <s v="FWD"/>
    <n v="7"/>
    <s v="Coupe"/>
    <n v="30.7"/>
    <n v="1644"/>
    <n v="5"/>
    <n v="3"/>
    <x v="2"/>
    <x v="3"/>
    <n v="230869"/>
    <n v="3.8"/>
    <n v="4"/>
    <x v="1"/>
    <n v="3.13"/>
    <s v="High"/>
  </r>
  <r>
    <x v="7"/>
    <s v="Leaf 50X"/>
    <x v="2"/>
    <s v="Base"/>
    <n v="76472.570000000007"/>
    <n v="67.2"/>
    <n v="227"/>
    <n v="136.19999999999999"/>
    <n v="7.52"/>
    <n v="139"/>
    <n v="849"/>
    <n v="830"/>
    <s v="RWD"/>
    <n v="5"/>
    <s v="Van"/>
    <n v="63.3"/>
    <n v="1500"/>
    <n v="4"/>
    <n v="1"/>
    <x v="4"/>
    <x v="2"/>
    <n v="191416"/>
    <n v="3.3"/>
    <n v="4"/>
    <x v="2"/>
    <n v="3.38"/>
    <s v="High"/>
  </r>
  <r>
    <x v="3"/>
    <s v="Picanto EV"/>
    <x v="3"/>
    <s v="Base"/>
    <n v="41416.019999999997"/>
    <n v="60.8"/>
    <n v="228"/>
    <n v="142.9"/>
    <n v="5.91"/>
    <n v="160"/>
    <n v="367"/>
    <n v="344"/>
    <s v="RWD"/>
    <n v="5"/>
    <s v="Hatchback"/>
    <n v="22"/>
    <n v="1500"/>
    <n v="5"/>
    <n v="1"/>
    <x v="3"/>
    <x v="1"/>
    <n v="137512"/>
    <n v="3.4"/>
    <n v="3"/>
    <x v="1"/>
    <n v="3.75"/>
    <s v="High"/>
  </r>
  <r>
    <x v="2"/>
    <s v="Silverado EV"/>
    <x v="0"/>
    <s v="Standard"/>
    <n v="64132.24"/>
    <n v="51.9"/>
    <n v="150"/>
    <n v="51.2"/>
    <n v="6.67"/>
    <n v="155"/>
    <n v="870"/>
    <n v="835"/>
    <s v="RWD"/>
    <n v="5"/>
    <s v="Truck"/>
    <n v="66.5"/>
    <n v="2693"/>
    <n v="4"/>
    <n v="0"/>
    <x v="2"/>
    <x v="1"/>
    <n v="5462"/>
    <n v="3.4"/>
    <n v="4"/>
    <x v="1"/>
    <n v="2.89"/>
    <s v="Medium"/>
  </r>
  <r>
    <x v="10"/>
    <s v="i3"/>
    <x v="3"/>
    <s v="Performance"/>
    <n v="97630.54"/>
    <n v="108"/>
    <n v="374"/>
    <n v="211.2"/>
    <n v="3.25"/>
    <n v="200"/>
    <n v="810"/>
    <n v="745"/>
    <s v="RWD"/>
    <n v="5"/>
    <s v="Truck"/>
    <n v="57.6"/>
    <n v="2381"/>
    <n v="4"/>
    <n v="1"/>
    <x v="0"/>
    <x v="2"/>
    <n v="50895"/>
    <n v="3.6"/>
    <n v="5"/>
    <x v="0"/>
    <n v="3.46"/>
    <s v="High"/>
  </r>
  <r>
    <x v="7"/>
    <s v="Seagull"/>
    <x v="2"/>
    <s v="Performance"/>
    <n v="117281.9"/>
    <n v="115.7"/>
    <n v="431"/>
    <n v="193.6"/>
    <n v="3.76"/>
    <n v="195"/>
    <n v="1000"/>
    <n v="869"/>
    <s v="FWD"/>
    <n v="5"/>
    <s v="Sedan"/>
    <n v="22.2"/>
    <n v="1500"/>
    <n v="3"/>
    <n v="0"/>
    <x v="4"/>
    <x v="0"/>
    <n v="111137"/>
    <n v="3.9"/>
    <n v="3"/>
    <x v="0"/>
    <n v="3.73"/>
    <s v="High"/>
  </r>
  <r>
    <x v="1"/>
    <s v="bZ4X"/>
    <x v="3"/>
    <s v="Long Range"/>
    <n v="77617.509999999995"/>
    <n v="84.5"/>
    <n v="295"/>
    <n v="80.599999999999994"/>
    <n v="5.04"/>
    <n v="180"/>
    <n v="1000"/>
    <n v="840"/>
    <s v="AWD"/>
    <n v="7"/>
    <s v="Coupe"/>
    <n v="16"/>
    <n v="1500"/>
    <n v="5"/>
    <n v="0"/>
    <x v="1"/>
    <x v="2"/>
    <n v="15856"/>
    <n v="3.5"/>
    <n v="4"/>
    <x v="1"/>
    <n v="3.49"/>
    <s v="Medium"/>
  </r>
  <r>
    <x v="2"/>
    <s v="Bolt EV"/>
    <x v="3"/>
    <s v="Performance"/>
    <n v="53614.17"/>
    <n v="77.3"/>
    <n v="266"/>
    <n v="153"/>
    <n v="3.29"/>
    <n v="192"/>
    <n v="663"/>
    <n v="599"/>
    <s v="FWD"/>
    <n v="7"/>
    <s v="Truck"/>
    <n v="51.2"/>
    <n v="2645"/>
    <n v="5"/>
    <n v="2"/>
    <x v="2"/>
    <x v="1"/>
    <n v="7236"/>
    <n v="3.2"/>
    <n v="3"/>
    <x v="0"/>
    <n v="3.44"/>
    <s v="Medium"/>
  </r>
  <r>
    <x v="3"/>
    <s v="Niro EV"/>
    <x v="5"/>
    <s v="Premium"/>
    <n v="98299.99"/>
    <n v="73.400000000000006"/>
    <n v="245"/>
    <n v="132.5"/>
    <n v="5.83"/>
    <n v="165"/>
    <n v="1000"/>
    <n v="918"/>
    <s v="RWD"/>
    <n v="5"/>
    <s v="Coupe"/>
    <n v="25.6"/>
    <n v="1500"/>
    <n v="5"/>
    <n v="1"/>
    <x v="3"/>
    <x v="2"/>
    <n v="126328"/>
    <n v="3.5"/>
    <n v="4"/>
    <x v="1"/>
    <n v="3.34"/>
    <s v="High"/>
  </r>
  <r>
    <x v="3"/>
    <s v="EV9"/>
    <x v="3"/>
    <s v="Premium"/>
    <n v="62151.7"/>
    <n v="74"/>
    <n v="246"/>
    <n v="89.9"/>
    <n v="7.94"/>
    <n v="129"/>
    <n v="692"/>
    <n v="582"/>
    <s v="AWD"/>
    <n v="5"/>
    <s v="SUV"/>
    <n v="52.1"/>
    <n v="2022"/>
    <n v="5"/>
    <n v="0"/>
    <x v="3"/>
    <x v="1"/>
    <n v="58624"/>
    <n v="3.7"/>
    <n v="5"/>
    <x v="2"/>
    <n v="3.32"/>
    <s v="High"/>
  </r>
  <r>
    <x v="0"/>
    <s v="ID. Buzz"/>
    <x v="3"/>
    <s v="Performance"/>
    <n v="57462.19"/>
    <n v="76.2"/>
    <n v="259"/>
    <n v="243.1"/>
    <n v="4.0999999999999996"/>
    <n v="183"/>
    <n v="541"/>
    <n v="402"/>
    <s v="AWD"/>
    <n v="7"/>
    <s v="Hatchback"/>
    <n v="28.5"/>
    <n v="1500"/>
    <n v="4"/>
    <n v="1"/>
    <x v="0"/>
    <x v="1"/>
    <n v="298599"/>
    <n v="3.4"/>
    <n v="5"/>
    <x v="1"/>
    <n v="3.4"/>
    <s v="High"/>
  </r>
  <r>
    <x v="7"/>
    <s v="Dolphin"/>
    <x v="0"/>
    <s v="Premium"/>
    <n v="65383.31"/>
    <n v="69.599999999999994"/>
    <n v="240"/>
    <n v="146.19999999999999"/>
    <n v="6.25"/>
    <n v="161"/>
    <n v="763"/>
    <n v="709"/>
    <s v="RWD"/>
    <n v="5"/>
    <s v="Coupe"/>
    <n v="32.200000000000003"/>
    <n v="1500"/>
    <n v="5"/>
    <n v="1"/>
    <x v="4"/>
    <x v="2"/>
    <n v="171261"/>
    <n v="3.6"/>
    <n v="4"/>
    <x v="1"/>
    <n v="3.45"/>
    <s v="High"/>
  </r>
  <r>
    <x v="0"/>
    <s v="ID.3"/>
    <x v="3"/>
    <s v="Performance"/>
    <n v="88158.61"/>
    <n v="99.8"/>
    <n v="333"/>
    <n v="200.8"/>
    <n v="2.63"/>
    <n v="200"/>
    <n v="1000"/>
    <n v="916"/>
    <s v="AWD"/>
    <n v="7"/>
    <s v="Hatchback"/>
    <n v="27.4"/>
    <n v="1591"/>
    <n v="5"/>
    <n v="1"/>
    <x v="0"/>
    <x v="2"/>
    <n v="265949"/>
    <n v="3.7"/>
    <n v="4"/>
    <x v="0"/>
    <n v="3.34"/>
    <s v="High"/>
  </r>
  <r>
    <x v="2"/>
    <s v="Bolt EV"/>
    <x v="1"/>
    <s v="Long Range"/>
    <n v="49443.87"/>
    <n v="82.7"/>
    <n v="262"/>
    <n v="103.5"/>
    <n v="4.7"/>
    <n v="179"/>
    <n v="556"/>
    <n v="481"/>
    <s v="FWD"/>
    <n v="5"/>
    <s v="Van"/>
    <n v="61.5"/>
    <n v="1500"/>
    <n v="4"/>
    <n v="1"/>
    <x v="2"/>
    <x v="1"/>
    <n v="17112"/>
    <n v="3.4"/>
    <n v="3"/>
    <x v="1"/>
    <n v="3.17"/>
    <s v="Medium"/>
  </r>
  <r>
    <x v="4"/>
    <s v="Model 3"/>
    <x v="0"/>
    <s v="Base"/>
    <n v="33304.79"/>
    <n v="70.400000000000006"/>
    <n v="262"/>
    <n v="309.3"/>
    <n v="5"/>
    <n v="180"/>
    <n v="235"/>
    <n v="266"/>
    <s v="RWD"/>
    <n v="5"/>
    <s v="Van"/>
    <n v="77.5"/>
    <n v="1500"/>
    <n v="4"/>
    <n v="3"/>
    <x v="2"/>
    <x v="3"/>
    <n v="239021"/>
    <n v="3.9"/>
    <n v="5"/>
    <x v="1"/>
    <n v="3.72"/>
    <s v="High"/>
  </r>
  <r>
    <x v="4"/>
    <s v="Cybertruck"/>
    <x v="3"/>
    <s v="Base"/>
    <n v="29689.54"/>
    <n v="58.1"/>
    <n v="216"/>
    <n v="327"/>
    <n v="5.38"/>
    <n v="170"/>
    <n v="191"/>
    <n v="200"/>
    <s v="FWD"/>
    <n v="5"/>
    <s v="Truck"/>
    <n v="77"/>
    <n v="2468"/>
    <n v="5"/>
    <n v="2"/>
    <x v="2"/>
    <x v="3"/>
    <n v="210522"/>
    <n v="3.8"/>
    <n v="5"/>
    <x v="1"/>
    <n v="3.72"/>
    <s v="High"/>
  </r>
  <r>
    <x v="4"/>
    <s v="Model S"/>
    <x v="3"/>
    <s v="Long Range"/>
    <n v="129183.24"/>
    <n v="87.9"/>
    <n v="337"/>
    <n v="250.2"/>
    <n v="5.39"/>
    <n v="169"/>
    <n v="976"/>
    <n v="910"/>
    <s v="FWD"/>
    <n v="7"/>
    <s v="Hatchback"/>
    <n v="19.7"/>
    <n v="1638"/>
    <n v="5"/>
    <n v="2"/>
    <x v="2"/>
    <x v="0"/>
    <n v="207546"/>
    <n v="3.7"/>
    <n v="6"/>
    <x v="1"/>
    <n v="3.83"/>
    <s v="High"/>
  </r>
  <r>
    <x v="4"/>
    <s v="Cybertruck"/>
    <x v="3"/>
    <s v="Long Range"/>
    <n v="132226.95000000001"/>
    <n v="87.5"/>
    <n v="319"/>
    <n v="265.2"/>
    <n v="4.66"/>
    <n v="176"/>
    <n v="983"/>
    <n v="865"/>
    <s v="RWD"/>
    <n v="5"/>
    <s v="Truck"/>
    <n v="78.7"/>
    <n v="2287"/>
    <n v="5"/>
    <n v="3"/>
    <x v="2"/>
    <x v="0"/>
    <n v="133735"/>
    <n v="3.9"/>
    <n v="4"/>
    <x v="1"/>
    <n v="3.65"/>
    <s v="High"/>
  </r>
  <r>
    <x v="5"/>
    <s v="EQE"/>
    <x v="5"/>
    <s v="Base"/>
    <n v="59152.02"/>
    <n v="43.6"/>
    <n v="162"/>
    <n v="122.2"/>
    <n v="5.26"/>
    <n v="170"/>
    <n v="157"/>
    <n v="200"/>
    <s v="FWD"/>
    <n v="7"/>
    <s v="SUV"/>
    <n v="56.9"/>
    <n v="2444"/>
    <n v="4"/>
    <n v="2"/>
    <x v="0"/>
    <x v="1"/>
    <n v="57795"/>
    <n v="3.4"/>
    <n v="5"/>
    <x v="1"/>
    <n v="3.72"/>
    <s v="High"/>
  </r>
  <r>
    <x v="2"/>
    <s v="Equinox EV"/>
    <x v="5"/>
    <s v="Performance"/>
    <n v="42539.360000000001"/>
    <n v="109.6"/>
    <n v="371"/>
    <n v="156.4"/>
    <n v="2.86"/>
    <n v="200"/>
    <n v="438"/>
    <n v="442"/>
    <s v="RWD"/>
    <n v="5"/>
    <s v="SUV"/>
    <n v="44.4"/>
    <n v="2235"/>
    <n v="5"/>
    <n v="2"/>
    <x v="2"/>
    <x v="1"/>
    <n v="18263"/>
    <n v="3.7"/>
    <n v="4"/>
    <x v="0"/>
    <n v="3.39"/>
    <s v="Medium"/>
  </r>
  <r>
    <x v="8"/>
    <s v="Ioniq 5"/>
    <x v="5"/>
    <s v="Premium"/>
    <n v="86930.64"/>
    <n v="49.4"/>
    <n v="177"/>
    <n v="92.9"/>
    <n v="5.55"/>
    <n v="171"/>
    <n v="1000"/>
    <n v="867"/>
    <s v="RWD"/>
    <n v="7"/>
    <s v="Sedan"/>
    <n v="26"/>
    <n v="1500"/>
    <n v="4"/>
    <n v="1"/>
    <x v="3"/>
    <x v="2"/>
    <n v="147601"/>
    <n v="3.5"/>
    <n v="4"/>
    <x v="1"/>
    <n v="3.58"/>
    <s v="High"/>
  </r>
  <r>
    <x v="4"/>
    <s v="Model S"/>
    <x v="3"/>
    <s v="Premium"/>
    <n v="162032.44"/>
    <n v="61.2"/>
    <n v="193"/>
    <n v="290.60000000000002"/>
    <n v="7.64"/>
    <n v="132"/>
    <n v="1000"/>
    <n v="851"/>
    <s v="AWD"/>
    <n v="5"/>
    <s v="Sedan"/>
    <n v="22.4"/>
    <n v="1618"/>
    <n v="5"/>
    <n v="2"/>
    <x v="2"/>
    <x v="0"/>
    <n v="210253"/>
    <n v="3.9"/>
    <n v="4"/>
    <x v="2"/>
    <n v="3.15"/>
    <s v="High"/>
  </r>
  <r>
    <x v="8"/>
    <s v="Kona Electric"/>
    <x v="3"/>
    <s v="Premium"/>
    <n v="51036.86"/>
    <n v="52.8"/>
    <n v="234"/>
    <n v="130.6"/>
    <n v="7.37"/>
    <n v="142"/>
    <n v="584"/>
    <n v="538"/>
    <s v="AWD"/>
    <n v="5"/>
    <s v="Coupe"/>
    <n v="34.4"/>
    <n v="2027"/>
    <n v="5"/>
    <n v="2"/>
    <x v="3"/>
    <x v="1"/>
    <n v="55671"/>
    <n v="3.4"/>
    <n v="3"/>
    <x v="2"/>
    <n v="4.43"/>
    <s v="High"/>
  </r>
  <r>
    <x v="8"/>
    <s v="Kona Electric"/>
    <x v="2"/>
    <s v="Base"/>
    <n v="52223.31"/>
    <n v="42.1"/>
    <n v="150"/>
    <n v="116.5"/>
    <n v="6.02"/>
    <n v="161"/>
    <n v="566"/>
    <n v="488"/>
    <s v="RWD"/>
    <n v="5"/>
    <s v="Van"/>
    <n v="65.7"/>
    <n v="1635"/>
    <n v="4"/>
    <n v="1"/>
    <x v="3"/>
    <x v="1"/>
    <n v="89573"/>
    <n v="3.4"/>
    <n v="3"/>
    <x v="1"/>
    <n v="3.56"/>
    <s v="High"/>
  </r>
  <r>
    <x v="4"/>
    <s v="Model S"/>
    <x v="3"/>
    <s v="Base"/>
    <n v="54018.19"/>
    <n v="40.6"/>
    <n v="150"/>
    <n v="208.1"/>
    <n v="6.79"/>
    <n v="145"/>
    <n v="379"/>
    <n v="325"/>
    <s v="AWD"/>
    <n v="5"/>
    <s v="Coupe"/>
    <n v="37.4"/>
    <n v="1787"/>
    <n v="4"/>
    <n v="3"/>
    <x v="2"/>
    <x v="1"/>
    <n v="101221"/>
    <n v="3.6"/>
    <n v="4"/>
    <x v="1"/>
    <n v="3.69"/>
    <s v="High"/>
  </r>
  <r>
    <x v="0"/>
    <s v="ID.5"/>
    <x v="3"/>
    <s v="Base"/>
    <n v="78662.149999999994"/>
    <n v="41.4"/>
    <n v="150"/>
    <n v="77.3"/>
    <n v="7.77"/>
    <n v="134"/>
    <n v="898"/>
    <n v="772"/>
    <s v="RWD"/>
    <n v="5"/>
    <s v="Van"/>
    <n v="74.5"/>
    <n v="1500"/>
    <n v="4"/>
    <n v="0"/>
    <x v="0"/>
    <x v="2"/>
    <n v="237990"/>
    <n v="3.3"/>
    <n v="4"/>
    <x v="2"/>
    <n v="3.62"/>
    <s v="High"/>
  </r>
  <r>
    <x v="0"/>
    <s v="ID. Buzz"/>
    <x v="5"/>
    <s v="Standard"/>
    <n v="39803.56"/>
    <n v="46.8"/>
    <n v="168"/>
    <n v="78.3"/>
    <n v="6.31"/>
    <n v="156"/>
    <n v="274"/>
    <n v="241"/>
    <s v="FWD"/>
    <n v="7"/>
    <s v="Truck"/>
    <n v="69.900000000000006"/>
    <n v="2758"/>
    <n v="3"/>
    <n v="1"/>
    <x v="0"/>
    <x v="1"/>
    <n v="248701"/>
    <n v="3.1"/>
    <n v="5"/>
    <x v="1"/>
    <n v="3.59"/>
    <s v="High"/>
  </r>
  <r>
    <x v="3"/>
    <s v="EV9"/>
    <x v="3"/>
    <s v="Premium"/>
    <n v="103512.45"/>
    <n v="63"/>
    <n v="213"/>
    <n v="119"/>
    <n v="7.65"/>
    <n v="124"/>
    <n v="1000"/>
    <n v="919"/>
    <s v="AWD"/>
    <n v="5"/>
    <s v="SUV"/>
    <n v="45.2"/>
    <n v="2221"/>
    <n v="5"/>
    <n v="1"/>
    <x v="3"/>
    <x v="0"/>
    <n v="50563"/>
    <n v="3.4"/>
    <n v="3"/>
    <x v="2"/>
    <n v="3.38"/>
    <s v="High"/>
  </r>
  <r>
    <x v="10"/>
    <s v="i5"/>
    <x v="2"/>
    <s v="Performance"/>
    <n v="76696.39"/>
    <n v="87.4"/>
    <n v="313"/>
    <n v="196.4"/>
    <n v="3.49"/>
    <n v="192"/>
    <n v="523"/>
    <n v="468"/>
    <s v="AWD"/>
    <n v="5"/>
    <s v="SUV"/>
    <n v="68.3"/>
    <n v="2006"/>
    <n v="5"/>
    <n v="1"/>
    <x v="0"/>
    <x v="2"/>
    <n v="21525"/>
    <n v="3.7"/>
    <n v="5"/>
    <x v="0"/>
    <n v="3.58"/>
    <s v="High"/>
  </r>
  <r>
    <x v="4"/>
    <s v="Model S"/>
    <x v="0"/>
    <s v="Long Range"/>
    <n v="98608.05"/>
    <n v="77.7"/>
    <n v="286"/>
    <n v="228.4"/>
    <n v="4.9400000000000004"/>
    <n v="183"/>
    <n v="718"/>
    <n v="700"/>
    <s v="FWD"/>
    <n v="5"/>
    <s v="Hatchback"/>
    <n v="39.200000000000003"/>
    <n v="1521"/>
    <n v="4"/>
    <n v="2"/>
    <x v="2"/>
    <x v="2"/>
    <n v="246839"/>
    <n v="4"/>
    <n v="4"/>
    <x v="1"/>
    <n v="3.68"/>
    <s v="High"/>
  </r>
  <r>
    <x v="0"/>
    <s v="ID.4"/>
    <x v="5"/>
    <s v="Standard"/>
    <n v="86543.35"/>
    <n v="56.3"/>
    <n v="193"/>
    <n v="94.1"/>
    <n v="6.9"/>
    <n v="152"/>
    <n v="935"/>
    <n v="853"/>
    <s v="FWD"/>
    <n v="5"/>
    <s v="Hatchback"/>
    <n v="19"/>
    <n v="1583"/>
    <n v="4"/>
    <n v="0"/>
    <x v="0"/>
    <x v="2"/>
    <n v="282690"/>
    <n v="3.2"/>
    <n v="3"/>
    <x v="1"/>
    <n v="3.43"/>
    <s v="High"/>
  </r>
  <r>
    <x v="10"/>
    <s v="i4"/>
    <x v="5"/>
    <s v="Standard"/>
    <n v="72989.13"/>
    <n v="82"/>
    <n v="298"/>
    <n v="77.5"/>
    <n v="6.52"/>
    <n v="146"/>
    <n v="467"/>
    <n v="428"/>
    <s v="RWD"/>
    <n v="5"/>
    <s v="Hatchback"/>
    <n v="28.4"/>
    <n v="1500"/>
    <n v="5"/>
    <n v="2"/>
    <x v="0"/>
    <x v="2"/>
    <n v="49770"/>
    <n v="3.4"/>
    <n v="8"/>
    <x v="1"/>
    <n v="3.63"/>
    <s v="High"/>
  </r>
  <r>
    <x v="8"/>
    <s v="Ioniq 6"/>
    <x v="3"/>
    <s v="Standard"/>
    <n v="39399.56"/>
    <n v="70.900000000000006"/>
    <n v="268"/>
    <n v="65.8"/>
    <n v="5.76"/>
    <n v="159"/>
    <n v="293"/>
    <n v="234"/>
    <s v="AWD"/>
    <n v="5"/>
    <s v="SUV"/>
    <n v="63.1"/>
    <n v="1935"/>
    <n v="4"/>
    <n v="1"/>
    <x v="3"/>
    <x v="1"/>
    <n v="101021"/>
    <n v="3.3"/>
    <n v="3"/>
    <x v="1"/>
    <n v="3.78"/>
    <s v="High"/>
  </r>
  <r>
    <x v="5"/>
    <s v="EQS"/>
    <x v="2"/>
    <s v="Premium"/>
    <n v="99625.48"/>
    <n v="81.2"/>
    <n v="306"/>
    <n v="72.8"/>
    <n v="6.47"/>
    <n v="153"/>
    <n v="534"/>
    <n v="467"/>
    <s v="AWD"/>
    <n v="5"/>
    <s v="SUV"/>
    <n v="65.099999999999994"/>
    <n v="1569"/>
    <n v="4"/>
    <n v="2"/>
    <x v="0"/>
    <x v="2"/>
    <n v="71016"/>
    <n v="3.8"/>
    <n v="7"/>
    <x v="1"/>
    <n v="3.77"/>
    <s v="High"/>
  </r>
  <r>
    <x v="10"/>
    <s v="i7"/>
    <x v="3"/>
    <s v="Performance"/>
    <n v="113646.11"/>
    <n v="73.599999999999994"/>
    <n v="279"/>
    <n v="188.6"/>
    <n v="3.16"/>
    <n v="199"/>
    <n v="1000"/>
    <n v="908"/>
    <s v="AWD"/>
    <n v="5"/>
    <s v="Truck"/>
    <n v="75.3"/>
    <n v="2275"/>
    <n v="5"/>
    <n v="1"/>
    <x v="0"/>
    <x v="0"/>
    <n v="68048"/>
    <n v="3.7"/>
    <n v="8"/>
    <x v="0"/>
    <n v="3.79"/>
    <s v="High"/>
  </r>
  <r>
    <x v="4"/>
    <s v="Model Y"/>
    <x v="2"/>
    <s v="Standard"/>
    <n v="110939.31"/>
    <n v="48.7"/>
    <n v="160"/>
    <n v="276.2"/>
    <n v="5.49"/>
    <n v="169"/>
    <n v="840"/>
    <n v="747"/>
    <s v="RWD"/>
    <n v="5"/>
    <s v="Coupe"/>
    <n v="22.2"/>
    <n v="1526"/>
    <n v="4"/>
    <n v="2"/>
    <x v="2"/>
    <x v="0"/>
    <n v="456268"/>
    <n v="3.4"/>
    <n v="6"/>
    <x v="1"/>
    <n v="3.29"/>
    <s v="High"/>
  </r>
  <r>
    <x v="4"/>
    <s v="Model X"/>
    <x v="5"/>
    <s v="Long Range"/>
    <n v="142726.14000000001"/>
    <n v="94.6"/>
    <n v="318"/>
    <n v="205.9"/>
    <n v="4.6100000000000003"/>
    <n v="176"/>
    <n v="1000"/>
    <n v="871"/>
    <s v="RWD"/>
    <n v="5"/>
    <s v="Coupe"/>
    <n v="32.1"/>
    <n v="1500"/>
    <n v="4"/>
    <n v="2"/>
    <x v="2"/>
    <x v="0"/>
    <n v="176985"/>
    <n v="4.2"/>
    <n v="5"/>
    <x v="1"/>
    <n v="3.36"/>
    <s v="High"/>
  </r>
  <r>
    <x v="10"/>
    <s v="i3"/>
    <x v="2"/>
    <s v="Premium"/>
    <n v="69442.009999999995"/>
    <n v="54.1"/>
    <n v="193"/>
    <n v="95.1"/>
    <n v="5.86"/>
    <n v="169"/>
    <n v="383"/>
    <n v="299"/>
    <s v="RWD"/>
    <n v="7"/>
    <s v="Van"/>
    <n v="73.2"/>
    <n v="1764"/>
    <n v="4"/>
    <n v="2"/>
    <x v="0"/>
    <x v="2"/>
    <n v="51378"/>
    <n v="3.2"/>
    <n v="5"/>
    <x v="1"/>
    <n v="3.57"/>
    <s v="High"/>
  </r>
  <r>
    <x v="4"/>
    <s v="Model 3"/>
    <x v="3"/>
    <s v="Base"/>
    <n v="42979.12"/>
    <n v="62.8"/>
    <n v="229"/>
    <n v="275.3"/>
    <n v="7.9"/>
    <n v="133"/>
    <n v="252"/>
    <n v="227"/>
    <s v="AWD"/>
    <n v="7"/>
    <s v="SUV"/>
    <n v="51.8"/>
    <n v="1730"/>
    <n v="4"/>
    <n v="2"/>
    <x v="2"/>
    <x v="1"/>
    <n v="207769"/>
    <n v="3.7"/>
    <n v="5"/>
    <x v="2"/>
    <n v="3.65"/>
    <s v="High"/>
  </r>
  <r>
    <x v="3"/>
    <s v="Picanto EV"/>
    <x v="2"/>
    <s v="Premium"/>
    <n v="56096.47"/>
    <n v="47.3"/>
    <n v="176"/>
    <n v="107.5"/>
    <n v="5.39"/>
    <n v="159"/>
    <n v="531"/>
    <n v="469"/>
    <s v="RWD"/>
    <n v="5"/>
    <s v="Coupe"/>
    <n v="33.700000000000003"/>
    <n v="1841"/>
    <n v="3"/>
    <n v="0"/>
    <x v="3"/>
    <x v="1"/>
    <n v="113782"/>
    <n v="3.4"/>
    <n v="3"/>
    <x v="1"/>
    <n v="3.72"/>
    <s v="High"/>
  </r>
  <r>
    <x v="12"/>
    <s v="EL8"/>
    <x v="2"/>
    <s v="Base"/>
    <n v="82536.87"/>
    <n v="69.7"/>
    <n v="264"/>
    <n v="114.2"/>
    <n v="7.79"/>
    <n v="127"/>
    <n v="730"/>
    <n v="687"/>
    <s v="FWD"/>
    <n v="7"/>
    <s v="Truck"/>
    <n v="56.6"/>
    <n v="2319"/>
    <n v="5"/>
    <n v="0"/>
    <x v="4"/>
    <x v="2"/>
    <n v="17477"/>
    <n v="3.4"/>
    <n v="5"/>
    <x v="2"/>
    <n v="3.79"/>
    <s v="Medium"/>
  </r>
  <r>
    <x v="3"/>
    <s v="EV9"/>
    <x v="5"/>
    <s v="Base"/>
    <n v="62907.99"/>
    <n v="56"/>
    <n v="184"/>
    <n v="97.7"/>
    <n v="7.47"/>
    <n v="142"/>
    <n v="663"/>
    <n v="579"/>
    <s v="FWD"/>
    <n v="5"/>
    <s v="SUV"/>
    <n v="53"/>
    <n v="1838"/>
    <n v="5"/>
    <n v="0"/>
    <x v="3"/>
    <x v="1"/>
    <n v="93165"/>
    <n v="3.3"/>
    <n v="3"/>
    <x v="2"/>
    <n v="3.29"/>
    <s v="High"/>
  </r>
  <r>
    <x v="0"/>
    <s v="ID.5"/>
    <x v="3"/>
    <s v="Performance"/>
    <n v="97402.81"/>
    <n v="71.7"/>
    <n v="258"/>
    <n v="153.80000000000001"/>
    <n v="3.48"/>
    <n v="200"/>
    <n v="1000"/>
    <n v="912"/>
    <s v="RWD"/>
    <n v="5"/>
    <s v="Truck"/>
    <n v="77.900000000000006"/>
    <n v="2374"/>
    <n v="4"/>
    <n v="1"/>
    <x v="0"/>
    <x v="2"/>
    <n v="255988"/>
    <n v="3.6"/>
    <n v="4"/>
    <x v="0"/>
    <n v="3.6"/>
    <s v="High"/>
  </r>
  <r>
    <x v="10"/>
    <s v="i7"/>
    <x v="3"/>
    <s v="Standard"/>
    <n v="85706.08"/>
    <n v="45.1"/>
    <n v="150"/>
    <n v="127.7"/>
    <n v="7.87"/>
    <n v="135"/>
    <n v="650"/>
    <n v="634"/>
    <s v="FWD"/>
    <n v="5"/>
    <s v="Hatchback"/>
    <n v="31.2"/>
    <n v="1703"/>
    <n v="4"/>
    <n v="2"/>
    <x v="0"/>
    <x v="2"/>
    <n v="78799"/>
    <n v="3.3"/>
    <n v="8"/>
    <x v="2"/>
    <n v="3.33"/>
    <s v="High"/>
  </r>
  <r>
    <x v="8"/>
    <s v="Ioniq 6"/>
    <x v="2"/>
    <s v="Base"/>
    <n v="54234.95"/>
    <n v="58.4"/>
    <n v="217"/>
    <n v="131.1"/>
    <n v="7.58"/>
    <n v="132"/>
    <n v="577"/>
    <n v="530"/>
    <s v="FWD"/>
    <n v="7"/>
    <s v="Truck"/>
    <n v="50.2"/>
    <n v="2843"/>
    <n v="5"/>
    <n v="2"/>
    <x v="3"/>
    <x v="1"/>
    <n v="136935"/>
    <n v="3.4"/>
    <n v="4"/>
    <x v="2"/>
    <n v="3.72"/>
    <s v="High"/>
  </r>
  <r>
    <x v="3"/>
    <s v="Picanto EV"/>
    <x v="0"/>
    <s v="Premium"/>
    <n v="95598.48"/>
    <n v="63.5"/>
    <n v="202"/>
    <n v="141.1"/>
    <n v="5.52"/>
    <n v="166"/>
    <n v="1000"/>
    <n v="845"/>
    <s v="AWD"/>
    <n v="5"/>
    <s v="SUV"/>
    <n v="44.2"/>
    <n v="1516"/>
    <n v="5"/>
    <n v="1"/>
    <x v="3"/>
    <x v="2"/>
    <n v="107457"/>
    <n v="3.3"/>
    <n v="5"/>
    <x v="1"/>
    <n v="3.18"/>
    <s v="High"/>
  </r>
  <r>
    <x v="12"/>
    <s v="EC6"/>
    <x v="0"/>
    <s v="Long Range"/>
    <n v="98011.85"/>
    <n v="106.2"/>
    <n v="364"/>
    <n v="79.599999999999994"/>
    <n v="5.43"/>
    <n v="171"/>
    <n v="953"/>
    <n v="885"/>
    <s v="AWD"/>
    <n v="7"/>
    <s v="Sedan"/>
    <n v="20.5"/>
    <n v="1662"/>
    <n v="4"/>
    <n v="0"/>
    <x v="4"/>
    <x v="2"/>
    <n v="12631"/>
    <n v="3.9"/>
    <n v="5"/>
    <x v="1"/>
    <n v="3.43"/>
    <s v="Medium"/>
  </r>
  <r>
    <x v="0"/>
    <s v="ID.3"/>
    <x v="3"/>
    <s v="Performance"/>
    <n v="58313.43"/>
    <n v="71.5"/>
    <n v="260"/>
    <n v="159.69999999999999"/>
    <n v="3.71"/>
    <n v="193"/>
    <n v="583"/>
    <n v="522"/>
    <s v="AWD"/>
    <n v="5"/>
    <s v="Truck"/>
    <n v="77.2"/>
    <n v="2583"/>
    <n v="3"/>
    <n v="1"/>
    <x v="0"/>
    <x v="1"/>
    <n v="263694"/>
    <n v="3.2"/>
    <n v="3"/>
    <x v="0"/>
    <n v="3.64"/>
    <s v="High"/>
  </r>
  <r>
    <x v="1"/>
    <s v="bZ Compact SUV"/>
    <x v="2"/>
    <s v="Base"/>
    <n v="62799.62"/>
    <n v="80.2"/>
    <n v="271"/>
    <n v="97.3"/>
    <n v="7.03"/>
    <n v="143"/>
    <n v="717"/>
    <n v="661"/>
    <s v="RWD"/>
    <n v="5"/>
    <s v="SUV"/>
    <n v="35.4"/>
    <n v="1773"/>
    <n v="4"/>
    <n v="0"/>
    <x v="1"/>
    <x v="1"/>
    <n v="8458"/>
    <n v="3.7"/>
    <n v="4"/>
    <x v="2"/>
    <n v="3.38"/>
    <s v="Medium"/>
  </r>
  <r>
    <x v="11"/>
    <s v="e-tron"/>
    <x v="3"/>
    <s v="Standard"/>
    <n v="91038.75"/>
    <n v="55.9"/>
    <n v="192"/>
    <n v="81.8"/>
    <n v="7.17"/>
    <n v="149"/>
    <n v="636"/>
    <n v="591"/>
    <s v="RWD"/>
    <n v="7"/>
    <s v="Truck"/>
    <n v="64.5"/>
    <n v="2402"/>
    <n v="5"/>
    <n v="2"/>
    <x v="0"/>
    <x v="2"/>
    <n v="26577"/>
    <n v="3.8"/>
    <n v="7"/>
    <x v="2"/>
    <n v="3.43"/>
    <s v="High"/>
  </r>
  <r>
    <x v="4"/>
    <s v="Cybertruck"/>
    <x v="2"/>
    <s v="Standard"/>
    <n v="130803.06"/>
    <n v="83.1"/>
    <n v="289"/>
    <n v="227.9"/>
    <n v="6.46"/>
    <n v="150"/>
    <n v="914"/>
    <n v="861"/>
    <s v="FWD"/>
    <n v="5"/>
    <s v="Truck"/>
    <n v="77.3"/>
    <n v="2533"/>
    <n v="4"/>
    <n v="2"/>
    <x v="2"/>
    <x v="0"/>
    <n v="105012"/>
    <n v="4"/>
    <n v="6"/>
    <x v="1"/>
    <n v="3.48"/>
    <s v="High"/>
  </r>
  <r>
    <x v="4"/>
    <s v="Model 3"/>
    <x v="3"/>
    <s v="Base"/>
    <n v="69626.259999999995"/>
    <n v="76.8"/>
    <n v="249"/>
    <n v="256"/>
    <n v="6"/>
    <n v="158"/>
    <n v="502"/>
    <n v="416"/>
    <s v="FWD"/>
    <n v="7"/>
    <s v="Sedan"/>
    <n v="38.5"/>
    <n v="1522"/>
    <n v="5"/>
    <n v="3"/>
    <x v="2"/>
    <x v="2"/>
    <n v="189686"/>
    <n v="3.7"/>
    <n v="5"/>
    <x v="1"/>
    <n v="3.24"/>
    <s v="High"/>
  </r>
  <r>
    <x v="4"/>
    <s v="Model Y"/>
    <x v="2"/>
    <s v="Long Range"/>
    <n v="85409.4"/>
    <n v="94.6"/>
    <n v="338"/>
    <n v="290.60000000000002"/>
    <n v="5.5"/>
    <n v="167"/>
    <n v="614"/>
    <n v="573"/>
    <s v="AWD"/>
    <n v="5"/>
    <s v="Sedan"/>
    <n v="22"/>
    <n v="1500"/>
    <n v="4"/>
    <n v="2"/>
    <x v="2"/>
    <x v="2"/>
    <n v="497556"/>
    <n v="4.0999999999999996"/>
    <n v="5"/>
    <x v="1"/>
    <n v="3.57"/>
    <s v="High"/>
  </r>
  <r>
    <x v="4"/>
    <s v="Model 3"/>
    <x v="5"/>
    <s v="Long Range"/>
    <n v="153057.04"/>
    <n v="85.2"/>
    <n v="285"/>
    <n v="338.3"/>
    <n v="4.28"/>
    <n v="186"/>
    <n v="1000"/>
    <n v="855"/>
    <s v="RWD"/>
    <n v="7"/>
    <s v="Coupe"/>
    <n v="15"/>
    <n v="1574"/>
    <n v="5"/>
    <n v="2"/>
    <x v="2"/>
    <x v="0"/>
    <n v="178740"/>
    <n v="4.0999999999999996"/>
    <n v="5"/>
    <x v="1"/>
    <n v="3.35"/>
    <s v="High"/>
  </r>
  <r>
    <x v="4"/>
    <s v="Cybertruck"/>
    <x v="0"/>
    <s v="Standard"/>
    <n v="121896.5"/>
    <n v="64.2"/>
    <n v="216"/>
    <n v="291.3"/>
    <n v="7.11"/>
    <n v="145"/>
    <n v="841"/>
    <n v="748"/>
    <s v="RWD"/>
    <n v="7"/>
    <s v="Truck"/>
    <n v="77"/>
    <n v="2332"/>
    <n v="5"/>
    <n v="2"/>
    <x v="2"/>
    <x v="0"/>
    <n v="186743"/>
    <n v="3.6"/>
    <n v="4"/>
    <x v="2"/>
    <n v="3.36"/>
    <s v="High"/>
  </r>
  <r>
    <x v="10"/>
    <s v="i7"/>
    <x v="3"/>
    <s v="Base"/>
    <n v="66273.55"/>
    <n v="72.400000000000006"/>
    <n v="246"/>
    <n v="51.7"/>
    <n v="6.85"/>
    <n v="154"/>
    <n v="327"/>
    <n v="326"/>
    <s v="FWD"/>
    <n v="5"/>
    <s v="Truck"/>
    <n v="74.8"/>
    <n v="2768"/>
    <n v="5"/>
    <n v="1"/>
    <x v="0"/>
    <x v="2"/>
    <n v="30088"/>
    <n v="3.2"/>
    <n v="8"/>
    <x v="1"/>
    <n v="3.4"/>
    <s v="High"/>
  </r>
  <r>
    <x v="4"/>
    <s v="Model Y"/>
    <x v="2"/>
    <s v="Base"/>
    <n v="43315.76"/>
    <n v="61.7"/>
    <n v="224"/>
    <n v="301.3"/>
    <n v="6.9"/>
    <n v="136"/>
    <n v="360"/>
    <n v="277"/>
    <s v="AWD"/>
    <n v="5"/>
    <s v="Sedan"/>
    <n v="17.399999999999999"/>
    <n v="1500"/>
    <n v="5"/>
    <n v="2"/>
    <x v="2"/>
    <x v="1"/>
    <n v="424937"/>
    <n v="3.7"/>
    <n v="6"/>
    <x v="1"/>
    <n v="3.63"/>
    <s v="High"/>
  </r>
  <r>
    <x v="7"/>
    <s v="Atto 3"/>
    <x v="1"/>
    <s v="Premium"/>
    <n v="36072.31"/>
    <n v="77.7"/>
    <n v="251"/>
    <n v="60.8"/>
    <n v="6.32"/>
    <n v="154"/>
    <n v="365"/>
    <n v="296"/>
    <s v="RWD"/>
    <n v="7"/>
    <s v="Van"/>
    <n v="71.3"/>
    <n v="1527"/>
    <n v="4"/>
    <n v="2"/>
    <x v="4"/>
    <x v="1"/>
    <n v="159638"/>
    <n v="3.5"/>
    <n v="4"/>
    <x v="1"/>
    <n v="3.23"/>
    <s v="High"/>
  </r>
  <r>
    <x v="5"/>
    <s v="GLE EV"/>
    <x v="3"/>
    <s v="Base"/>
    <n v="127213.62"/>
    <n v="61.6"/>
    <n v="214"/>
    <n v="99.5"/>
    <n v="6.47"/>
    <n v="146"/>
    <n v="697"/>
    <n v="636"/>
    <s v="FWD"/>
    <n v="5"/>
    <s v="Sedan"/>
    <n v="35.799999999999997"/>
    <n v="1918"/>
    <n v="4"/>
    <n v="1"/>
    <x v="0"/>
    <x v="0"/>
    <n v="74928"/>
    <n v="3.8"/>
    <n v="5"/>
    <x v="1"/>
    <n v="3.47"/>
    <s v="High"/>
  </r>
  <r>
    <x v="4"/>
    <s v="Model X"/>
    <x v="2"/>
    <s v="Standard"/>
    <n v="79315.78"/>
    <n v="60.6"/>
    <n v="195"/>
    <n v="277"/>
    <n v="5.73"/>
    <n v="164"/>
    <n v="551"/>
    <n v="541"/>
    <s v="FWD"/>
    <n v="7"/>
    <s v="Truck"/>
    <n v="62.3"/>
    <n v="2173"/>
    <n v="5"/>
    <n v="2"/>
    <x v="2"/>
    <x v="2"/>
    <n v="122128"/>
    <n v="3.7"/>
    <n v="4"/>
    <x v="1"/>
    <n v="3.22"/>
    <s v="High"/>
  </r>
  <r>
    <x v="9"/>
    <s v="Explorer EV"/>
    <x v="0"/>
    <s v="Base"/>
    <n v="35481.879999999997"/>
    <n v="41"/>
    <n v="173"/>
    <n v="58.6"/>
    <n v="6.38"/>
    <n v="155"/>
    <n v="202"/>
    <n v="205"/>
    <s v="RWD"/>
    <n v="5"/>
    <s v="Hatchback"/>
    <n v="36.299999999999997"/>
    <n v="1677"/>
    <n v="5"/>
    <n v="1"/>
    <x v="2"/>
    <x v="1"/>
    <n v="63701"/>
    <n v="3.3"/>
    <n v="4"/>
    <x v="1"/>
    <n v="4.22"/>
    <s v="High"/>
  </r>
  <r>
    <x v="7"/>
    <s v="Dolphin"/>
    <x v="5"/>
    <s v="Standard"/>
    <n v="82657.259999999995"/>
    <n v="83.9"/>
    <n v="294"/>
    <n v="66.599999999999994"/>
    <n v="7.12"/>
    <n v="153"/>
    <n v="891"/>
    <n v="772"/>
    <s v="AWD"/>
    <n v="7"/>
    <s v="Van"/>
    <n v="72.599999999999994"/>
    <n v="1904"/>
    <n v="5"/>
    <n v="0"/>
    <x v="4"/>
    <x v="2"/>
    <n v="156944"/>
    <n v="3.5"/>
    <n v="4"/>
    <x v="2"/>
    <n v="3.5"/>
    <s v="High"/>
  </r>
  <r>
    <x v="4"/>
    <s v="Model S"/>
    <x v="3"/>
    <s v="Long Range"/>
    <n v="137829.03"/>
    <n v="95.3"/>
    <n v="323"/>
    <n v="324.7"/>
    <n v="4.55"/>
    <n v="187"/>
    <n v="966"/>
    <n v="876"/>
    <s v="FWD"/>
    <n v="5"/>
    <s v="Van"/>
    <n v="70.2"/>
    <n v="1656"/>
    <n v="3"/>
    <n v="3"/>
    <x v="2"/>
    <x v="0"/>
    <n v="239713"/>
    <n v="3.9"/>
    <n v="5"/>
    <x v="1"/>
    <n v="3.39"/>
    <s v="High"/>
  </r>
  <r>
    <x v="2"/>
    <s v="Silverado EV"/>
    <x v="3"/>
    <s v="Standard"/>
    <n v="70239.009999999995"/>
    <n v="40.5"/>
    <n v="150"/>
    <n v="137.30000000000001"/>
    <n v="5.25"/>
    <n v="184"/>
    <n v="989"/>
    <n v="925"/>
    <s v="FWD"/>
    <n v="7"/>
    <s v="Van"/>
    <n v="61.8"/>
    <n v="1577"/>
    <n v="5"/>
    <n v="1"/>
    <x v="2"/>
    <x v="2"/>
    <n v="23483"/>
    <n v="3.1"/>
    <n v="4"/>
    <x v="1"/>
    <n v="3.7"/>
    <s v="High"/>
  </r>
  <r>
    <x v="10"/>
    <s v="i4"/>
    <x v="5"/>
    <s v="Standard"/>
    <n v="90499.68"/>
    <n v="42.2"/>
    <n v="167"/>
    <n v="108.5"/>
    <n v="7.99"/>
    <n v="132"/>
    <n v="739"/>
    <n v="656"/>
    <s v="FWD"/>
    <n v="7"/>
    <s v="Coupe"/>
    <n v="19.100000000000001"/>
    <n v="1618"/>
    <n v="3"/>
    <n v="2"/>
    <x v="0"/>
    <x v="2"/>
    <n v="72987"/>
    <n v="3.3"/>
    <n v="7"/>
    <x v="2"/>
    <n v="3.96"/>
    <s v="High"/>
  </r>
  <r>
    <x v="11"/>
    <s v="e-tron"/>
    <x v="2"/>
    <s v="Long Range"/>
    <n v="130131.59"/>
    <n v="94"/>
    <n v="322"/>
    <n v="123.8"/>
    <n v="5.61"/>
    <n v="163"/>
    <n v="1000"/>
    <n v="858"/>
    <s v="AWD"/>
    <n v="7"/>
    <s v="Sedan"/>
    <n v="37.700000000000003"/>
    <n v="1642"/>
    <n v="4"/>
    <n v="2"/>
    <x v="0"/>
    <x v="0"/>
    <n v="36875"/>
    <n v="3.6"/>
    <n v="8"/>
    <x v="1"/>
    <n v="3.43"/>
    <s v="High"/>
  </r>
  <r>
    <x v="2"/>
    <s v="Bolt EV"/>
    <x v="2"/>
    <s v="Long Range"/>
    <n v="56344.05"/>
    <n v="94.4"/>
    <n v="351"/>
    <n v="75.400000000000006"/>
    <n v="4.84"/>
    <n v="176"/>
    <n v="710"/>
    <n v="584"/>
    <s v="AWD"/>
    <n v="7"/>
    <s v="Coupe"/>
    <n v="17.2"/>
    <n v="1500"/>
    <n v="5"/>
    <n v="0"/>
    <x v="2"/>
    <x v="1"/>
    <n v="12802"/>
    <n v="3.8"/>
    <n v="4"/>
    <x v="1"/>
    <n v="3.72"/>
    <s v="Medium"/>
  </r>
  <r>
    <x v="9"/>
    <s v="F-150 Lightning"/>
    <x v="2"/>
    <s v="Standard"/>
    <n v="59797.58"/>
    <n v="46.4"/>
    <n v="171"/>
    <n v="93.5"/>
    <n v="6.46"/>
    <n v="154"/>
    <n v="628"/>
    <n v="589"/>
    <s v="FWD"/>
    <n v="4"/>
    <s v="Truck"/>
    <n v="56"/>
    <n v="2692"/>
    <n v="4"/>
    <n v="0"/>
    <x v="2"/>
    <x v="1"/>
    <n v="57357"/>
    <n v="3.1"/>
    <n v="4"/>
    <x v="1"/>
    <n v="3.69"/>
    <s v="High"/>
  </r>
  <r>
    <x v="7"/>
    <s v="Leaf 50X"/>
    <x v="0"/>
    <s v="Long Range"/>
    <n v="100157.25"/>
    <n v="105.4"/>
    <n v="362"/>
    <n v="110.2"/>
    <n v="5.21"/>
    <n v="177"/>
    <n v="1000"/>
    <n v="892"/>
    <s v="FWD"/>
    <n v="5"/>
    <s v="Truck"/>
    <n v="67.7"/>
    <n v="2399"/>
    <n v="4"/>
    <n v="1"/>
    <x v="4"/>
    <x v="0"/>
    <n v="107443"/>
    <n v="3.8"/>
    <n v="5"/>
    <x v="1"/>
    <n v="3.43"/>
    <s v="High"/>
  </r>
  <r>
    <x v="4"/>
    <s v="Model Y"/>
    <x v="0"/>
    <s v="Base"/>
    <n v="55299.28"/>
    <n v="40.9"/>
    <n v="150"/>
    <n v="246.4"/>
    <n v="6.71"/>
    <n v="151"/>
    <n v="380"/>
    <n v="293"/>
    <s v="RWD"/>
    <n v="5"/>
    <s v="Hatchback"/>
    <n v="16.3"/>
    <n v="1605"/>
    <n v="5"/>
    <n v="2"/>
    <x v="2"/>
    <x v="1"/>
    <n v="449181"/>
    <n v="3.8"/>
    <n v="4"/>
    <x v="1"/>
    <n v="3.67"/>
    <s v="High"/>
  </r>
  <r>
    <x v="2"/>
    <s v="Blazer EV"/>
    <x v="3"/>
    <s v="Long Range"/>
    <n v="44798.27"/>
    <n v="109.1"/>
    <n v="375"/>
    <n v="109.1"/>
    <n v="5.22"/>
    <n v="168"/>
    <n v="493"/>
    <n v="430"/>
    <s v="RWD"/>
    <n v="5"/>
    <s v="Hatchback"/>
    <n v="22.4"/>
    <n v="1636"/>
    <n v="4"/>
    <n v="0"/>
    <x v="2"/>
    <x v="1"/>
    <n v="19461"/>
    <n v="3.6"/>
    <n v="4"/>
    <x v="1"/>
    <n v="3.44"/>
    <s v="Medium"/>
  </r>
  <r>
    <x v="9"/>
    <s v="E-Transit"/>
    <x v="2"/>
    <s v="Performance"/>
    <n v="98104.320000000007"/>
    <n v="80.3"/>
    <n v="266"/>
    <n v="224.7"/>
    <n v="4.1900000000000004"/>
    <n v="181"/>
    <n v="1000"/>
    <n v="873"/>
    <s v="RWD"/>
    <n v="7"/>
    <s v="Van"/>
    <n v="69.400000000000006"/>
    <n v="1563"/>
    <n v="4"/>
    <n v="1"/>
    <x v="2"/>
    <x v="2"/>
    <n v="47356"/>
    <n v="3.6"/>
    <n v="4"/>
    <x v="1"/>
    <n v="3.31"/>
    <s v="High"/>
  </r>
  <r>
    <x v="15"/>
    <s v="XC90 Recharge"/>
    <x v="3"/>
    <s v="Standard"/>
    <n v="55877.09"/>
    <n v="51.9"/>
    <n v="192"/>
    <n v="144.5"/>
    <n v="5.14"/>
    <n v="166"/>
    <n v="327"/>
    <n v="284"/>
    <s v="FWD"/>
    <n v="5"/>
    <s v="Van"/>
    <n v="65"/>
    <n v="1577"/>
    <n v="5"/>
    <n v="1"/>
    <x v="5"/>
    <x v="1"/>
    <n v="15994"/>
    <n v="3.3"/>
    <n v="5"/>
    <x v="1"/>
    <n v="3.7"/>
    <s v="Medium"/>
  </r>
  <r>
    <x v="0"/>
    <s v="ID.3"/>
    <x v="2"/>
    <s v="Base"/>
    <n v="32753.54"/>
    <n v="42.3"/>
    <n v="178"/>
    <n v="134.1"/>
    <n v="7.05"/>
    <n v="139"/>
    <n v="184"/>
    <n v="200"/>
    <s v="RWD"/>
    <n v="5"/>
    <s v="Truck"/>
    <n v="64.599999999999994"/>
    <n v="2243"/>
    <n v="5"/>
    <n v="1"/>
    <x v="0"/>
    <x v="3"/>
    <n v="224478"/>
    <n v="3.2"/>
    <n v="3"/>
    <x v="2"/>
    <n v="4.21"/>
    <s v="High"/>
  </r>
  <r>
    <x v="0"/>
    <s v="ID.3"/>
    <x v="1"/>
    <s v="Standard"/>
    <n v="73902.850000000006"/>
    <n v="64"/>
    <n v="231"/>
    <n v="121.1"/>
    <n v="5.91"/>
    <n v="168"/>
    <n v="839"/>
    <n v="757"/>
    <s v="FWD"/>
    <n v="7"/>
    <s v="Van"/>
    <n v="60.7"/>
    <n v="1754"/>
    <n v="4"/>
    <n v="0"/>
    <x v="0"/>
    <x v="2"/>
    <n v="251288"/>
    <n v="3.3"/>
    <n v="4"/>
    <x v="1"/>
    <n v="3.61"/>
    <s v="High"/>
  </r>
  <r>
    <x v="9"/>
    <s v="Explorer EV"/>
    <x v="0"/>
    <s v="Base"/>
    <n v="52080.38"/>
    <n v="54.7"/>
    <n v="222"/>
    <n v="99.4"/>
    <n v="6.86"/>
    <n v="143"/>
    <n v="553"/>
    <n v="507"/>
    <s v="RWD"/>
    <n v="5"/>
    <s v="Van"/>
    <n v="79.8"/>
    <n v="1632"/>
    <n v="4"/>
    <n v="1"/>
    <x v="2"/>
    <x v="1"/>
    <n v="72053"/>
    <n v="3.4"/>
    <n v="3"/>
    <x v="1"/>
    <n v="4.0599999999999996"/>
    <s v="High"/>
  </r>
  <r>
    <x v="7"/>
    <s v="Dolphin"/>
    <x v="3"/>
    <s v="Standard"/>
    <n v="22600.22"/>
    <n v="66.900000000000006"/>
    <n v="206"/>
    <n v="59"/>
    <n v="6.69"/>
    <n v="146"/>
    <n v="176"/>
    <n v="200"/>
    <s v="FWD"/>
    <n v="7"/>
    <s v="Hatchback"/>
    <n v="22.8"/>
    <n v="1771"/>
    <n v="5"/>
    <n v="0"/>
    <x v="4"/>
    <x v="3"/>
    <n v="131689"/>
    <n v="3.2"/>
    <n v="4"/>
    <x v="1"/>
    <n v="3.08"/>
    <s v="High"/>
  </r>
  <r>
    <x v="13"/>
    <s v="R1S"/>
    <x v="2"/>
    <s v="Long Range"/>
    <n v="99040.38"/>
    <n v="77.599999999999994"/>
    <n v="294"/>
    <n v="52"/>
    <n v="5.14"/>
    <n v="169"/>
    <n v="1000"/>
    <n v="900"/>
    <s v="FWD"/>
    <n v="5"/>
    <s v="Coupe"/>
    <n v="38.200000000000003"/>
    <n v="1864"/>
    <n v="5"/>
    <n v="0"/>
    <x v="2"/>
    <x v="2"/>
    <n v="10950"/>
    <n v="3.8"/>
    <n v="6"/>
    <x v="1"/>
    <n v="3.79"/>
    <s v="Medium"/>
  </r>
  <r>
    <x v="5"/>
    <s v="EQC"/>
    <x v="5"/>
    <s v="Performance"/>
    <n v="108052.79"/>
    <n v="111.2"/>
    <n v="390"/>
    <n v="197.2"/>
    <n v="3.61"/>
    <n v="196"/>
    <n v="517"/>
    <n v="476"/>
    <s v="AWD"/>
    <n v="7"/>
    <s v="Hatchback"/>
    <n v="36.9"/>
    <n v="2011"/>
    <n v="5"/>
    <n v="2"/>
    <x v="0"/>
    <x v="0"/>
    <n v="49733"/>
    <n v="4"/>
    <n v="5"/>
    <x v="0"/>
    <n v="3.51"/>
    <s v="High"/>
  </r>
  <r>
    <x v="0"/>
    <s v="ID. Buzz"/>
    <x v="0"/>
    <s v="Performance"/>
    <n v="50097.36"/>
    <n v="93.7"/>
    <n v="319"/>
    <n v="216.1"/>
    <n v="4.32"/>
    <n v="182"/>
    <n v="403"/>
    <n v="349"/>
    <s v="RWD"/>
    <n v="7"/>
    <s v="Van"/>
    <n v="77.400000000000006"/>
    <n v="1844"/>
    <n v="4"/>
    <n v="0"/>
    <x v="0"/>
    <x v="1"/>
    <n v="238954"/>
    <n v="3.7"/>
    <n v="4"/>
    <x v="1"/>
    <n v="3.4"/>
    <s v="High"/>
  </r>
  <r>
    <x v="2"/>
    <s v="Blazer EV"/>
    <x v="3"/>
    <s v="Standard"/>
    <n v="35979.300000000003"/>
    <n v="56.1"/>
    <n v="209"/>
    <n v="140.30000000000001"/>
    <n v="7.89"/>
    <n v="124"/>
    <n v="347"/>
    <n v="326"/>
    <s v="FWD"/>
    <n v="5"/>
    <s v="SUV"/>
    <n v="55.3"/>
    <n v="1752"/>
    <n v="4"/>
    <n v="1"/>
    <x v="2"/>
    <x v="1"/>
    <n v="25503"/>
    <n v="3.6"/>
    <n v="4"/>
    <x v="2"/>
    <n v="3.73"/>
    <s v="High"/>
  </r>
  <r>
    <x v="2"/>
    <s v="Equinox EV"/>
    <x v="3"/>
    <s v="Performance"/>
    <n v="57051.32"/>
    <n v="98.6"/>
    <n v="344"/>
    <n v="244.5"/>
    <n v="2.93"/>
    <n v="200"/>
    <n v="722"/>
    <n v="656"/>
    <s v="RWD"/>
    <n v="7"/>
    <s v="SUV"/>
    <n v="54.9"/>
    <n v="2113"/>
    <n v="4"/>
    <n v="1"/>
    <x v="2"/>
    <x v="1"/>
    <n v="13660"/>
    <n v="3.7"/>
    <n v="4"/>
    <x v="0"/>
    <n v="3.49"/>
    <s v="Medium"/>
  </r>
  <r>
    <x v="4"/>
    <s v="Model Y"/>
    <x v="3"/>
    <s v="Base"/>
    <n v="109970.08"/>
    <n v="60"/>
    <n v="194"/>
    <n v="200.5"/>
    <n v="5.74"/>
    <n v="165"/>
    <n v="780"/>
    <n v="711"/>
    <s v="RWD"/>
    <n v="5"/>
    <s v="Coupe"/>
    <n v="16.8"/>
    <n v="1709"/>
    <n v="4"/>
    <n v="3"/>
    <x v="2"/>
    <x v="0"/>
    <n v="456748"/>
    <n v="3.5"/>
    <n v="6"/>
    <x v="1"/>
    <n v="3.23"/>
    <s v="High"/>
  </r>
  <r>
    <x v="11"/>
    <s v="e-tron"/>
    <x v="2"/>
    <s v="Long Range"/>
    <n v="92779.16"/>
    <n v="80"/>
    <n v="260"/>
    <n v="134.69999999999999"/>
    <n v="4.62"/>
    <n v="178"/>
    <n v="629"/>
    <n v="553"/>
    <s v="RWD"/>
    <n v="7"/>
    <s v="Hatchback"/>
    <n v="15.8"/>
    <n v="1511"/>
    <n v="4"/>
    <n v="1"/>
    <x v="0"/>
    <x v="2"/>
    <n v="22988"/>
    <n v="3.6"/>
    <n v="6"/>
    <x v="1"/>
    <n v="3.25"/>
    <s v="High"/>
  </r>
  <r>
    <x v="8"/>
    <s v="i30"/>
    <x v="3"/>
    <s v="Standard"/>
    <n v="65007.57"/>
    <n v="44.2"/>
    <n v="150"/>
    <n v="125"/>
    <n v="5.41"/>
    <n v="174"/>
    <n v="772"/>
    <n v="707"/>
    <s v="FWD"/>
    <n v="7"/>
    <s v="Hatchback"/>
    <n v="15.3"/>
    <n v="1717"/>
    <n v="4"/>
    <n v="1"/>
    <x v="3"/>
    <x v="2"/>
    <n v="138781"/>
    <n v="3"/>
    <n v="4"/>
    <x v="1"/>
    <n v="3.39"/>
    <s v="High"/>
  </r>
  <r>
    <x v="5"/>
    <s v="EQS"/>
    <x v="0"/>
    <s v="Long Range"/>
    <n v="123138.78"/>
    <n v="81.2"/>
    <n v="263"/>
    <n v="135.19999999999999"/>
    <n v="5.51"/>
    <n v="174"/>
    <n v="664"/>
    <n v="636"/>
    <s v="AWD"/>
    <n v="7"/>
    <s v="Truck"/>
    <n v="54.4"/>
    <n v="2004"/>
    <n v="5"/>
    <n v="1"/>
    <x v="0"/>
    <x v="0"/>
    <n v="65127"/>
    <n v="3.8"/>
    <n v="5"/>
    <x v="1"/>
    <n v="3.24"/>
    <s v="High"/>
  </r>
  <r>
    <x v="7"/>
    <s v="Atto 3"/>
    <x v="6"/>
    <s v="Performance"/>
    <n v="102787.75"/>
    <n v="92.6"/>
    <n v="323"/>
    <n v="210.6"/>
    <n v="3.62"/>
    <n v="194"/>
    <n v="1000"/>
    <n v="913"/>
    <s v="RWD"/>
    <n v="5"/>
    <s v="Van"/>
    <n v="70"/>
    <n v="1500"/>
    <n v="4"/>
    <n v="1"/>
    <x v="4"/>
    <x v="0"/>
    <n v="117639"/>
    <n v="3.8"/>
    <n v="5"/>
    <x v="0"/>
    <n v="3.49"/>
    <s v="High"/>
  </r>
  <r>
    <x v="11"/>
    <s v="e-tron"/>
    <x v="3"/>
    <s v="Base"/>
    <n v="79195.78"/>
    <n v="74.7"/>
    <n v="275"/>
    <n v="130.6"/>
    <n v="5.49"/>
    <n v="162"/>
    <n v="474"/>
    <n v="339"/>
    <s v="FWD"/>
    <n v="5"/>
    <s v="Sedan"/>
    <n v="32.700000000000003"/>
    <n v="1535"/>
    <n v="4"/>
    <n v="1"/>
    <x v="0"/>
    <x v="2"/>
    <n v="62967"/>
    <n v="3.6"/>
    <n v="6"/>
    <x v="1"/>
    <n v="3.68"/>
    <s v="High"/>
  </r>
  <r>
    <x v="0"/>
    <s v="ID.4"/>
    <x v="2"/>
    <s v="Premium"/>
    <n v="93014.64"/>
    <n v="70.2"/>
    <n v="255"/>
    <n v="75.2"/>
    <n v="5.0599999999999996"/>
    <n v="169"/>
    <n v="1000"/>
    <n v="941"/>
    <s v="AWD"/>
    <n v="5"/>
    <s v="Truck"/>
    <n v="78.3"/>
    <n v="2324"/>
    <n v="5"/>
    <n v="1"/>
    <x v="0"/>
    <x v="2"/>
    <n v="264436"/>
    <n v="3.3"/>
    <n v="4"/>
    <x v="1"/>
    <n v="3.63"/>
    <s v="High"/>
  </r>
  <r>
    <x v="4"/>
    <s v="Model S"/>
    <x v="0"/>
    <s v="Premium"/>
    <n v="131294.35999999999"/>
    <n v="66"/>
    <n v="236"/>
    <n v="230.3"/>
    <n v="6.29"/>
    <n v="159"/>
    <n v="939"/>
    <n v="845"/>
    <s v="RWD"/>
    <n v="5"/>
    <s v="SUV"/>
    <n v="52.7"/>
    <n v="2015"/>
    <n v="4"/>
    <n v="2"/>
    <x v="2"/>
    <x v="0"/>
    <n v="154508"/>
    <n v="3.9"/>
    <n v="4"/>
    <x v="1"/>
    <n v="3.58"/>
    <s v="High"/>
  </r>
  <r>
    <x v="11"/>
    <s v="e-tron"/>
    <x v="3"/>
    <s v="Base"/>
    <n v="84380.71"/>
    <n v="80"/>
    <n v="275"/>
    <n v="135.5"/>
    <n v="6.41"/>
    <n v="165"/>
    <n v="531"/>
    <n v="499"/>
    <s v="AWD"/>
    <n v="7"/>
    <s v="SUV"/>
    <n v="58.6"/>
    <n v="2209"/>
    <n v="4"/>
    <n v="1"/>
    <x v="0"/>
    <x v="2"/>
    <n v="37226"/>
    <n v="3.5"/>
    <n v="5"/>
    <x v="1"/>
    <n v="3.44"/>
    <s v="High"/>
  </r>
  <r>
    <x v="4"/>
    <s v="Model X"/>
    <x v="3"/>
    <s v="Standard"/>
    <n v="76635.5"/>
    <n v="45.2"/>
    <n v="150"/>
    <n v="322.5"/>
    <n v="5.59"/>
    <n v="175"/>
    <n v="561"/>
    <n v="470"/>
    <s v="RWD"/>
    <n v="5"/>
    <s v="SUV"/>
    <n v="56.8"/>
    <n v="1709"/>
    <n v="5"/>
    <n v="2"/>
    <x v="2"/>
    <x v="2"/>
    <n v="167458"/>
    <n v="3.6"/>
    <n v="5"/>
    <x v="1"/>
    <n v="3.32"/>
    <s v="High"/>
  </r>
  <r>
    <x v="7"/>
    <s v="Leaf 50X"/>
    <x v="5"/>
    <s v="Premium"/>
    <n v="60331.49"/>
    <n v="43.6"/>
    <n v="175"/>
    <n v="101.4"/>
    <n v="7.08"/>
    <n v="136"/>
    <n v="653"/>
    <n v="581"/>
    <s v="RWD"/>
    <n v="5"/>
    <s v="Coupe"/>
    <n v="19.399999999999999"/>
    <n v="1729"/>
    <n v="4"/>
    <n v="1"/>
    <x v="4"/>
    <x v="1"/>
    <n v="145412"/>
    <n v="3.3"/>
    <n v="4"/>
    <x v="2"/>
    <n v="4.01"/>
    <s v="High"/>
  </r>
  <r>
    <x v="1"/>
    <s v="bZ Compact SUV"/>
    <x v="1"/>
    <s v="Base"/>
    <n v="59240.75"/>
    <n v="70.099999999999994"/>
    <n v="267"/>
    <n v="99.5"/>
    <n v="5.9"/>
    <n v="162"/>
    <n v="648"/>
    <n v="553"/>
    <s v="RWD"/>
    <n v="5"/>
    <s v="SUV"/>
    <n v="41.3"/>
    <n v="2240"/>
    <n v="4"/>
    <n v="0"/>
    <x v="1"/>
    <x v="1"/>
    <n v="18789"/>
    <n v="3.5"/>
    <n v="4"/>
    <x v="1"/>
    <n v="3.81"/>
    <s v="Medium"/>
  </r>
  <r>
    <x v="1"/>
    <s v="bZ Compact SUV"/>
    <x v="2"/>
    <s v="Standard"/>
    <n v="62299.25"/>
    <n v="60.9"/>
    <n v="213"/>
    <n v="91.4"/>
    <n v="5.32"/>
    <n v="169"/>
    <n v="673"/>
    <n v="581"/>
    <s v="AWD"/>
    <n v="5"/>
    <s v="SUV"/>
    <n v="55.5"/>
    <n v="2079"/>
    <n v="3"/>
    <n v="1"/>
    <x v="1"/>
    <x v="1"/>
    <n v="25820"/>
    <n v="3.4"/>
    <n v="4"/>
    <x v="1"/>
    <n v="3.5"/>
    <s v="High"/>
  </r>
  <r>
    <x v="3"/>
    <s v="Picanto EV"/>
    <x v="3"/>
    <s v="Base"/>
    <n v="41302.85"/>
    <n v="54.4"/>
    <n v="210"/>
    <n v="55.8"/>
    <n v="7.79"/>
    <n v="128"/>
    <n v="370"/>
    <n v="314"/>
    <s v="AWD"/>
    <n v="5"/>
    <s v="Truck"/>
    <n v="78.400000000000006"/>
    <n v="2736"/>
    <n v="5"/>
    <n v="0"/>
    <x v="3"/>
    <x v="1"/>
    <n v="124417"/>
    <n v="3.3"/>
    <n v="5"/>
    <x v="2"/>
    <n v="3.86"/>
    <s v="High"/>
  </r>
  <r>
    <x v="10"/>
    <s v="iX"/>
    <x v="5"/>
    <s v="Standard"/>
    <n v="111475.63"/>
    <n v="44.2"/>
    <n v="150"/>
    <n v="88.9"/>
    <n v="6.23"/>
    <n v="159"/>
    <n v="959"/>
    <n v="885"/>
    <s v="RWD"/>
    <n v="5"/>
    <s v="Van"/>
    <n v="71.8"/>
    <n v="1551"/>
    <n v="4"/>
    <n v="1"/>
    <x v="0"/>
    <x v="0"/>
    <n v="22266"/>
    <n v="3.3"/>
    <n v="5"/>
    <x v="1"/>
    <n v="3.39"/>
    <s v="High"/>
  </r>
  <r>
    <x v="0"/>
    <s v="ID.4"/>
    <x v="0"/>
    <s v="Premium"/>
    <n v="44868.54"/>
    <n v="71"/>
    <n v="254"/>
    <n v="133.6"/>
    <n v="7.27"/>
    <n v="135"/>
    <n v="370"/>
    <n v="382"/>
    <s v="RWD"/>
    <n v="5"/>
    <s v="Sedan"/>
    <n v="18.399999999999999"/>
    <n v="1500"/>
    <n v="3"/>
    <n v="2"/>
    <x v="0"/>
    <x v="1"/>
    <n v="264149"/>
    <n v="3.6"/>
    <n v="5"/>
    <x v="2"/>
    <n v="3.58"/>
    <s v="High"/>
  </r>
  <r>
    <x v="7"/>
    <s v="Atto 3"/>
    <x v="5"/>
    <s v="Long Range"/>
    <n v="67426.929999999993"/>
    <n v="98.7"/>
    <n v="353"/>
    <n v="89.8"/>
    <n v="5.91"/>
    <n v="162"/>
    <n v="739"/>
    <n v="692"/>
    <s v="FWD"/>
    <n v="5"/>
    <s v="Sedan"/>
    <n v="26.6"/>
    <n v="1641"/>
    <n v="4"/>
    <n v="0"/>
    <x v="4"/>
    <x v="2"/>
    <n v="102350"/>
    <n v="3.7"/>
    <n v="4"/>
    <x v="1"/>
    <n v="3.58"/>
    <s v="High"/>
  </r>
  <r>
    <x v="7"/>
    <s v="Dolphin"/>
    <x v="3"/>
    <s v="Performance"/>
    <n v="53327.95"/>
    <n v="101.5"/>
    <n v="344"/>
    <n v="246.8"/>
    <n v="4.2699999999999996"/>
    <n v="186"/>
    <n v="555"/>
    <n v="489"/>
    <s v="RWD"/>
    <n v="5"/>
    <s v="Sedan"/>
    <n v="16"/>
    <n v="1500"/>
    <n v="4"/>
    <n v="0"/>
    <x v="4"/>
    <x v="1"/>
    <n v="120007"/>
    <n v="3.5"/>
    <n v="4"/>
    <x v="1"/>
    <n v="3.39"/>
    <s v="High"/>
  </r>
  <r>
    <x v="10"/>
    <s v="i7"/>
    <x v="1"/>
    <s v="Standard"/>
    <n v="69932.429999999993"/>
    <n v="67"/>
    <n v="249"/>
    <n v="58.9"/>
    <n v="7.58"/>
    <n v="140"/>
    <n v="419"/>
    <n v="314"/>
    <s v="FWD"/>
    <n v="5"/>
    <s v="Hatchback"/>
    <n v="39.1"/>
    <n v="1591"/>
    <n v="5"/>
    <n v="1"/>
    <x v="0"/>
    <x v="2"/>
    <n v="52868"/>
    <n v="3.5"/>
    <n v="7"/>
    <x v="2"/>
    <n v="3.72"/>
    <s v="High"/>
  </r>
  <r>
    <x v="2"/>
    <s v="Silverado EV"/>
    <x v="3"/>
    <s v="Performance"/>
    <n v="50051.199999999997"/>
    <n v="92.1"/>
    <n v="286"/>
    <n v="194"/>
    <n v="3.44"/>
    <n v="199"/>
    <n v="568"/>
    <n v="519"/>
    <s v="RWD"/>
    <n v="7"/>
    <s v="Sedan"/>
    <n v="33.4"/>
    <n v="1500"/>
    <n v="5"/>
    <n v="2"/>
    <x v="2"/>
    <x v="1"/>
    <n v="17861"/>
    <n v="3.5"/>
    <n v="3"/>
    <x v="0"/>
    <n v="3.11"/>
    <s v="Medium"/>
  </r>
  <r>
    <x v="9"/>
    <s v="E-Transit"/>
    <x v="5"/>
    <s v="Performance"/>
    <n v="48841.01"/>
    <n v="87.7"/>
    <n v="333"/>
    <n v="152.4"/>
    <n v="4.3"/>
    <n v="180"/>
    <n v="369"/>
    <n v="380"/>
    <s v="RWD"/>
    <n v="7"/>
    <s v="Hatchback"/>
    <n v="29.2"/>
    <n v="1844"/>
    <n v="4"/>
    <n v="1"/>
    <x v="2"/>
    <x v="1"/>
    <n v="32288"/>
    <n v="3.7"/>
    <n v="4"/>
    <x v="1"/>
    <n v="3.8"/>
    <s v="High"/>
  </r>
  <r>
    <x v="9"/>
    <s v="Explorer EV"/>
    <x v="4"/>
    <s v="Long Range"/>
    <n v="77562.36"/>
    <n v="104.2"/>
    <n v="348"/>
    <n v="135.1"/>
    <n v="5.55"/>
    <n v="156"/>
    <n v="881"/>
    <n v="758"/>
    <s v="FWD"/>
    <n v="5"/>
    <s v="Hatchback"/>
    <n v="26.2"/>
    <n v="1721"/>
    <n v="4"/>
    <n v="1"/>
    <x v="2"/>
    <x v="2"/>
    <n v="27293"/>
    <n v="3.5"/>
    <n v="3"/>
    <x v="1"/>
    <n v="3.34"/>
    <s v="High"/>
  </r>
  <r>
    <x v="4"/>
    <s v="Cybertruck"/>
    <x v="3"/>
    <s v="Base"/>
    <n v="69446.789999999994"/>
    <n v="55.6"/>
    <n v="196"/>
    <n v="255.2"/>
    <n v="6.25"/>
    <n v="155"/>
    <n v="473"/>
    <n v="453"/>
    <s v="RWD"/>
    <n v="5"/>
    <s v="Truck"/>
    <n v="69.900000000000006"/>
    <n v="2266"/>
    <n v="4"/>
    <n v="3"/>
    <x v="2"/>
    <x v="2"/>
    <n v="214270"/>
    <n v="3.7"/>
    <n v="5"/>
    <x v="1"/>
    <n v="3.53"/>
    <s v="High"/>
  </r>
  <r>
    <x v="8"/>
    <s v="Ioniq 5"/>
    <x v="0"/>
    <s v="Standard"/>
    <n v="68110.080000000002"/>
    <n v="72.3"/>
    <n v="255"/>
    <n v="144"/>
    <n v="6.66"/>
    <n v="152"/>
    <n v="842"/>
    <n v="760"/>
    <s v="FWD"/>
    <n v="5"/>
    <s v="Truck"/>
    <n v="56"/>
    <n v="2701"/>
    <n v="4"/>
    <n v="0"/>
    <x v="3"/>
    <x v="2"/>
    <n v="73761"/>
    <n v="3.8"/>
    <n v="4"/>
    <x v="1"/>
    <n v="3.53"/>
    <s v="High"/>
  </r>
  <r>
    <x v="4"/>
    <s v="Model Y"/>
    <x v="0"/>
    <s v="Base"/>
    <n v="92950.35"/>
    <n v="77.5"/>
    <n v="263"/>
    <n v="293.39999999999998"/>
    <n v="5.57"/>
    <n v="166"/>
    <n v="716"/>
    <n v="658"/>
    <s v="RWD"/>
    <n v="5"/>
    <s v="SUV"/>
    <n v="43"/>
    <n v="2272"/>
    <n v="5"/>
    <n v="3"/>
    <x v="2"/>
    <x v="2"/>
    <n v="491547"/>
    <n v="3.6"/>
    <n v="5"/>
    <x v="1"/>
    <n v="3.39"/>
    <s v="High"/>
  </r>
  <r>
    <x v="3"/>
    <s v="EV9"/>
    <x v="1"/>
    <s v="Performance"/>
    <n v="67330.570000000007"/>
    <n v="77.099999999999994"/>
    <n v="284"/>
    <n v="154.4"/>
    <n v="4.17"/>
    <n v="194"/>
    <n v="742"/>
    <n v="621"/>
    <s v="RWD"/>
    <n v="5"/>
    <s v="SUV"/>
    <n v="50.4"/>
    <n v="1973"/>
    <n v="5"/>
    <n v="2"/>
    <x v="3"/>
    <x v="2"/>
    <n v="91349"/>
    <n v="3.5"/>
    <n v="4"/>
    <x v="1"/>
    <n v="3.68"/>
    <s v="High"/>
  </r>
  <r>
    <x v="0"/>
    <s v="ID. Aero"/>
    <x v="3"/>
    <s v="Premium"/>
    <n v="89383.1"/>
    <n v="57.7"/>
    <n v="217"/>
    <n v="133.5"/>
    <n v="6.68"/>
    <n v="143"/>
    <n v="1000"/>
    <n v="885"/>
    <s v="AWD"/>
    <n v="5"/>
    <s v="Truck"/>
    <n v="50.6"/>
    <n v="3000"/>
    <n v="4"/>
    <n v="1"/>
    <x v="0"/>
    <x v="2"/>
    <n v="222817"/>
    <n v="3.4"/>
    <n v="4"/>
    <x v="1"/>
    <n v="3.76"/>
    <s v="High"/>
  </r>
  <r>
    <x v="11"/>
    <s v="Q4 e-tron"/>
    <x v="2"/>
    <s v="Base"/>
    <n v="108294.87"/>
    <n v="84.2"/>
    <n v="297"/>
    <n v="86.6"/>
    <n v="7.49"/>
    <n v="142"/>
    <n v="803"/>
    <n v="720"/>
    <s v="RWD"/>
    <n v="5"/>
    <s v="Truck"/>
    <n v="63.1"/>
    <n v="2606"/>
    <n v="5"/>
    <n v="1"/>
    <x v="0"/>
    <x v="0"/>
    <n v="75960"/>
    <n v="3.6"/>
    <n v="6"/>
    <x v="2"/>
    <n v="3.53"/>
    <s v="High"/>
  </r>
  <r>
    <x v="7"/>
    <s v="Max"/>
    <x v="3"/>
    <s v="Performance"/>
    <n v="92829.9"/>
    <n v="82.3"/>
    <n v="285"/>
    <n v="154.4"/>
    <n v="2.99"/>
    <n v="200"/>
    <n v="1000"/>
    <n v="876"/>
    <s v="RWD"/>
    <n v="7"/>
    <s v="SUV"/>
    <n v="36.9"/>
    <n v="1909"/>
    <n v="5"/>
    <n v="0"/>
    <x v="4"/>
    <x v="2"/>
    <n v="235698"/>
    <n v="3.6"/>
    <n v="4"/>
    <x v="0"/>
    <n v="3.46"/>
    <s v="High"/>
  </r>
  <r>
    <x v="4"/>
    <s v="Cybertruck"/>
    <x v="3"/>
    <s v="Premium"/>
    <n v="35991.9"/>
    <n v="60.6"/>
    <n v="218"/>
    <n v="232.1"/>
    <n v="6.3"/>
    <n v="151"/>
    <n v="240"/>
    <n v="200"/>
    <s v="AWD"/>
    <n v="5"/>
    <s v="Truck"/>
    <n v="51.5"/>
    <n v="2427"/>
    <n v="4"/>
    <n v="2"/>
    <x v="2"/>
    <x v="1"/>
    <n v="169730"/>
    <n v="3.7"/>
    <n v="6"/>
    <x v="1"/>
    <n v="3.6"/>
    <s v="High"/>
  </r>
  <r>
    <x v="4"/>
    <s v="Model 3"/>
    <x v="3"/>
    <s v="Base"/>
    <n v="88596.07"/>
    <n v="45.9"/>
    <n v="179"/>
    <n v="329.1"/>
    <n v="5.04"/>
    <n v="178"/>
    <n v="662"/>
    <n v="638"/>
    <s v="AWD"/>
    <n v="7"/>
    <s v="Van"/>
    <n v="60.6"/>
    <n v="1570"/>
    <n v="5"/>
    <n v="3"/>
    <x v="2"/>
    <x v="2"/>
    <n v="124700"/>
    <n v="3.6"/>
    <n v="5"/>
    <x v="1"/>
    <n v="3.9"/>
    <s v="High"/>
  </r>
  <r>
    <x v="9"/>
    <s v="Explorer EV"/>
    <x v="0"/>
    <s v="Standard"/>
    <n v="73469.820000000007"/>
    <n v="58.2"/>
    <n v="186"/>
    <n v="88.3"/>
    <n v="7.61"/>
    <n v="134"/>
    <n v="859"/>
    <n v="769"/>
    <s v="RWD"/>
    <n v="5"/>
    <s v="Coupe"/>
    <n v="29.9"/>
    <n v="1500"/>
    <n v="5"/>
    <n v="0"/>
    <x v="2"/>
    <x v="2"/>
    <n v="59218"/>
    <n v="3.4"/>
    <n v="3"/>
    <x v="2"/>
    <n v="3.2"/>
    <s v="High"/>
  </r>
  <r>
    <x v="3"/>
    <s v="Niro EV"/>
    <x v="5"/>
    <s v="Standard"/>
    <n v="72349.570000000007"/>
    <n v="59.3"/>
    <n v="198"/>
    <n v="74.400000000000006"/>
    <n v="7.19"/>
    <n v="149"/>
    <n v="842"/>
    <n v="756"/>
    <s v="FWD"/>
    <n v="7"/>
    <s v="SUV"/>
    <n v="55.2"/>
    <n v="1981"/>
    <n v="4"/>
    <n v="0"/>
    <x v="3"/>
    <x v="2"/>
    <n v="69075"/>
    <n v="3.2"/>
    <n v="5"/>
    <x v="2"/>
    <n v="3.34"/>
    <s v="High"/>
  </r>
  <r>
    <x v="4"/>
    <s v="Model X"/>
    <x v="0"/>
    <s v="Performance"/>
    <n v="93392.21"/>
    <n v="85.7"/>
    <n v="297"/>
    <n v="308.7"/>
    <n v="3.2"/>
    <n v="200"/>
    <n v="697"/>
    <n v="578"/>
    <s v="AWD"/>
    <n v="7"/>
    <s v="SUV"/>
    <n v="35.4"/>
    <n v="2085"/>
    <n v="5"/>
    <n v="3"/>
    <x v="2"/>
    <x v="2"/>
    <n v="138082"/>
    <n v="3.7"/>
    <n v="5"/>
    <x v="0"/>
    <n v="3.47"/>
    <s v="High"/>
  </r>
  <r>
    <x v="4"/>
    <s v="Model S"/>
    <x v="0"/>
    <s v="Premium"/>
    <n v="109016.04"/>
    <n v="46.6"/>
    <n v="178"/>
    <n v="263.2"/>
    <n v="7.52"/>
    <n v="137"/>
    <n v="752"/>
    <n v="688"/>
    <s v="FWD"/>
    <n v="5"/>
    <s v="Hatchback"/>
    <n v="22.4"/>
    <n v="1577"/>
    <n v="5"/>
    <n v="2"/>
    <x v="2"/>
    <x v="0"/>
    <n v="113179"/>
    <n v="3.6"/>
    <n v="5"/>
    <x v="2"/>
    <n v="3.82"/>
    <s v="High"/>
  </r>
  <r>
    <x v="2"/>
    <s v="Bolt EV"/>
    <x v="2"/>
    <s v="Standard"/>
    <n v="40534.339999999997"/>
    <n v="52"/>
    <n v="170"/>
    <n v="94.6"/>
    <n v="7.08"/>
    <n v="148"/>
    <n v="407"/>
    <n v="344"/>
    <s v="FWD"/>
    <n v="7"/>
    <s v="Coupe"/>
    <n v="26.9"/>
    <n v="1673"/>
    <n v="5"/>
    <n v="0"/>
    <x v="2"/>
    <x v="1"/>
    <n v="24616"/>
    <n v="3.1"/>
    <n v="4"/>
    <x v="2"/>
    <n v="3.27"/>
    <s v="High"/>
  </r>
  <r>
    <x v="4"/>
    <s v="Model Y"/>
    <x v="2"/>
    <s v="Premium"/>
    <n v="47765.25"/>
    <n v="45.3"/>
    <n v="171"/>
    <n v="305.8"/>
    <n v="6.25"/>
    <n v="167"/>
    <n v="306"/>
    <n v="318"/>
    <s v="RWD"/>
    <n v="5"/>
    <s v="Sedan"/>
    <n v="25"/>
    <n v="1500"/>
    <n v="5"/>
    <n v="3"/>
    <x v="2"/>
    <x v="1"/>
    <n v="423769"/>
    <n v="3.5"/>
    <n v="4"/>
    <x v="1"/>
    <n v="3.77"/>
    <s v="High"/>
  </r>
  <r>
    <x v="9"/>
    <s v="Mustang Mach-E"/>
    <x v="2"/>
    <s v="Performance"/>
    <n v="92734.95"/>
    <n v="71.599999999999994"/>
    <n v="257"/>
    <n v="171.2"/>
    <n v="4.22"/>
    <n v="183"/>
    <n v="1000"/>
    <n v="917"/>
    <s v="RWD"/>
    <n v="7"/>
    <s v="Van"/>
    <n v="71.5"/>
    <n v="1569"/>
    <n v="4"/>
    <n v="0"/>
    <x v="2"/>
    <x v="2"/>
    <n v="52532"/>
    <n v="3.3"/>
    <n v="5"/>
    <x v="1"/>
    <n v="3.59"/>
    <s v="High"/>
  </r>
  <r>
    <x v="2"/>
    <s v="Bolt EUV"/>
    <x v="2"/>
    <s v="Standard"/>
    <n v="53007.41"/>
    <n v="82.4"/>
    <n v="303"/>
    <n v="146.80000000000001"/>
    <n v="7.4"/>
    <n v="145"/>
    <n v="623"/>
    <n v="533"/>
    <s v="RWD"/>
    <n v="5"/>
    <s v="SUV"/>
    <n v="44.5"/>
    <n v="2061"/>
    <n v="4"/>
    <n v="1"/>
    <x v="2"/>
    <x v="1"/>
    <n v="25295"/>
    <n v="3.7"/>
    <n v="5"/>
    <x v="2"/>
    <n v="3.68"/>
    <s v="High"/>
  </r>
  <r>
    <x v="4"/>
    <s v="Model 3"/>
    <x v="2"/>
    <s v="Long Range"/>
    <n v="74766.45"/>
    <n v="76.5"/>
    <n v="284"/>
    <n v="257.2"/>
    <n v="5.48"/>
    <n v="169"/>
    <n v="487"/>
    <n v="482"/>
    <s v="AWD"/>
    <n v="7"/>
    <s v="Sedan"/>
    <n v="25.1"/>
    <n v="1610"/>
    <n v="5"/>
    <n v="3"/>
    <x v="2"/>
    <x v="2"/>
    <n v="155185"/>
    <n v="4.0999999999999996"/>
    <n v="5"/>
    <x v="1"/>
    <n v="3.71"/>
    <s v="High"/>
  </r>
  <r>
    <x v="4"/>
    <s v="Model S"/>
    <x v="3"/>
    <s v="Base"/>
    <n v="43016.55"/>
    <n v="44.3"/>
    <n v="159"/>
    <n v="252.5"/>
    <n v="5.67"/>
    <n v="163"/>
    <n v="327"/>
    <n v="254"/>
    <s v="FWD"/>
    <n v="7"/>
    <s v="SUV"/>
    <n v="50.8"/>
    <n v="1663"/>
    <n v="5"/>
    <n v="2"/>
    <x v="2"/>
    <x v="1"/>
    <n v="118264"/>
    <n v="3.5"/>
    <n v="6"/>
    <x v="1"/>
    <n v="3.59"/>
    <s v="High"/>
  </r>
  <r>
    <x v="14"/>
    <s v="Taycan"/>
    <x v="0"/>
    <s v="Base"/>
    <n v="145262.78"/>
    <n v="70.599999999999994"/>
    <n v="265"/>
    <n v="329.1"/>
    <n v="7.46"/>
    <n v="148"/>
    <n v="626"/>
    <n v="548"/>
    <s v="RWD"/>
    <n v="5"/>
    <s v="Hatchback"/>
    <n v="17.8"/>
    <n v="1755"/>
    <n v="4"/>
    <n v="2"/>
    <x v="0"/>
    <x v="0"/>
    <n v="24347"/>
    <n v="3.6"/>
    <n v="7"/>
    <x v="2"/>
    <n v="3.75"/>
    <s v="High"/>
  </r>
  <r>
    <x v="0"/>
    <s v="ID.4"/>
    <x v="1"/>
    <s v="Performance"/>
    <n v="102466.68"/>
    <n v="77.599999999999994"/>
    <n v="281"/>
    <n v="218"/>
    <n v="4.12"/>
    <n v="189"/>
    <n v="1000"/>
    <n v="886"/>
    <s v="RWD"/>
    <n v="7"/>
    <s v="Truck"/>
    <n v="65.3"/>
    <n v="2347"/>
    <n v="5"/>
    <n v="1"/>
    <x v="0"/>
    <x v="0"/>
    <n v="252835"/>
    <n v="3.4"/>
    <n v="5"/>
    <x v="1"/>
    <n v="3.62"/>
    <s v="High"/>
  </r>
  <r>
    <x v="0"/>
    <s v="ID.4"/>
    <x v="3"/>
    <s v="Performance"/>
    <n v="66259.17"/>
    <n v="77.599999999999994"/>
    <n v="256"/>
    <n v="242.3"/>
    <n v="2.76"/>
    <n v="200"/>
    <n v="666"/>
    <n v="595"/>
    <s v="RWD"/>
    <n v="7"/>
    <s v="Sedan"/>
    <n v="23.8"/>
    <n v="1721"/>
    <n v="4"/>
    <n v="0"/>
    <x v="0"/>
    <x v="2"/>
    <n v="296982"/>
    <n v="3.5"/>
    <n v="3"/>
    <x v="0"/>
    <n v="3.3"/>
    <s v="High"/>
  </r>
  <r>
    <x v="9"/>
    <s v="Explorer EV"/>
    <x v="5"/>
    <s v="Standard"/>
    <n v="69136.539999999994"/>
    <n v="53.2"/>
    <n v="193"/>
    <n v="107.3"/>
    <n v="6.38"/>
    <n v="161"/>
    <n v="768"/>
    <n v="638"/>
    <s v="FWD"/>
    <n v="5"/>
    <s v="SUV"/>
    <n v="37.700000000000003"/>
    <n v="2080"/>
    <n v="3"/>
    <n v="2"/>
    <x v="2"/>
    <x v="2"/>
    <n v="61663"/>
    <n v="3.2"/>
    <n v="4"/>
    <x v="1"/>
    <n v="3.63"/>
    <s v="High"/>
  </r>
  <r>
    <x v="1"/>
    <s v="bZ Compact SUV"/>
    <x v="2"/>
    <s v="Long Range"/>
    <n v="87515.62"/>
    <n v="75.8"/>
    <n v="273"/>
    <n v="117.8"/>
    <n v="4.57"/>
    <n v="170"/>
    <n v="1000"/>
    <n v="858"/>
    <s v="FWD"/>
    <n v="7"/>
    <s v="SUV"/>
    <n v="61.7"/>
    <n v="1886"/>
    <n v="4"/>
    <n v="0"/>
    <x v="1"/>
    <x v="2"/>
    <n v="24507"/>
    <n v="3.5"/>
    <n v="4"/>
    <x v="1"/>
    <n v="3.6"/>
    <s v="High"/>
  </r>
  <r>
    <x v="14"/>
    <s v="Taycan"/>
    <x v="5"/>
    <s v="Long Range"/>
    <n v="220736.96"/>
    <n v="82.6"/>
    <n v="288"/>
    <n v="304.39999999999998"/>
    <n v="5.9"/>
    <n v="161"/>
    <n v="1000"/>
    <n v="915"/>
    <s v="RWD"/>
    <n v="5"/>
    <s v="SUV"/>
    <n v="42.7"/>
    <n v="2169"/>
    <n v="5"/>
    <n v="0"/>
    <x v="0"/>
    <x v="0"/>
    <n v="5345"/>
    <n v="3.6"/>
    <n v="6"/>
    <x v="1"/>
    <n v="3.49"/>
    <s v="Medium"/>
  </r>
  <r>
    <x v="2"/>
    <s v="Bolt EV"/>
    <x v="3"/>
    <s v="Premium"/>
    <n v="93152"/>
    <n v="60.9"/>
    <n v="214"/>
    <n v="82.9"/>
    <n v="6.96"/>
    <n v="145"/>
    <n v="1000"/>
    <n v="850"/>
    <s v="RWD"/>
    <n v="7"/>
    <s v="Sedan"/>
    <n v="16.100000000000001"/>
    <n v="1500"/>
    <n v="5"/>
    <n v="1"/>
    <x v="2"/>
    <x v="2"/>
    <n v="20002"/>
    <n v="3.7"/>
    <n v="4"/>
    <x v="1"/>
    <n v="3.51"/>
    <s v="High"/>
  </r>
  <r>
    <x v="0"/>
    <s v="ID. Aero"/>
    <x v="5"/>
    <s v="Standard"/>
    <n v="36003.86"/>
    <n v="51.5"/>
    <n v="216"/>
    <n v="88.4"/>
    <n v="5.81"/>
    <n v="170"/>
    <n v="211"/>
    <n v="201"/>
    <s v="FWD"/>
    <n v="7"/>
    <s v="Hatchback"/>
    <n v="18"/>
    <n v="1597"/>
    <n v="5"/>
    <n v="1"/>
    <x v="0"/>
    <x v="1"/>
    <n v="241049"/>
    <n v="3.5"/>
    <n v="3"/>
    <x v="1"/>
    <n v="4.1900000000000004"/>
    <s v="High"/>
  </r>
  <r>
    <x v="4"/>
    <s v="Model S"/>
    <x v="1"/>
    <s v="Long Range"/>
    <n v="119080.01"/>
    <n v="82.3"/>
    <n v="284"/>
    <n v="267.39999999999998"/>
    <n v="5.42"/>
    <n v="159"/>
    <n v="912"/>
    <n v="859"/>
    <s v="RWD"/>
    <n v="5"/>
    <s v="Truck"/>
    <n v="73.099999999999994"/>
    <n v="2165"/>
    <n v="5"/>
    <n v="2"/>
    <x v="2"/>
    <x v="0"/>
    <n v="124340"/>
    <n v="4"/>
    <n v="6"/>
    <x v="1"/>
    <n v="3.45"/>
    <s v="High"/>
  </r>
  <r>
    <x v="9"/>
    <s v="E-Transit"/>
    <x v="0"/>
    <s v="Base"/>
    <n v="51056.88"/>
    <n v="78.599999999999994"/>
    <n v="262"/>
    <n v="89.9"/>
    <n v="6.52"/>
    <n v="156"/>
    <n v="500"/>
    <n v="462"/>
    <s v="RWD"/>
    <n v="5"/>
    <s v="Coupe"/>
    <n v="16.899999999999999"/>
    <n v="1639"/>
    <n v="5"/>
    <n v="0"/>
    <x v="2"/>
    <x v="1"/>
    <n v="59730"/>
    <n v="3.5"/>
    <n v="4"/>
    <x v="1"/>
    <n v="3.33"/>
    <s v="High"/>
  </r>
  <r>
    <x v="3"/>
    <s v="Niro EV"/>
    <x v="6"/>
    <s v="Base"/>
    <n v="46532.99"/>
    <n v="75.900000000000006"/>
    <n v="260"/>
    <n v="71.900000000000006"/>
    <n v="5.92"/>
    <n v="156"/>
    <n v="419"/>
    <n v="386"/>
    <s v="RWD"/>
    <n v="7"/>
    <s v="Van"/>
    <n v="72.8"/>
    <n v="1762"/>
    <n v="4"/>
    <n v="0"/>
    <x v="3"/>
    <x v="1"/>
    <n v="63258"/>
    <n v="3.5"/>
    <n v="4"/>
    <x v="1"/>
    <n v="3.43"/>
    <s v="High"/>
  </r>
  <r>
    <x v="0"/>
    <s v="ID.4"/>
    <x v="2"/>
    <s v="Premium"/>
    <n v="114364.87"/>
    <n v="45.2"/>
    <n v="151"/>
    <n v="74.099999999999994"/>
    <n v="6.55"/>
    <n v="150"/>
    <n v="1000"/>
    <n v="911"/>
    <s v="RWD"/>
    <n v="5"/>
    <s v="Hatchback"/>
    <n v="31.4"/>
    <n v="1812"/>
    <n v="5"/>
    <n v="0"/>
    <x v="0"/>
    <x v="0"/>
    <n v="233971"/>
    <n v="3.2"/>
    <n v="5"/>
    <x v="1"/>
    <n v="3.34"/>
    <s v="High"/>
  </r>
  <r>
    <x v="11"/>
    <s v="e-tron GT"/>
    <x v="3"/>
    <s v="Standard"/>
    <n v="109816.18"/>
    <n v="60.8"/>
    <n v="222"/>
    <n v="113.4"/>
    <n v="7.53"/>
    <n v="139"/>
    <n v="820"/>
    <n v="730"/>
    <s v="FWD"/>
    <n v="5"/>
    <s v="Sedan"/>
    <n v="39.6"/>
    <n v="1514"/>
    <n v="5"/>
    <n v="1"/>
    <x v="0"/>
    <x v="0"/>
    <n v="73358"/>
    <n v="3.5"/>
    <n v="8"/>
    <x v="2"/>
    <n v="3.65"/>
    <s v="High"/>
  </r>
  <r>
    <x v="4"/>
    <s v="Model Y"/>
    <x v="5"/>
    <s v="Standard"/>
    <n v="40006.71"/>
    <n v="63.9"/>
    <n v="241"/>
    <n v="313.7"/>
    <n v="7.73"/>
    <n v="131"/>
    <n v="266"/>
    <n v="234"/>
    <s v="FWD"/>
    <n v="7"/>
    <s v="Truck"/>
    <n v="64.2"/>
    <n v="2397"/>
    <n v="4"/>
    <n v="2"/>
    <x v="2"/>
    <x v="1"/>
    <n v="488644"/>
    <n v="3.7"/>
    <n v="4"/>
    <x v="2"/>
    <n v="3.77"/>
    <s v="High"/>
  </r>
  <r>
    <x v="8"/>
    <s v="Ioniq 6"/>
    <x v="3"/>
    <s v="Standard"/>
    <n v="63640"/>
    <n v="40.299999999999997"/>
    <n v="150"/>
    <n v="135"/>
    <n v="7.88"/>
    <n v="131"/>
    <n v="755"/>
    <n v="696"/>
    <s v="FWD"/>
    <n v="5"/>
    <s v="Truck"/>
    <n v="53.7"/>
    <n v="2077"/>
    <n v="4"/>
    <n v="0"/>
    <x v="3"/>
    <x v="1"/>
    <n v="139571"/>
    <n v="3.2"/>
    <n v="4"/>
    <x v="2"/>
    <n v="3.72"/>
    <s v="High"/>
  </r>
  <r>
    <x v="4"/>
    <s v="Model Y"/>
    <x v="3"/>
    <s v="Long Range"/>
    <n v="161112.44"/>
    <n v="98.8"/>
    <n v="371"/>
    <n v="313.39999999999998"/>
    <n v="5.56"/>
    <n v="163"/>
    <n v="1000"/>
    <n v="875"/>
    <s v="AWD"/>
    <n v="7"/>
    <s v="Coupe"/>
    <n v="33"/>
    <n v="1641"/>
    <n v="4"/>
    <n v="2"/>
    <x v="2"/>
    <x v="0"/>
    <n v="404800"/>
    <n v="4.2"/>
    <n v="5"/>
    <x v="1"/>
    <n v="3.76"/>
    <s v="High"/>
  </r>
  <r>
    <x v="8"/>
    <s v="Ioniq 6"/>
    <x v="3"/>
    <s v="Premium"/>
    <n v="44861.53"/>
    <n v="84.1"/>
    <n v="305"/>
    <n v="50.4"/>
    <n v="5.0599999999999996"/>
    <n v="172"/>
    <n v="389"/>
    <n v="344"/>
    <s v="RWD"/>
    <n v="5"/>
    <s v="Coupe"/>
    <n v="24.7"/>
    <n v="1680"/>
    <n v="4"/>
    <n v="0"/>
    <x v="3"/>
    <x v="1"/>
    <n v="98434"/>
    <n v="3.5"/>
    <n v="3"/>
    <x v="1"/>
    <n v="3.63"/>
    <s v="High"/>
  </r>
  <r>
    <x v="4"/>
    <s v="Model S"/>
    <x v="0"/>
    <s v="Premium"/>
    <n v="137659.6"/>
    <n v="56.7"/>
    <n v="186"/>
    <n v="223.5"/>
    <n v="7.05"/>
    <n v="142"/>
    <n v="1000"/>
    <n v="907"/>
    <s v="AWD"/>
    <n v="5"/>
    <s v="Coupe"/>
    <n v="27.8"/>
    <n v="1530"/>
    <n v="4"/>
    <n v="2"/>
    <x v="2"/>
    <x v="0"/>
    <n v="167952"/>
    <n v="3.7"/>
    <n v="6"/>
    <x v="2"/>
    <n v="3.28"/>
    <s v="High"/>
  </r>
  <r>
    <x v="4"/>
    <s v="Model 3"/>
    <x v="2"/>
    <s v="Base"/>
    <n v="32105.759999999998"/>
    <n v="54.4"/>
    <n v="214"/>
    <n v="223.7"/>
    <n v="7.58"/>
    <n v="129"/>
    <n v="229"/>
    <n v="203"/>
    <s v="FWD"/>
    <n v="5"/>
    <s v="Coupe"/>
    <n v="18.8"/>
    <n v="1625"/>
    <n v="4"/>
    <n v="2"/>
    <x v="2"/>
    <x v="3"/>
    <n v="245170"/>
    <n v="3.5"/>
    <n v="5"/>
    <x v="2"/>
    <n v="3.93"/>
    <s v="High"/>
  </r>
  <r>
    <x v="4"/>
    <s v="Model 3"/>
    <x v="3"/>
    <s v="Performance"/>
    <n v="42441.37"/>
    <n v="104.2"/>
    <n v="372"/>
    <n v="260.89999999999998"/>
    <n v="2.56"/>
    <n v="200"/>
    <n v="260"/>
    <n v="237"/>
    <s v="FWD"/>
    <n v="7"/>
    <s v="Truck"/>
    <n v="57.3"/>
    <n v="2532"/>
    <n v="5"/>
    <n v="2"/>
    <x v="2"/>
    <x v="1"/>
    <n v="230471"/>
    <n v="4.3"/>
    <n v="5"/>
    <x v="0"/>
    <n v="3.57"/>
    <s v="High"/>
  </r>
  <r>
    <x v="10"/>
    <s v="iX"/>
    <x v="1"/>
    <s v="Base"/>
    <n v="61657.41"/>
    <n v="79.900000000000006"/>
    <n v="273"/>
    <n v="112.4"/>
    <n v="5.22"/>
    <n v="174"/>
    <n v="295"/>
    <n v="276"/>
    <s v="AWD"/>
    <n v="5"/>
    <s v="SUV"/>
    <n v="58.7"/>
    <n v="1890"/>
    <n v="5"/>
    <n v="2"/>
    <x v="0"/>
    <x v="1"/>
    <n v="21575"/>
    <n v="3.7"/>
    <n v="6"/>
    <x v="1"/>
    <n v="3.42"/>
    <s v="High"/>
  </r>
  <r>
    <x v="2"/>
    <s v="Equinox EV"/>
    <x v="0"/>
    <s v="Base"/>
    <n v="37448.46"/>
    <n v="74.099999999999994"/>
    <n v="275"/>
    <n v="104.4"/>
    <n v="5.71"/>
    <n v="165"/>
    <n v="350"/>
    <n v="350"/>
    <s v="AWD"/>
    <n v="7"/>
    <s v="SUV"/>
    <n v="47.5"/>
    <n v="1971"/>
    <n v="5"/>
    <n v="0"/>
    <x v="2"/>
    <x v="1"/>
    <n v="12182"/>
    <n v="3.7"/>
    <n v="5"/>
    <x v="1"/>
    <n v="3.71"/>
    <s v="Medium"/>
  </r>
  <r>
    <x v="3"/>
    <s v="EV9"/>
    <x v="0"/>
    <s v="Standard"/>
    <n v="55591.96"/>
    <n v="80.5"/>
    <n v="283"/>
    <n v="90.4"/>
    <n v="6.21"/>
    <n v="166"/>
    <n v="533"/>
    <n v="490"/>
    <s v="AWD"/>
    <n v="5"/>
    <s v="SUV"/>
    <n v="41.6"/>
    <n v="2004"/>
    <n v="4"/>
    <n v="1"/>
    <x v="3"/>
    <x v="1"/>
    <n v="113695"/>
    <n v="3.6"/>
    <n v="5"/>
    <x v="1"/>
    <n v="3.52"/>
    <s v="High"/>
  </r>
  <r>
    <x v="1"/>
    <s v="bZ4X"/>
    <x v="2"/>
    <s v="Long Range"/>
    <n v="55686.21"/>
    <n v="91.7"/>
    <n v="324"/>
    <n v="116.2"/>
    <n v="4.88"/>
    <n v="179"/>
    <n v="560"/>
    <n v="505"/>
    <s v="FWD"/>
    <n v="5"/>
    <s v="Van"/>
    <n v="64.2"/>
    <n v="1570"/>
    <n v="5"/>
    <n v="1"/>
    <x v="1"/>
    <x v="1"/>
    <n v="18558"/>
    <n v="3.6"/>
    <n v="4"/>
    <x v="1"/>
    <n v="3.53"/>
    <s v="Medium"/>
  </r>
  <r>
    <x v="0"/>
    <s v="ID.4"/>
    <x v="3"/>
    <s v="Long Range"/>
    <n v="47485.93"/>
    <n v="104.7"/>
    <n v="349"/>
    <n v="67.7"/>
    <n v="5.75"/>
    <n v="166"/>
    <n v="429"/>
    <n v="423"/>
    <s v="FWD"/>
    <n v="5"/>
    <s v="Sedan"/>
    <n v="17.8"/>
    <n v="1870"/>
    <n v="4"/>
    <n v="1"/>
    <x v="0"/>
    <x v="1"/>
    <n v="243761"/>
    <n v="3.6"/>
    <n v="5"/>
    <x v="1"/>
    <n v="3.33"/>
    <s v="High"/>
  </r>
  <r>
    <x v="7"/>
    <s v="Dolphin"/>
    <x v="3"/>
    <s v="Performance"/>
    <n v="53346.09"/>
    <n v="111"/>
    <n v="410"/>
    <n v="228.9"/>
    <n v="4.0199999999999996"/>
    <n v="189"/>
    <n v="553"/>
    <n v="436"/>
    <s v="FWD"/>
    <n v="7"/>
    <s v="SUV"/>
    <n v="67.3"/>
    <n v="1923"/>
    <n v="5"/>
    <n v="0"/>
    <x v="4"/>
    <x v="1"/>
    <n v="141126"/>
    <n v="4.2"/>
    <n v="3"/>
    <x v="1"/>
    <n v="3.69"/>
    <s v="High"/>
  </r>
  <r>
    <x v="5"/>
    <s v="EQC"/>
    <x v="3"/>
    <s v="Long Range"/>
    <n v="162751.1"/>
    <n v="96.3"/>
    <n v="344"/>
    <n v="117"/>
    <n v="4.3499999999999996"/>
    <n v="185"/>
    <n v="1000"/>
    <n v="889"/>
    <s v="AWD"/>
    <n v="5"/>
    <s v="Sedan"/>
    <n v="33.4"/>
    <n v="1500"/>
    <n v="5"/>
    <n v="1"/>
    <x v="0"/>
    <x v="0"/>
    <n v="68195"/>
    <n v="4.3"/>
    <n v="6"/>
    <x v="1"/>
    <n v="3.57"/>
    <s v="High"/>
  </r>
  <r>
    <x v="7"/>
    <s v="Dolphin"/>
    <x v="6"/>
    <s v="Standard"/>
    <n v="70472.75"/>
    <n v="66.3"/>
    <n v="241"/>
    <n v="74.7"/>
    <n v="7.41"/>
    <n v="138"/>
    <n v="730"/>
    <n v="699"/>
    <s v="AWD"/>
    <n v="5"/>
    <s v="Van"/>
    <n v="67.2"/>
    <n v="1731"/>
    <n v="3"/>
    <n v="2"/>
    <x v="4"/>
    <x v="2"/>
    <n v="199656"/>
    <n v="3.4"/>
    <n v="4"/>
    <x v="2"/>
    <n v="3.63"/>
    <s v="High"/>
  </r>
  <r>
    <x v="1"/>
    <s v="bZ4X"/>
    <x v="2"/>
    <s v="Base"/>
    <n v="36014.199999999997"/>
    <n v="52.5"/>
    <n v="186"/>
    <n v="91.3"/>
    <n v="5.22"/>
    <n v="177"/>
    <n v="200"/>
    <n v="212"/>
    <s v="FWD"/>
    <n v="5"/>
    <s v="Coupe"/>
    <n v="29.8"/>
    <n v="1500"/>
    <n v="4"/>
    <n v="1"/>
    <x v="1"/>
    <x v="1"/>
    <n v="5267"/>
    <n v="3.4"/>
    <n v="3"/>
    <x v="1"/>
    <n v="3.54"/>
    <s v="Medium"/>
  </r>
  <r>
    <x v="4"/>
    <s v="Model Y"/>
    <x v="5"/>
    <s v="Base"/>
    <n v="41355.449999999997"/>
    <n v="69.599999999999994"/>
    <n v="247"/>
    <n v="307.7"/>
    <n v="5.79"/>
    <n v="165"/>
    <n v="287"/>
    <n v="328"/>
    <s v="RWD"/>
    <n v="5"/>
    <s v="Van"/>
    <n v="69.8"/>
    <n v="1501"/>
    <n v="4"/>
    <n v="2"/>
    <x v="2"/>
    <x v="1"/>
    <n v="407336"/>
    <n v="3.8"/>
    <n v="4"/>
    <x v="1"/>
    <n v="3.55"/>
    <s v="High"/>
  </r>
  <r>
    <x v="6"/>
    <s v="Ronin"/>
    <x v="2"/>
    <s v="Base"/>
    <n v="65556.39"/>
    <n v="55.1"/>
    <n v="194"/>
    <n v="77.099999999999994"/>
    <n v="6.84"/>
    <n v="143"/>
    <n v="472"/>
    <n v="380"/>
    <s v="RWD"/>
    <n v="7"/>
    <s v="Van"/>
    <n v="70.599999999999994"/>
    <n v="1500"/>
    <n v="5"/>
    <n v="1"/>
    <x v="2"/>
    <x v="2"/>
    <n v="2927"/>
    <n v="3.4"/>
    <n v="4"/>
    <x v="1"/>
    <n v="3.52"/>
    <s v="Low"/>
  </r>
  <r>
    <x v="4"/>
    <s v="Model S"/>
    <x v="5"/>
    <s v="Base"/>
    <n v="88832.48"/>
    <n v="49.6"/>
    <n v="157"/>
    <n v="285.7"/>
    <n v="7.87"/>
    <n v="138"/>
    <n v="597"/>
    <n v="558"/>
    <s v="FWD"/>
    <n v="7"/>
    <s v="Coupe"/>
    <n v="24.3"/>
    <n v="1583"/>
    <n v="5"/>
    <n v="2"/>
    <x v="2"/>
    <x v="2"/>
    <n v="238605"/>
    <n v="3.5"/>
    <n v="4"/>
    <x v="2"/>
    <n v="3.17"/>
    <s v="High"/>
  </r>
  <r>
    <x v="11"/>
    <s v="Q4 e-tron"/>
    <x v="5"/>
    <s v="Long Range"/>
    <n v="71435.350000000006"/>
    <n v="106"/>
    <n v="377"/>
    <n v="144.5"/>
    <n v="5.29"/>
    <n v="176"/>
    <n v="416"/>
    <n v="348"/>
    <s v="FWD"/>
    <n v="7"/>
    <s v="Hatchback"/>
    <n v="34.1"/>
    <n v="1500"/>
    <n v="3"/>
    <n v="1"/>
    <x v="0"/>
    <x v="2"/>
    <n v="45647"/>
    <n v="4"/>
    <n v="6"/>
    <x v="1"/>
    <n v="3.56"/>
    <s v="High"/>
  </r>
  <r>
    <x v="8"/>
    <s v="i30"/>
    <x v="3"/>
    <s v="Standard"/>
    <n v="41853.99"/>
    <n v="80.099999999999994"/>
    <n v="318"/>
    <n v="59.6"/>
    <n v="6.15"/>
    <n v="157"/>
    <n v="390"/>
    <n v="369"/>
    <s v="FWD"/>
    <n v="7"/>
    <s v="Hatchback"/>
    <n v="21.8"/>
    <n v="1688"/>
    <n v="4"/>
    <n v="1"/>
    <x v="3"/>
    <x v="1"/>
    <n v="111448"/>
    <n v="3.7"/>
    <n v="4"/>
    <x v="1"/>
    <n v="3.97"/>
    <s v="High"/>
  </r>
  <r>
    <x v="15"/>
    <s v="XC90 Recharge"/>
    <x v="3"/>
    <s v="Premium"/>
    <n v="96813.71"/>
    <n v="40.6"/>
    <n v="150"/>
    <n v="140.69999999999999"/>
    <n v="7.68"/>
    <n v="123"/>
    <n v="899"/>
    <n v="801"/>
    <s v="FWD"/>
    <n v="7"/>
    <s v="Van"/>
    <n v="63.9"/>
    <n v="1615"/>
    <n v="5"/>
    <n v="2"/>
    <x v="5"/>
    <x v="2"/>
    <n v="10606"/>
    <n v="3.2"/>
    <n v="3"/>
    <x v="2"/>
    <n v="3.69"/>
    <s v="Medium"/>
  </r>
  <r>
    <x v="4"/>
    <s v="Model Y"/>
    <x v="3"/>
    <s v="Premium"/>
    <n v="129623.74"/>
    <n v="54.6"/>
    <n v="210"/>
    <n v="270"/>
    <n v="7.44"/>
    <n v="132"/>
    <n v="960"/>
    <n v="849"/>
    <s v="AWD"/>
    <n v="5"/>
    <s v="Truck"/>
    <n v="75.599999999999994"/>
    <n v="2337"/>
    <n v="5"/>
    <n v="2"/>
    <x v="2"/>
    <x v="0"/>
    <n v="481115"/>
    <n v="3.5"/>
    <n v="5"/>
    <x v="2"/>
    <n v="3.85"/>
    <s v="High"/>
  </r>
  <r>
    <x v="3"/>
    <s v="EV9"/>
    <x v="2"/>
    <s v="Standard"/>
    <n v="70066.61"/>
    <n v="55.2"/>
    <n v="186"/>
    <n v="110.9"/>
    <n v="5.46"/>
    <n v="169"/>
    <n v="783"/>
    <n v="737"/>
    <s v="AWD"/>
    <n v="7"/>
    <s v="SUV"/>
    <n v="36.799999999999997"/>
    <n v="1704"/>
    <n v="4"/>
    <n v="2"/>
    <x v="3"/>
    <x v="2"/>
    <n v="125092"/>
    <n v="3.1"/>
    <n v="3"/>
    <x v="1"/>
    <n v="3.37"/>
    <s v="High"/>
  </r>
  <r>
    <x v="6"/>
    <s v="Ocean"/>
    <x v="3"/>
    <s v="Premium"/>
    <n v="141027"/>
    <n v="54.1"/>
    <n v="190"/>
    <n v="99"/>
    <n v="6.37"/>
    <n v="168"/>
    <n v="1000"/>
    <n v="877"/>
    <s v="AWD"/>
    <n v="7"/>
    <s v="Sedan"/>
    <n v="32.1"/>
    <n v="1626"/>
    <n v="5"/>
    <n v="1"/>
    <x v="2"/>
    <x v="0"/>
    <n v="11123"/>
    <n v="3.4"/>
    <n v="4"/>
    <x v="1"/>
    <n v="3.51"/>
    <s v="Medium"/>
  </r>
  <r>
    <x v="8"/>
    <s v="Ioniq 5"/>
    <x v="6"/>
    <s v="Standard"/>
    <n v="50630.65"/>
    <n v="64"/>
    <n v="203"/>
    <n v="104.1"/>
    <n v="5.57"/>
    <n v="171"/>
    <n v="545"/>
    <n v="452"/>
    <s v="FWD"/>
    <n v="5"/>
    <s v="Hatchback"/>
    <n v="31.4"/>
    <n v="1560"/>
    <n v="5"/>
    <n v="0"/>
    <x v="3"/>
    <x v="1"/>
    <n v="60112"/>
    <n v="3.4"/>
    <n v="3"/>
    <x v="1"/>
    <n v="3.17"/>
    <s v="High"/>
  </r>
  <r>
    <x v="10"/>
    <s v="i4"/>
    <x v="3"/>
    <s v="Premium"/>
    <n v="113836.67"/>
    <n v="71.5"/>
    <n v="253"/>
    <n v="76.5"/>
    <n v="6.71"/>
    <n v="152"/>
    <n v="1000"/>
    <n v="842"/>
    <s v="FWD"/>
    <n v="7"/>
    <s v="SUV"/>
    <n v="37.200000000000003"/>
    <n v="1950"/>
    <n v="4"/>
    <n v="1"/>
    <x v="0"/>
    <x v="0"/>
    <n v="42535"/>
    <n v="3.5"/>
    <n v="8"/>
    <x v="1"/>
    <n v="3.54"/>
    <s v="High"/>
  </r>
  <r>
    <x v="2"/>
    <s v="Silverado EV"/>
    <x v="3"/>
    <s v="Standard"/>
    <n v="51177.18"/>
    <n v="46.9"/>
    <n v="150"/>
    <n v="107.7"/>
    <n v="7.48"/>
    <n v="140"/>
    <n v="597"/>
    <n v="521"/>
    <s v="FWD"/>
    <n v="7"/>
    <s v="Van"/>
    <n v="60.3"/>
    <n v="1514"/>
    <n v="4"/>
    <n v="0"/>
    <x v="2"/>
    <x v="1"/>
    <n v="14323"/>
    <n v="3.3"/>
    <n v="4"/>
    <x v="2"/>
    <n v="3.2"/>
    <s v="Medium"/>
  </r>
  <r>
    <x v="0"/>
    <s v="ID.3"/>
    <x v="5"/>
    <s v="Long Range"/>
    <n v="92636.43"/>
    <n v="109.7"/>
    <n v="373"/>
    <n v="74.5"/>
    <n v="4.4400000000000004"/>
    <n v="188"/>
    <n v="1000"/>
    <n v="867"/>
    <s v="FWD"/>
    <n v="7"/>
    <s v="Truck"/>
    <n v="56.1"/>
    <n v="2583"/>
    <n v="5"/>
    <n v="0"/>
    <x v="0"/>
    <x v="2"/>
    <n v="243081"/>
    <n v="3.9"/>
    <n v="3"/>
    <x v="1"/>
    <n v="3.4"/>
    <s v="High"/>
  </r>
  <r>
    <x v="10"/>
    <s v="i7"/>
    <x v="2"/>
    <s v="Standard"/>
    <n v="64827.83"/>
    <n v="42.9"/>
    <n v="150"/>
    <n v="89.3"/>
    <n v="5.19"/>
    <n v="176"/>
    <n v="368"/>
    <n v="312"/>
    <s v="RWD"/>
    <n v="5"/>
    <s v="SUV"/>
    <n v="38.299999999999997"/>
    <n v="2130"/>
    <n v="4"/>
    <n v="2"/>
    <x v="0"/>
    <x v="1"/>
    <n v="69279"/>
    <n v="3.2"/>
    <n v="7"/>
    <x v="1"/>
    <n v="3.5"/>
    <s v="High"/>
  </r>
  <r>
    <x v="3"/>
    <s v="Niro EV"/>
    <x v="3"/>
    <s v="Performance"/>
    <n v="56005.31"/>
    <n v="102.7"/>
    <n v="361"/>
    <n v="216.5"/>
    <n v="4.41"/>
    <n v="184"/>
    <n v="592"/>
    <n v="524"/>
    <s v="AWD"/>
    <n v="7"/>
    <s v="Sedan"/>
    <n v="22.4"/>
    <n v="1649"/>
    <n v="5"/>
    <n v="0"/>
    <x v="3"/>
    <x v="1"/>
    <n v="96451"/>
    <n v="3.9"/>
    <n v="5"/>
    <x v="1"/>
    <n v="3.52"/>
    <s v="High"/>
  </r>
  <r>
    <x v="11"/>
    <s v="Q6 e-tron"/>
    <x v="6"/>
    <s v="Standard"/>
    <n v="102595.23"/>
    <n v="84.1"/>
    <n v="278"/>
    <n v="83.1"/>
    <n v="7.86"/>
    <n v="128"/>
    <n v="773"/>
    <n v="639"/>
    <s v="FWD"/>
    <n v="5"/>
    <s v="Coupe"/>
    <n v="31.5"/>
    <n v="1500"/>
    <n v="3"/>
    <n v="1"/>
    <x v="0"/>
    <x v="0"/>
    <n v="45569"/>
    <n v="3.7"/>
    <n v="8"/>
    <x v="2"/>
    <n v="3.31"/>
    <s v="High"/>
  </r>
  <r>
    <x v="4"/>
    <s v="Model Y"/>
    <x v="1"/>
    <s v="Premium"/>
    <n v="74321.009999999995"/>
    <n v="61.2"/>
    <n v="226"/>
    <n v="217.2"/>
    <n v="7.98"/>
    <n v="118"/>
    <n v="555"/>
    <n v="457"/>
    <s v="FWD"/>
    <n v="7"/>
    <s v="Truck"/>
    <n v="67.599999999999994"/>
    <n v="2356"/>
    <n v="5"/>
    <n v="3"/>
    <x v="2"/>
    <x v="2"/>
    <n v="438573"/>
    <n v="3.8"/>
    <n v="5"/>
    <x v="2"/>
    <n v="3.69"/>
    <s v="High"/>
  </r>
  <r>
    <x v="7"/>
    <s v="Qin"/>
    <x v="0"/>
    <s v="Base"/>
    <n v="51321.91"/>
    <n v="45.9"/>
    <n v="150"/>
    <n v="53.5"/>
    <n v="6.62"/>
    <n v="156"/>
    <n v="523"/>
    <n v="464"/>
    <s v="RWD"/>
    <n v="7"/>
    <s v="Hatchback"/>
    <n v="36"/>
    <n v="1815"/>
    <n v="5"/>
    <n v="1"/>
    <x v="4"/>
    <x v="1"/>
    <n v="135053"/>
    <n v="3.4"/>
    <n v="4"/>
    <x v="1"/>
    <n v="3.27"/>
    <s v="High"/>
  </r>
  <r>
    <x v="1"/>
    <s v="bZ4X"/>
    <x v="2"/>
    <s v="Standard"/>
    <n v="61582.84"/>
    <n v="62.3"/>
    <n v="215"/>
    <n v="127.5"/>
    <n v="7.4"/>
    <n v="130"/>
    <n v="668"/>
    <n v="665"/>
    <s v="FWD"/>
    <n v="5"/>
    <s v="Hatchback"/>
    <n v="35.5"/>
    <n v="1929"/>
    <n v="5"/>
    <n v="2"/>
    <x v="1"/>
    <x v="1"/>
    <n v="26767"/>
    <n v="3.2"/>
    <n v="3"/>
    <x v="2"/>
    <n v="3.45"/>
    <s v="High"/>
  </r>
  <r>
    <x v="11"/>
    <s v="Q6 e-tron"/>
    <x v="1"/>
    <s v="Base"/>
    <n v="87894.85"/>
    <n v="84.4"/>
    <n v="315"/>
    <n v="107.6"/>
    <n v="7.62"/>
    <n v="136"/>
    <n v="609"/>
    <n v="589"/>
    <s v="FWD"/>
    <n v="7"/>
    <s v="Hatchback"/>
    <n v="22.7"/>
    <n v="1500"/>
    <n v="5"/>
    <n v="1"/>
    <x v="0"/>
    <x v="2"/>
    <n v="64291"/>
    <n v="3.5"/>
    <n v="6"/>
    <x v="2"/>
    <n v="3.73"/>
    <s v="High"/>
  </r>
  <r>
    <x v="0"/>
    <s v="ID.3"/>
    <x v="3"/>
    <s v="Performance"/>
    <n v="88484.86"/>
    <n v="105.9"/>
    <n v="381"/>
    <n v="231.1"/>
    <n v="3.32"/>
    <n v="196"/>
    <n v="983"/>
    <n v="930"/>
    <s v="RWD"/>
    <n v="7"/>
    <s v="Coupe"/>
    <n v="16.3"/>
    <n v="1717"/>
    <n v="3"/>
    <n v="0"/>
    <x v="0"/>
    <x v="2"/>
    <n v="285530"/>
    <n v="3.7"/>
    <n v="4"/>
    <x v="0"/>
    <n v="3.6"/>
    <s v="High"/>
  </r>
  <r>
    <x v="10"/>
    <s v="i3"/>
    <x v="0"/>
    <s v="Premium"/>
    <n v="102426.61"/>
    <n v="53.1"/>
    <n v="197"/>
    <n v="50.8"/>
    <n v="6.62"/>
    <n v="146"/>
    <n v="829"/>
    <n v="771"/>
    <s v="RWD"/>
    <n v="7"/>
    <s v="Truck"/>
    <n v="63.4"/>
    <n v="2700"/>
    <n v="5"/>
    <n v="1"/>
    <x v="0"/>
    <x v="0"/>
    <n v="26181"/>
    <n v="3.3"/>
    <n v="5"/>
    <x v="1"/>
    <n v="3.71"/>
    <s v="High"/>
  </r>
  <r>
    <x v="7"/>
    <s v="Max"/>
    <x v="3"/>
    <s v="Premium"/>
    <n v="104281.84"/>
    <n v="69.7"/>
    <n v="233"/>
    <n v="138.30000000000001"/>
    <n v="5.5"/>
    <n v="170"/>
    <n v="1000"/>
    <n v="890"/>
    <s v="AWD"/>
    <n v="7"/>
    <s v="Van"/>
    <n v="70.400000000000006"/>
    <n v="1633"/>
    <n v="4"/>
    <n v="1"/>
    <x v="4"/>
    <x v="0"/>
    <n v="164080"/>
    <n v="3.5"/>
    <n v="4"/>
    <x v="1"/>
    <n v="3.34"/>
    <s v="High"/>
  </r>
  <r>
    <x v="4"/>
    <s v="Model X"/>
    <x v="5"/>
    <s v="Performance"/>
    <n v="167028.1"/>
    <n v="106.1"/>
    <n v="356"/>
    <n v="325.39999999999998"/>
    <n v="4.37"/>
    <n v="186"/>
    <n v="1000"/>
    <n v="866"/>
    <s v="AWD"/>
    <n v="7"/>
    <s v="SUV"/>
    <n v="42.1"/>
    <n v="2121"/>
    <n v="4"/>
    <n v="2"/>
    <x v="2"/>
    <x v="0"/>
    <n v="191484"/>
    <n v="4.2"/>
    <n v="5"/>
    <x v="1"/>
    <n v="3.36"/>
    <s v="High"/>
  </r>
  <r>
    <x v="8"/>
    <s v="Ioniq 6"/>
    <x v="2"/>
    <s v="Premium"/>
    <n v="45546.32"/>
    <n v="45.1"/>
    <n v="160"/>
    <n v="121.2"/>
    <n v="5.18"/>
    <n v="171"/>
    <n v="424"/>
    <n v="385"/>
    <s v="RWD"/>
    <n v="7"/>
    <s v="Sedan"/>
    <n v="27.7"/>
    <n v="1514"/>
    <n v="4"/>
    <n v="0"/>
    <x v="3"/>
    <x v="1"/>
    <n v="71807"/>
    <n v="3.3"/>
    <n v="4"/>
    <x v="1"/>
    <n v="3.55"/>
    <s v="High"/>
  </r>
  <r>
    <x v="7"/>
    <s v="Max"/>
    <x v="3"/>
    <s v="Standard"/>
    <n v="86288.72"/>
    <n v="81.900000000000006"/>
    <n v="311"/>
    <n v="145.1"/>
    <n v="5.25"/>
    <n v="174"/>
    <n v="1000"/>
    <n v="911"/>
    <s v="FWD"/>
    <n v="5"/>
    <s v="Van"/>
    <n v="61.8"/>
    <n v="1500"/>
    <n v="4"/>
    <n v="0"/>
    <x v="4"/>
    <x v="2"/>
    <n v="120560"/>
    <n v="3.7"/>
    <n v="3"/>
    <x v="1"/>
    <n v="3.8"/>
    <s v="High"/>
  </r>
  <r>
    <x v="3"/>
    <s v="Picanto EV"/>
    <x v="3"/>
    <s v="Base"/>
    <n v="58803.16"/>
    <n v="70.099999999999994"/>
    <n v="248"/>
    <n v="86.3"/>
    <n v="7.19"/>
    <n v="153"/>
    <n v="636"/>
    <n v="517"/>
    <s v="FWD"/>
    <n v="5"/>
    <s v="Truck"/>
    <n v="68.8"/>
    <n v="2466"/>
    <n v="4"/>
    <n v="1"/>
    <x v="3"/>
    <x v="1"/>
    <n v="111130"/>
    <n v="3.5"/>
    <n v="3"/>
    <x v="2"/>
    <n v="3.54"/>
    <s v="High"/>
  </r>
  <r>
    <x v="4"/>
    <s v="Model S"/>
    <x v="0"/>
    <s v="Standard"/>
    <n v="44024.89"/>
    <n v="81.599999999999994"/>
    <n v="284"/>
    <n v="302"/>
    <n v="7.69"/>
    <n v="143"/>
    <n v="283"/>
    <n v="237"/>
    <s v="FWD"/>
    <n v="7"/>
    <s v="Truck"/>
    <n v="70.900000000000006"/>
    <n v="2856"/>
    <n v="5"/>
    <n v="3"/>
    <x v="2"/>
    <x v="1"/>
    <n v="124369"/>
    <n v="3.8"/>
    <n v="5"/>
    <x v="2"/>
    <n v="3.48"/>
    <s v="High"/>
  </r>
  <r>
    <x v="6"/>
    <s v="Ocean"/>
    <x v="2"/>
    <s v="Long Range"/>
    <n v="113331.61"/>
    <n v="84.6"/>
    <n v="274"/>
    <n v="74.400000000000006"/>
    <n v="4.8600000000000003"/>
    <n v="170"/>
    <n v="1000"/>
    <n v="895"/>
    <s v="RWD"/>
    <n v="5"/>
    <s v="Truck"/>
    <n v="57.1"/>
    <n v="2457"/>
    <n v="5"/>
    <n v="0"/>
    <x v="2"/>
    <x v="0"/>
    <n v="17978"/>
    <n v="3.2"/>
    <n v="3"/>
    <x v="1"/>
    <n v="3.24"/>
    <s v="Medium"/>
  </r>
  <r>
    <x v="14"/>
    <s v="Taycan"/>
    <x v="2"/>
    <s v="Long Range"/>
    <n v="111922.96"/>
    <n v="102.7"/>
    <n v="358"/>
    <n v="276.89999999999998"/>
    <n v="4.29"/>
    <n v="188"/>
    <n v="371"/>
    <n v="339"/>
    <s v="FWD"/>
    <n v="7"/>
    <s v="Hatchback"/>
    <n v="23"/>
    <n v="1657"/>
    <n v="5"/>
    <n v="0"/>
    <x v="0"/>
    <x v="0"/>
    <n v="28429"/>
    <n v="4"/>
    <n v="5"/>
    <x v="1"/>
    <n v="3.49"/>
    <s v="High"/>
  </r>
  <r>
    <x v="2"/>
    <s v="Silverado EV"/>
    <x v="2"/>
    <s v="Performance"/>
    <n v="74262.98"/>
    <n v="80.7"/>
    <n v="285"/>
    <n v="195.8"/>
    <n v="3.55"/>
    <n v="197"/>
    <n v="1000"/>
    <n v="892"/>
    <s v="RWD"/>
    <n v="7"/>
    <s v="Sedan"/>
    <n v="38.9"/>
    <n v="1589"/>
    <n v="5"/>
    <n v="0"/>
    <x v="2"/>
    <x v="2"/>
    <n v="24171"/>
    <n v="3.4"/>
    <n v="4"/>
    <x v="0"/>
    <n v="3.53"/>
    <s v="High"/>
  </r>
  <r>
    <x v="8"/>
    <s v="Ioniq 5"/>
    <x v="2"/>
    <s v="Long Range"/>
    <n v="41621.620000000003"/>
    <n v="97.9"/>
    <n v="365"/>
    <n v="103.1"/>
    <n v="5.66"/>
    <n v="162"/>
    <n v="362"/>
    <n v="322"/>
    <s v="FWD"/>
    <n v="5"/>
    <s v="Hatchback"/>
    <n v="39"/>
    <n v="1900"/>
    <n v="5"/>
    <n v="1"/>
    <x v="3"/>
    <x v="1"/>
    <n v="70525"/>
    <n v="3.6"/>
    <n v="4"/>
    <x v="1"/>
    <n v="3.73"/>
    <s v="High"/>
  </r>
  <r>
    <x v="7"/>
    <s v="Qin"/>
    <x v="3"/>
    <s v="Performance"/>
    <n v="122517.87"/>
    <n v="73.599999999999994"/>
    <n v="252"/>
    <n v="225.1"/>
    <n v="2.78"/>
    <n v="200"/>
    <n v="1000"/>
    <n v="873"/>
    <s v="AWD"/>
    <n v="7"/>
    <s v="Hatchback"/>
    <n v="25.6"/>
    <n v="1755"/>
    <n v="4"/>
    <n v="0"/>
    <x v="4"/>
    <x v="0"/>
    <n v="150780"/>
    <n v="3.4"/>
    <n v="3"/>
    <x v="0"/>
    <n v="3.42"/>
    <s v="High"/>
  </r>
  <r>
    <x v="9"/>
    <s v="F-150 Lightning"/>
    <x v="4"/>
    <s v="Base"/>
    <n v="63458.62"/>
    <n v="66.8"/>
    <n v="253"/>
    <n v="128.6"/>
    <n v="7.67"/>
    <n v="136"/>
    <n v="700"/>
    <n v="632"/>
    <s v="RWD"/>
    <n v="4"/>
    <s v="Truck"/>
    <n v="72.900000000000006"/>
    <n v="2629"/>
    <n v="4"/>
    <n v="1"/>
    <x v="2"/>
    <x v="1"/>
    <n v="76517"/>
    <n v="3.4"/>
    <n v="4"/>
    <x v="2"/>
    <n v="3.79"/>
    <s v="High"/>
  </r>
  <r>
    <x v="10"/>
    <s v="i5"/>
    <x v="0"/>
    <s v="Premium"/>
    <n v="140938.73000000001"/>
    <n v="59.3"/>
    <n v="195"/>
    <n v="101.9"/>
    <n v="6.9"/>
    <n v="137"/>
    <n v="1000"/>
    <n v="942"/>
    <s v="RWD"/>
    <n v="5"/>
    <s v="SUV"/>
    <n v="37.6"/>
    <n v="1843"/>
    <n v="5"/>
    <n v="1"/>
    <x v="0"/>
    <x v="0"/>
    <n v="51811"/>
    <n v="3.1"/>
    <n v="8"/>
    <x v="1"/>
    <n v="3.29"/>
    <s v="High"/>
  </r>
  <r>
    <x v="4"/>
    <s v="Model 3"/>
    <x v="3"/>
    <s v="Base"/>
    <n v="90298.51"/>
    <n v="49.3"/>
    <n v="183"/>
    <n v="228.4"/>
    <n v="6.81"/>
    <n v="157"/>
    <n v="631"/>
    <n v="512"/>
    <s v="AWD"/>
    <n v="5"/>
    <s v="Sedan"/>
    <n v="37.299999999999997"/>
    <n v="1528"/>
    <n v="3"/>
    <n v="2"/>
    <x v="2"/>
    <x v="2"/>
    <n v="163915"/>
    <n v="3.7"/>
    <n v="5"/>
    <x v="1"/>
    <n v="3.71"/>
    <s v="High"/>
  </r>
  <r>
    <x v="11"/>
    <s v="Q4 e-tron"/>
    <x v="3"/>
    <s v="Base"/>
    <n v="79689.05"/>
    <n v="81.7"/>
    <n v="278"/>
    <n v="148.19999999999999"/>
    <n v="7.13"/>
    <n v="148"/>
    <n v="505"/>
    <n v="432"/>
    <s v="AWD"/>
    <n v="5"/>
    <s v="Van"/>
    <n v="68.900000000000006"/>
    <n v="1714"/>
    <n v="4"/>
    <n v="1"/>
    <x v="0"/>
    <x v="2"/>
    <n v="66705"/>
    <n v="3.5"/>
    <n v="7"/>
    <x v="2"/>
    <n v="3.4"/>
    <s v="High"/>
  </r>
  <r>
    <x v="5"/>
    <s v="EQC"/>
    <x v="5"/>
    <s v="Base"/>
    <n v="137679.26999999999"/>
    <n v="71.2"/>
    <n v="244"/>
    <n v="54.3"/>
    <n v="7.92"/>
    <n v="136"/>
    <n v="848"/>
    <n v="725"/>
    <s v="FWD"/>
    <n v="7"/>
    <s v="Coupe"/>
    <n v="15.9"/>
    <n v="1767"/>
    <n v="5"/>
    <n v="1"/>
    <x v="0"/>
    <x v="0"/>
    <n v="34790"/>
    <n v="3.6"/>
    <n v="7"/>
    <x v="2"/>
    <n v="3.43"/>
    <s v="High"/>
  </r>
  <r>
    <x v="1"/>
    <s v="bZ4X"/>
    <x v="3"/>
    <s v="Long Range"/>
    <n v="72608.92"/>
    <n v="97.1"/>
    <n v="334"/>
    <n v="75.5"/>
    <n v="5.77"/>
    <n v="156"/>
    <n v="912"/>
    <n v="799"/>
    <s v="AWD"/>
    <n v="5"/>
    <s v="Sedan"/>
    <n v="23.1"/>
    <n v="1731"/>
    <n v="4"/>
    <n v="1"/>
    <x v="1"/>
    <x v="2"/>
    <n v="13954"/>
    <n v="3.6"/>
    <n v="4"/>
    <x v="1"/>
    <n v="3.44"/>
    <s v="Medium"/>
  </r>
  <r>
    <x v="2"/>
    <s v="Equinox EV"/>
    <x v="3"/>
    <s v="Premium"/>
    <n v="91034.7"/>
    <n v="47.9"/>
    <n v="164"/>
    <n v="115.9"/>
    <n v="5.45"/>
    <n v="169"/>
    <n v="1000"/>
    <n v="923"/>
    <s v="AWD"/>
    <n v="5"/>
    <s v="SUV"/>
    <n v="48"/>
    <n v="1847"/>
    <n v="4"/>
    <n v="1"/>
    <x v="2"/>
    <x v="2"/>
    <n v="12825"/>
    <n v="3.5"/>
    <n v="3"/>
    <x v="1"/>
    <n v="3.42"/>
    <s v="Medium"/>
  </r>
  <r>
    <x v="3"/>
    <s v="Picanto EV"/>
    <x v="0"/>
    <s v="Base"/>
    <n v="42171.81"/>
    <n v="67.099999999999994"/>
    <n v="252"/>
    <n v="141.5"/>
    <n v="7.02"/>
    <n v="155"/>
    <n v="399"/>
    <n v="351"/>
    <s v="AWD"/>
    <n v="5"/>
    <s v="Hatchback"/>
    <n v="21.8"/>
    <n v="1500"/>
    <n v="4"/>
    <n v="0"/>
    <x v="3"/>
    <x v="1"/>
    <n v="135630"/>
    <n v="3.6"/>
    <n v="5"/>
    <x v="2"/>
    <n v="3.76"/>
    <s v="High"/>
  </r>
  <r>
    <x v="0"/>
    <s v="ID. Aero"/>
    <x v="6"/>
    <s v="Long Range"/>
    <n v="40762.980000000003"/>
    <n v="101.5"/>
    <n v="332"/>
    <n v="75.3"/>
    <n v="5.95"/>
    <n v="164"/>
    <n v="315"/>
    <n v="293"/>
    <s v="AWD"/>
    <n v="7"/>
    <s v="Coupe"/>
    <n v="16.399999999999999"/>
    <n v="1532"/>
    <n v="4"/>
    <n v="0"/>
    <x v="0"/>
    <x v="1"/>
    <n v="220087"/>
    <n v="3.4"/>
    <n v="4"/>
    <x v="1"/>
    <n v="3.27"/>
    <s v="High"/>
  </r>
  <r>
    <x v="13"/>
    <s v="R3"/>
    <x v="3"/>
    <s v="Base"/>
    <n v="70880.73"/>
    <n v="80.900000000000006"/>
    <n v="285"/>
    <n v="59.1"/>
    <n v="6.31"/>
    <n v="148"/>
    <n v="218"/>
    <n v="273"/>
    <s v="FWD"/>
    <n v="5"/>
    <s v="Truck"/>
    <n v="78"/>
    <n v="2589"/>
    <n v="5"/>
    <n v="1"/>
    <x v="2"/>
    <x v="2"/>
    <n v="11173"/>
    <n v="3.4"/>
    <n v="4"/>
    <x v="1"/>
    <n v="3.52"/>
    <s v="Medium"/>
  </r>
  <r>
    <x v="5"/>
    <s v="EQS"/>
    <x v="2"/>
    <s v="Performance"/>
    <n v="114049.24"/>
    <n v="103.4"/>
    <n v="368"/>
    <n v="191.2"/>
    <n v="3.81"/>
    <n v="187"/>
    <n v="607"/>
    <n v="502"/>
    <s v="AWD"/>
    <n v="5"/>
    <s v="Van"/>
    <n v="70.2"/>
    <n v="1541"/>
    <n v="5"/>
    <n v="2"/>
    <x v="0"/>
    <x v="0"/>
    <n v="68987"/>
    <n v="3.9"/>
    <n v="6"/>
    <x v="0"/>
    <n v="3.56"/>
    <s v="High"/>
  </r>
  <r>
    <x v="4"/>
    <s v="Model 3"/>
    <x v="2"/>
    <s v="Standard"/>
    <n v="36657.019999999997"/>
    <n v="61.2"/>
    <n v="188"/>
    <n v="296.39999999999998"/>
    <n v="7.11"/>
    <n v="144"/>
    <n v="270"/>
    <n v="219"/>
    <s v="AWD"/>
    <n v="5"/>
    <s v="Coupe"/>
    <n v="28.4"/>
    <n v="1813"/>
    <n v="5"/>
    <n v="3"/>
    <x v="2"/>
    <x v="1"/>
    <n v="208877"/>
    <n v="3.9"/>
    <n v="5"/>
    <x v="2"/>
    <n v="3.07"/>
    <s v="High"/>
  </r>
  <r>
    <x v="4"/>
    <s v="Cybertruck"/>
    <x v="3"/>
    <s v="Premium"/>
    <n v="124865.93"/>
    <n v="64.900000000000006"/>
    <n v="241"/>
    <n v="330.2"/>
    <n v="7.79"/>
    <n v="124"/>
    <n v="895"/>
    <n v="800"/>
    <s v="AWD"/>
    <n v="5"/>
    <s v="Truck"/>
    <n v="79.599999999999994"/>
    <n v="2145"/>
    <n v="4"/>
    <n v="2"/>
    <x v="2"/>
    <x v="0"/>
    <n v="223231"/>
    <n v="3.7"/>
    <n v="4"/>
    <x v="2"/>
    <n v="3.71"/>
    <s v="High"/>
  </r>
  <r>
    <x v="0"/>
    <s v="ID. Buzz"/>
    <x v="5"/>
    <s v="Base"/>
    <n v="46634.879999999997"/>
    <n v="48.4"/>
    <n v="169"/>
    <n v="105.6"/>
    <n v="7.47"/>
    <n v="137"/>
    <n v="418"/>
    <n v="376"/>
    <s v="FWD"/>
    <n v="7"/>
    <s v="Van"/>
    <n v="77.099999999999994"/>
    <n v="1500"/>
    <n v="4"/>
    <n v="2"/>
    <x v="0"/>
    <x v="1"/>
    <n v="203221"/>
    <n v="3.3"/>
    <n v="4"/>
    <x v="2"/>
    <n v="3.49"/>
    <s v="High"/>
  </r>
  <r>
    <x v="9"/>
    <s v="Explorer EV"/>
    <x v="0"/>
    <s v="Standard"/>
    <n v="68553.62"/>
    <n v="71.3"/>
    <n v="243"/>
    <n v="137.1"/>
    <n v="5.0199999999999996"/>
    <n v="173"/>
    <n v="722"/>
    <n v="627"/>
    <s v="FWD"/>
    <n v="5"/>
    <s v="SUV"/>
    <n v="44.5"/>
    <n v="1984"/>
    <n v="5"/>
    <n v="0"/>
    <x v="2"/>
    <x v="2"/>
    <n v="60519"/>
    <n v="3.4"/>
    <n v="5"/>
    <x v="1"/>
    <n v="3.41"/>
    <s v="High"/>
  </r>
  <r>
    <x v="14"/>
    <s v="Taycan"/>
    <x v="0"/>
    <s v="Performance"/>
    <n v="254017.08"/>
    <n v="118.1"/>
    <n v="408"/>
    <n v="222.2"/>
    <n v="3.9"/>
    <n v="190"/>
    <n v="1000"/>
    <n v="936"/>
    <s v="AWD"/>
    <n v="5"/>
    <s v="Sedan"/>
    <n v="21.8"/>
    <n v="1500"/>
    <n v="5"/>
    <n v="0"/>
    <x v="0"/>
    <x v="0"/>
    <n v="26159"/>
    <n v="4.2"/>
    <n v="8"/>
    <x v="0"/>
    <n v="3.45"/>
    <s v="High"/>
  </r>
  <r>
    <x v="4"/>
    <s v="Model X"/>
    <x v="4"/>
    <s v="Standard"/>
    <n v="27945.8"/>
    <n v="48.4"/>
    <n v="157"/>
    <n v="300.2"/>
    <n v="7.15"/>
    <n v="149"/>
    <n v="188"/>
    <n v="200"/>
    <s v="AWD"/>
    <n v="7"/>
    <s v="Hatchback"/>
    <n v="39.700000000000003"/>
    <n v="1891"/>
    <n v="5"/>
    <n v="2"/>
    <x v="2"/>
    <x v="3"/>
    <n v="162791"/>
    <n v="3.4"/>
    <n v="6"/>
    <x v="2"/>
    <n v="3.24"/>
    <s v="High"/>
  </r>
  <r>
    <x v="3"/>
    <s v="Niro EV"/>
    <x v="2"/>
    <s v="Performance"/>
    <n v="51697.58"/>
    <n v="115.1"/>
    <n v="396"/>
    <n v="187.6"/>
    <n v="3.39"/>
    <n v="194"/>
    <n v="533"/>
    <n v="497"/>
    <s v="RWD"/>
    <n v="5"/>
    <s v="Truck"/>
    <n v="72.400000000000006"/>
    <n v="2631"/>
    <n v="5"/>
    <n v="1"/>
    <x v="3"/>
    <x v="1"/>
    <n v="56242"/>
    <n v="3.8"/>
    <n v="4"/>
    <x v="0"/>
    <n v="3.44"/>
    <s v="High"/>
  </r>
  <r>
    <x v="0"/>
    <s v="ID.4"/>
    <x v="2"/>
    <s v="Standard"/>
    <n v="36019.25"/>
    <n v="63.3"/>
    <n v="224"/>
    <n v="133.5"/>
    <n v="6.85"/>
    <n v="140"/>
    <n v="257"/>
    <n v="296"/>
    <s v="RWD"/>
    <n v="7"/>
    <s v="Hatchback"/>
    <n v="18.5"/>
    <n v="1771"/>
    <n v="4"/>
    <n v="0"/>
    <x v="0"/>
    <x v="1"/>
    <n v="209890"/>
    <n v="3.5"/>
    <n v="4"/>
    <x v="1"/>
    <n v="3.54"/>
    <s v="High"/>
  </r>
  <r>
    <x v="6"/>
    <s v="Ocean"/>
    <x v="2"/>
    <s v="Premium"/>
    <n v="121374.95"/>
    <n v="70.8"/>
    <n v="262"/>
    <n v="142.80000000000001"/>
    <n v="6.04"/>
    <n v="153"/>
    <n v="1000"/>
    <n v="845"/>
    <s v="AWD"/>
    <n v="7"/>
    <s v="Van"/>
    <n v="69.2"/>
    <n v="1768"/>
    <n v="3"/>
    <n v="0"/>
    <x v="2"/>
    <x v="0"/>
    <n v="26859"/>
    <n v="3.7"/>
    <n v="5"/>
    <x v="1"/>
    <n v="3.7"/>
    <s v="High"/>
  </r>
  <r>
    <x v="5"/>
    <s v="EQG"/>
    <x v="5"/>
    <s v="Premium"/>
    <n v="115211.58"/>
    <n v="57.3"/>
    <n v="174"/>
    <n v="69.8"/>
    <n v="6.09"/>
    <n v="161"/>
    <n v="622"/>
    <n v="619"/>
    <s v="RWD"/>
    <n v="7"/>
    <s v="Sedan"/>
    <n v="15.5"/>
    <n v="1500"/>
    <n v="4"/>
    <n v="1"/>
    <x v="0"/>
    <x v="0"/>
    <n v="42340"/>
    <n v="3.4"/>
    <n v="6"/>
    <x v="1"/>
    <n v="3.04"/>
    <s v="High"/>
  </r>
  <r>
    <x v="5"/>
    <s v="EQG"/>
    <x v="3"/>
    <s v="Standard"/>
    <n v="139106.45000000001"/>
    <n v="61.4"/>
    <n v="208"/>
    <n v="51.8"/>
    <n v="6.86"/>
    <n v="150"/>
    <n v="922"/>
    <n v="787"/>
    <s v="RWD"/>
    <n v="7"/>
    <s v="Coupe"/>
    <n v="38.5"/>
    <n v="1656"/>
    <n v="5"/>
    <n v="1"/>
    <x v="0"/>
    <x v="0"/>
    <n v="49644"/>
    <n v="3.4"/>
    <n v="6"/>
    <x v="1"/>
    <n v="3.39"/>
    <s v="High"/>
  </r>
  <r>
    <x v="8"/>
    <s v="i30"/>
    <x v="3"/>
    <s v="Standard"/>
    <n v="60050.99"/>
    <n v="47.8"/>
    <n v="165"/>
    <n v="73.099999999999994"/>
    <n v="7.67"/>
    <n v="133"/>
    <n v="663"/>
    <n v="681"/>
    <s v="AWD"/>
    <n v="5"/>
    <s v="Hatchback"/>
    <n v="24.1"/>
    <n v="1500"/>
    <n v="4"/>
    <n v="1"/>
    <x v="3"/>
    <x v="1"/>
    <n v="138281"/>
    <n v="3.2"/>
    <n v="3"/>
    <x v="2"/>
    <n v="3.45"/>
    <s v="High"/>
  </r>
  <r>
    <x v="0"/>
    <s v="ID.4"/>
    <x v="5"/>
    <s v="Standard"/>
    <n v="44501.34"/>
    <n v="41.7"/>
    <n v="150"/>
    <n v="146"/>
    <n v="7.64"/>
    <n v="135"/>
    <n v="378"/>
    <n v="326"/>
    <s v="FWD"/>
    <n v="7"/>
    <s v="Coupe"/>
    <n v="34.299999999999997"/>
    <n v="1547"/>
    <n v="5"/>
    <n v="1"/>
    <x v="0"/>
    <x v="1"/>
    <n v="220387"/>
    <n v="3.1"/>
    <n v="5"/>
    <x v="2"/>
    <n v="3.6"/>
    <s v="High"/>
  </r>
  <r>
    <x v="7"/>
    <s v="Yuan Plus"/>
    <x v="2"/>
    <s v="Base"/>
    <n v="40390.03"/>
    <n v="62.1"/>
    <n v="232"/>
    <n v="89.4"/>
    <n v="7.19"/>
    <n v="138"/>
    <n v="402"/>
    <n v="324"/>
    <s v="AWD"/>
    <n v="7"/>
    <s v="Coupe"/>
    <n v="35.4"/>
    <n v="1810"/>
    <n v="5"/>
    <n v="0"/>
    <x v="4"/>
    <x v="1"/>
    <n v="138054"/>
    <n v="3.4"/>
    <n v="4"/>
    <x v="2"/>
    <n v="3.74"/>
    <s v="High"/>
  </r>
  <r>
    <x v="4"/>
    <s v="Cybertruck"/>
    <x v="2"/>
    <s v="Long Range"/>
    <n v="45682.18"/>
    <n v="109.7"/>
    <n v="377"/>
    <n v="312.89999999999998"/>
    <n v="5.32"/>
    <n v="165"/>
    <n v="335"/>
    <n v="376"/>
    <s v="RWD"/>
    <n v="5"/>
    <s v="Truck"/>
    <n v="63.3"/>
    <n v="2562"/>
    <n v="4"/>
    <n v="2"/>
    <x v="2"/>
    <x v="1"/>
    <n v="170687"/>
    <n v="3.9"/>
    <n v="4"/>
    <x v="1"/>
    <n v="3.44"/>
    <s v="High"/>
  </r>
  <r>
    <x v="5"/>
    <s v="EQE"/>
    <x v="3"/>
    <s v="Standard"/>
    <n v="103044.63"/>
    <n v="78.900000000000006"/>
    <n v="264"/>
    <n v="128.1"/>
    <n v="7.97"/>
    <n v="132"/>
    <n v="592"/>
    <n v="542"/>
    <s v="AWD"/>
    <n v="5"/>
    <s v="Van"/>
    <n v="63.3"/>
    <n v="1542"/>
    <n v="5"/>
    <n v="1"/>
    <x v="0"/>
    <x v="0"/>
    <n v="75663"/>
    <n v="3.6"/>
    <n v="5"/>
    <x v="2"/>
    <n v="3.35"/>
    <s v="High"/>
  </r>
  <r>
    <x v="9"/>
    <s v="Mustang Mach-E"/>
    <x v="5"/>
    <s v="Long Range"/>
    <n v="53193.55"/>
    <n v="98"/>
    <n v="364"/>
    <n v="83.3"/>
    <n v="5.19"/>
    <n v="173"/>
    <n v="541"/>
    <n v="487"/>
    <s v="RWD"/>
    <n v="7"/>
    <s v="Van"/>
    <n v="70.2"/>
    <n v="1783"/>
    <n v="4"/>
    <n v="2"/>
    <x v="2"/>
    <x v="1"/>
    <n v="23578"/>
    <n v="3.9"/>
    <n v="4"/>
    <x v="1"/>
    <n v="3.71"/>
    <s v="High"/>
  </r>
  <r>
    <x v="17"/>
    <s v="e:Ny1"/>
    <x v="5"/>
    <s v="Performance"/>
    <n v="51309.25"/>
    <n v="118.5"/>
    <n v="410"/>
    <n v="188.1"/>
    <n v="3.03"/>
    <n v="200"/>
    <n v="742"/>
    <n v="677"/>
    <s v="RWD"/>
    <n v="5"/>
    <s v="Sedan"/>
    <n v="36.5"/>
    <n v="1557"/>
    <n v="5"/>
    <n v="1"/>
    <x v="1"/>
    <x v="1"/>
    <n v="6885"/>
    <n v="3.8"/>
    <n v="5"/>
    <x v="0"/>
    <n v="3.46"/>
    <s v="Medium"/>
  </r>
  <r>
    <x v="18"/>
    <s v="SU7"/>
    <x v="2"/>
    <s v="Performance"/>
    <n v="102584.09"/>
    <n v="74.5"/>
    <n v="250"/>
    <n v="185.6"/>
    <n v="3.7"/>
    <n v="195"/>
    <n v="1000"/>
    <n v="937"/>
    <s v="AWD"/>
    <n v="5"/>
    <s v="Hatchback"/>
    <n v="38.5"/>
    <n v="1831"/>
    <n v="5"/>
    <n v="0"/>
    <x v="4"/>
    <x v="0"/>
    <n v="19780"/>
    <n v="3.4"/>
    <n v="4"/>
    <x v="0"/>
    <n v="3.36"/>
    <s v="Medium"/>
  </r>
  <r>
    <x v="3"/>
    <s v="Sportage EV"/>
    <x v="2"/>
    <s v="Long Range"/>
    <n v="99048.18"/>
    <n v="89"/>
    <n v="324"/>
    <n v="92.3"/>
    <n v="5.55"/>
    <n v="168"/>
    <n v="1000"/>
    <n v="907"/>
    <s v="FWD"/>
    <n v="7"/>
    <s v="SUV"/>
    <n v="40.6"/>
    <n v="2057"/>
    <n v="5"/>
    <n v="0"/>
    <x v="3"/>
    <x v="2"/>
    <n v="55742"/>
    <n v="3.6"/>
    <n v="4"/>
    <x v="1"/>
    <n v="3.64"/>
    <s v="High"/>
  </r>
  <r>
    <x v="9"/>
    <s v="Mustang Mach-E"/>
    <x v="0"/>
    <s v="Base"/>
    <n v="67976.38"/>
    <n v="49"/>
    <n v="179"/>
    <n v="107.9"/>
    <n v="5.74"/>
    <n v="166"/>
    <n v="778"/>
    <n v="690"/>
    <s v="AWD"/>
    <n v="7"/>
    <s v="SUV"/>
    <n v="39.700000000000003"/>
    <n v="2302"/>
    <n v="4"/>
    <n v="0"/>
    <x v="2"/>
    <x v="2"/>
    <n v="21067"/>
    <n v="3.3"/>
    <n v="3"/>
    <x v="1"/>
    <n v="3.65"/>
    <s v="High"/>
  </r>
  <r>
    <x v="1"/>
    <s v="bZ4X"/>
    <x v="0"/>
    <s v="Standard"/>
    <n v="69285.919999999998"/>
    <n v="67.099999999999994"/>
    <n v="201"/>
    <n v="99.7"/>
    <n v="5.12"/>
    <n v="168"/>
    <n v="831"/>
    <n v="745"/>
    <s v="AWD"/>
    <n v="7"/>
    <s v="Hatchback"/>
    <n v="36.200000000000003"/>
    <n v="1552"/>
    <n v="5"/>
    <n v="1"/>
    <x v="1"/>
    <x v="2"/>
    <n v="15625"/>
    <n v="3.6"/>
    <n v="4"/>
    <x v="1"/>
    <n v="3"/>
    <s v="Medium"/>
  </r>
  <r>
    <x v="5"/>
    <s v="EQC"/>
    <x v="2"/>
    <s v="Performance"/>
    <n v="167898.8"/>
    <n v="106"/>
    <n v="375"/>
    <n v="218.2"/>
    <n v="3.4"/>
    <n v="200"/>
    <n v="1000"/>
    <n v="941"/>
    <s v="RWD"/>
    <n v="5"/>
    <s v="Coupe"/>
    <n v="24.5"/>
    <n v="1729"/>
    <n v="4"/>
    <n v="1"/>
    <x v="0"/>
    <x v="0"/>
    <n v="20936"/>
    <n v="4"/>
    <n v="6"/>
    <x v="0"/>
    <n v="3.54"/>
    <s v="High"/>
  </r>
  <r>
    <x v="7"/>
    <s v="Qin"/>
    <x v="3"/>
    <s v="Standard"/>
    <n v="36623.25"/>
    <n v="43.3"/>
    <n v="164"/>
    <n v="149.80000000000001"/>
    <n v="7.7"/>
    <n v="139"/>
    <n v="344"/>
    <n v="318"/>
    <s v="FWD"/>
    <n v="5"/>
    <s v="Truck"/>
    <n v="59.5"/>
    <n v="2509"/>
    <n v="5"/>
    <n v="0"/>
    <x v="4"/>
    <x v="1"/>
    <n v="185983"/>
    <n v="3.4"/>
    <n v="5"/>
    <x v="2"/>
    <n v="3.79"/>
    <s v="High"/>
  </r>
  <r>
    <x v="0"/>
    <s v="ID.5"/>
    <x v="3"/>
    <s v="Base"/>
    <n v="30097.01"/>
    <n v="74.3"/>
    <n v="267"/>
    <n v="58.6"/>
    <n v="7.84"/>
    <n v="127"/>
    <n v="150"/>
    <n v="200"/>
    <s v="AWD"/>
    <n v="7"/>
    <s v="Coupe"/>
    <n v="36.6"/>
    <n v="1883"/>
    <n v="5"/>
    <n v="0"/>
    <x v="0"/>
    <x v="3"/>
    <n v="289031"/>
    <n v="3.3"/>
    <n v="5"/>
    <x v="2"/>
    <n v="3.59"/>
    <s v="High"/>
  </r>
  <r>
    <x v="4"/>
    <s v="Model S"/>
    <x v="0"/>
    <s v="Performance"/>
    <n v="82511.11"/>
    <n v="85.6"/>
    <n v="289"/>
    <n v="232"/>
    <n v="4.3099999999999996"/>
    <n v="180"/>
    <n v="553"/>
    <n v="487"/>
    <s v="FWD"/>
    <n v="5"/>
    <s v="Coupe"/>
    <n v="35.200000000000003"/>
    <n v="1518"/>
    <n v="4"/>
    <n v="2"/>
    <x v="2"/>
    <x v="2"/>
    <n v="243479"/>
    <n v="3.8"/>
    <n v="5"/>
    <x v="1"/>
    <n v="3.38"/>
    <s v="High"/>
  </r>
  <r>
    <x v="1"/>
    <s v="bZ Compact SUV"/>
    <x v="1"/>
    <s v="Performance"/>
    <n v="56751.98"/>
    <n v="90.8"/>
    <n v="324"/>
    <n v="228.5"/>
    <n v="3.6"/>
    <n v="191"/>
    <n v="598"/>
    <n v="543"/>
    <s v="RWD"/>
    <n v="5"/>
    <s v="SUV"/>
    <n v="50.7"/>
    <n v="2143"/>
    <n v="5"/>
    <n v="1"/>
    <x v="1"/>
    <x v="1"/>
    <n v="9887"/>
    <n v="3.4"/>
    <n v="3"/>
    <x v="0"/>
    <n v="3.57"/>
    <s v="Medium"/>
  </r>
  <r>
    <x v="3"/>
    <s v="EV6"/>
    <x v="2"/>
    <s v="Base"/>
    <n v="30277.360000000001"/>
    <n v="62.3"/>
    <n v="226"/>
    <n v="143.80000000000001"/>
    <n v="5.42"/>
    <n v="172"/>
    <n v="150"/>
    <n v="200"/>
    <s v="RWD"/>
    <n v="5"/>
    <s v="Van"/>
    <n v="75.2"/>
    <n v="1644"/>
    <n v="5"/>
    <n v="1"/>
    <x v="3"/>
    <x v="3"/>
    <n v="130299"/>
    <n v="3.2"/>
    <n v="5"/>
    <x v="1"/>
    <n v="3.63"/>
    <s v="High"/>
  </r>
  <r>
    <x v="7"/>
    <s v="Qin"/>
    <x v="2"/>
    <s v="Performance"/>
    <n v="103480.37"/>
    <n v="104.9"/>
    <n v="347"/>
    <n v="176.2"/>
    <n v="2.95"/>
    <n v="200"/>
    <n v="1000"/>
    <n v="907"/>
    <s v="RWD"/>
    <n v="7"/>
    <s v="SUV"/>
    <n v="64.3"/>
    <n v="2052"/>
    <n v="4"/>
    <n v="0"/>
    <x v="4"/>
    <x v="0"/>
    <n v="211837"/>
    <n v="3.6"/>
    <n v="5"/>
    <x v="0"/>
    <n v="3.31"/>
    <s v="High"/>
  </r>
  <r>
    <x v="10"/>
    <s v="i7"/>
    <x v="5"/>
    <s v="Base"/>
    <n v="48107.44"/>
    <n v="41.6"/>
    <n v="150"/>
    <n v="139"/>
    <n v="5.91"/>
    <n v="169"/>
    <n v="156"/>
    <n v="200"/>
    <s v="AWD"/>
    <n v="7"/>
    <s v="SUV"/>
    <n v="45.9"/>
    <n v="2060"/>
    <n v="4"/>
    <n v="1"/>
    <x v="0"/>
    <x v="1"/>
    <n v="49300"/>
    <n v="3"/>
    <n v="7"/>
    <x v="1"/>
    <n v="3.61"/>
    <s v="High"/>
  </r>
  <r>
    <x v="3"/>
    <s v="Sportage EV"/>
    <x v="0"/>
    <s v="Premium"/>
    <n v="102070.65"/>
    <n v="49.5"/>
    <n v="174"/>
    <n v="64.3"/>
    <n v="5.56"/>
    <n v="163"/>
    <n v="1000"/>
    <n v="940"/>
    <s v="FWD"/>
    <n v="7"/>
    <s v="SUV"/>
    <n v="50.1"/>
    <n v="1859"/>
    <n v="3"/>
    <n v="2"/>
    <x v="3"/>
    <x v="0"/>
    <n v="148039"/>
    <n v="3.4"/>
    <n v="4"/>
    <x v="1"/>
    <n v="3.52"/>
    <s v="High"/>
  </r>
  <r>
    <x v="0"/>
    <s v="ID.3"/>
    <x v="3"/>
    <s v="Premium"/>
    <n v="94110.75"/>
    <n v="60.5"/>
    <n v="194"/>
    <n v="64"/>
    <n v="6.75"/>
    <n v="149"/>
    <n v="1000"/>
    <n v="888"/>
    <s v="AWD"/>
    <n v="7"/>
    <s v="Van"/>
    <n v="70.2"/>
    <n v="1687"/>
    <n v="5"/>
    <n v="1"/>
    <x v="0"/>
    <x v="2"/>
    <n v="225387"/>
    <n v="3.4"/>
    <n v="4"/>
    <x v="1"/>
    <n v="3.21"/>
    <s v="High"/>
  </r>
  <r>
    <x v="4"/>
    <s v="Cybertruck"/>
    <x v="3"/>
    <s v="Standard"/>
    <n v="125305.65"/>
    <n v="42"/>
    <n v="158"/>
    <n v="277.7"/>
    <n v="6.96"/>
    <n v="136"/>
    <n v="868"/>
    <n v="786"/>
    <s v="AWD"/>
    <n v="7"/>
    <s v="Truck"/>
    <n v="57.9"/>
    <n v="2372"/>
    <n v="4"/>
    <n v="2"/>
    <x v="2"/>
    <x v="0"/>
    <n v="199754"/>
    <n v="3.3"/>
    <n v="5"/>
    <x v="1"/>
    <n v="3.76"/>
    <s v="High"/>
  </r>
  <r>
    <x v="10"/>
    <s v="i7"/>
    <x v="5"/>
    <s v="Performance"/>
    <n v="116974.41"/>
    <n v="71.900000000000006"/>
    <n v="251"/>
    <n v="175.3"/>
    <n v="3.87"/>
    <n v="190"/>
    <n v="1000"/>
    <n v="909"/>
    <s v="RWD"/>
    <n v="5"/>
    <s v="Truck"/>
    <n v="53.7"/>
    <n v="2650"/>
    <n v="5"/>
    <n v="2"/>
    <x v="0"/>
    <x v="0"/>
    <n v="50944"/>
    <n v="3.4"/>
    <n v="6"/>
    <x v="0"/>
    <n v="3.49"/>
    <s v="High"/>
  </r>
  <r>
    <x v="8"/>
    <s v="Ioniq 6"/>
    <x v="2"/>
    <s v="Long Range"/>
    <n v="84751.75"/>
    <n v="83.1"/>
    <n v="305"/>
    <n v="97.4"/>
    <n v="5.49"/>
    <n v="169"/>
    <n v="1000"/>
    <n v="924"/>
    <s v="RWD"/>
    <n v="5"/>
    <s v="Van"/>
    <n v="61"/>
    <n v="1511"/>
    <n v="5"/>
    <n v="0"/>
    <x v="3"/>
    <x v="2"/>
    <n v="53893"/>
    <n v="3.6"/>
    <n v="3"/>
    <x v="1"/>
    <n v="3.67"/>
    <s v="High"/>
  </r>
  <r>
    <x v="9"/>
    <s v="Explorer EV"/>
    <x v="3"/>
    <s v="Standard"/>
    <n v="65329.39"/>
    <n v="49.5"/>
    <n v="157"/>
    <n v="137.30000000000001"/>
    <n v="6.01"/>
    <n v="165"/>
    <n v="671"/>
    <n v="629"/>
    <s v="RWD"/>
    <n v="7"/>
    <s v="Coupe"/>
    <n v="22"/>
    <n v="1592"/>
    <n v="4"/>
    <n v="2"/>
    <x v="2"/>
    <x v="2"/>
    <n v="24686"/>
    <n v="3.2"/>
    <n v="4"/>
    <x v="1"/>
    <n v="3.17"/>
    <s v="High"/>
  </r>
  <r>
    <x v="8"/>
    <s v="Ioniq"/>
    <x v="5"/>
    <s v="Long Range"/>
    <n v="78614.710000000006"/>
    <n v="78"/>
    <n v="278"/>
    <n v="57.5"/>
    <n v="5.83"/>
    <n v="159"/>
    <n v="987"/>
    <n v="924"/>
    <s v="FWD"/>
    <n v="5"/>
    <s v="Truck"/>
    <n v="67.3"/>
    <n v="2653"/>
    <n v="5"/>
    <n v="2"/>
    <x v="3"/>
    <x v="2"/>
    <n v="126223"/>
    <n v="3.7"/>
    <n v="4"/>
    <x v="1"/>
    <n v="3.56"/>
    <s v="High"/>
  </r>
  <r>
    <x v="5"/>
    <s v="GLE EV"/>
    <x v="5"/>
    <s v="Standard"/>
    <n v="135101.31"/>
    <n v="74.2"/>
    <n v="242"/>
    <n v="110.8"/>
    <n v="5.12"/>
    <n v="181"/>
    <n v="807"/>
    <n v="733"/>
    <s v="FWD"/>
    <n v="5"/>
    <s v="SUV"/>
    <n v="59.2"/>
    <n v="2160"/>
    <n v="4"/>
    <n v="2"/>
    <x v="0"/>
    <x v="0"/>
    <n v="54508"/>
    <n v="3.8"/>
    <n v="5"/>
    <x v="1"/>
    <n v="3.26"/>
    <s v="High"/>
  </r>
  <r>
    <x v="3"/>
    <s v="Niro EV"/>
    <x v="0"/>
    <s v="Premium"/>
    <n v="96493.02"/>
    <n v="59.1"/>
    <n v="207"/>
    <n v="89.9"/>
    <n v="7.25"/>
    <n v="146"/>
    <n v="1000"/>
    <n v="965"/>
    <s v="RWD"/>
    <n v="7"/>
    <s v="Van"/>
    <n v="79"/>
    <n v="1729"/>
    <n v="5"/>
    <n v="2"/>
    <x v="3"/>
    <x v="2"/>
    <n v="123691"/>
    <n v="3.5"/>
    <n v="4"/>
    <x v="2"/>
    <n v="3.5"/>
    <s v="High"/>
  </r>
  <r>
    <x v="3"/>
    <s v="EV9"/>
    <x v="0"/>
    <s v="Base"/>
    <n v="52108.05"/>
    <n v="65.900000000000006"/>
    <n v="230"/>
    <n v="119.1"/>
    <n v="6.72"/>
    <n v="152"/>
    <n v="531"/>
    <n v="442"/>
    <s v="FWD"/>
    <n v="5"/>
    <s v="SUV"/>
    <n v="53"/>
    <n v="1976"/>
    <n v="5"/>
    <n v="0"/>
    <x v="3"/>
    <x v="1"/>
    <n v="98868"/>
    <n v="3.2"/>
    <n v="3"/>
    <x v="1"/>
    <n v="3.49"/>
    <s v="High"/>
  </r>
  <r>
    <x v="11"/>
    <s v="e-tron"/>
    <x v="0"/>
    <s v="Base"/>
    <n v="93510.78"/>
    <n v="53"/>
    <n v="195"/>
    <n v="63.5"/>
    <n v="5.08"/>
    <n v="161"/>
    <n v="659"/>
    <n v="562"/>
    <s v="AWD"/>
    <n v="5"/>
    <s v="Hatchback"/>
    <n v="16.899999999999999"/>
    <n v="1834"/>
    <n v="5"/>
    <n v="1"/>
    <x v="0"/>
    <x v="2"/>
    <n v="70832"/>
    <n v="3.2"/>
    <n v="6"/>
    <x v="1"/>
    <n v="3.68"/>
    <s v="High"/>
  </r>
  <r>
    <x v="0"/>
    <s v="ID.4"/>
    <x v="2"/>
    <s v="Standard"/>
    <n v="78233.39"/>
    <n v="46.6"/>
    <n v="161"/>
    <n v="105"/>
    <n v="7.69"/>
    <n v="139"/>
    <n v="824"/>
    <n v="725"/>
    <s v="FWD"/>
    <n v="5"/>
    <s v="Coupe"/>
    <n v="19.5"/>
    <n v="1684"/>
    <n v="4"/>
    <n v="1"/>
    <x v="0"/>
    <x v="2"/>
    <n v="259295"/>
    <n v="3.2"/>
    <n v="3"/>
    <x v="2"/>
    <n v="3.45"/>
    <s v="High"/>
  </r>
  <r>
    <x v="4"/>
    <s v="Model S"/>
    <x v="3"/>
    <s v="Base"/>
    <n v="101976.23"/>
    <n v="83.7"/>
    <n v="284"/>
    <n v="268.2"/>
    <n v="7.24"/>
    <n v="139"/>
    <n v="754"/>
    <n v="680"/>
    <s v="FWD"/>
    <n v="5"/>
    <s v="Hatchback"/>
    <n v="27.1"/>
    <n v="1882"/>
    <n v="5"/>
    <n v="2"/>
    <x v="2"/>
    <x v="0"/>
    <n v="160905"/>
    <n v="3.9"/>
    <n v="5"/>
    <x v="2"/>
    <n v="3.39"/>
    <s v="High"/>
  </r>
  <r>
    <x v="4"/>
    <s v="Model Y"/>
    <x v="2"/>
    <s v="Standard"/>
    <n v="110000.94"/>
    <n v="53.4"/>
    <n v="163"/>
    <n v="322.5"/>
    <n v="5.33"/>
    <n v="172"/>
    <n v="809"/>
    <n v="763"/>
    <s v="AWD"/>
    <n v="5"/>
    <s v="Sedan"/>
    <n v="16.100000000000001"/>
    <n v="1577"/>
    <n v="4"/>
    <n v="2"/>
    <x v="2"/>
    <x v="0"/>
    <n v="414109"/>
    <n v="3.6"/>
    <n v="4"/>
    <x v="1"/>
    <n v="3.05"/>
    <s v="High"/>
  </r>
  <r>
    <x v="2"/>
    <s v="Equinox EV"/>
    <x v="3"/>
    <s v="Performance"/>
    <n v="83117.350000000006"/>
    <n v="106.5"/>
    <n v="362"/>
    <n v="215.7"/>
    <n v="3.06"/>
    <n v="200"/>
    <n v="1000"/>
    <n v="888"/>
    <s v="AWD"/>
    <n v="5"/>
    <s v="SUV"/>
    <n v="59.7"/>
    <n v="1801"/>
    <n v="3"/>
    <n v="1"/>
    <x v="2"/>
    <x v="2"/>
    <n v="17250"/>
    <n v="3.6"/>
    <n v="4"/>
    <x v="0"/>
    <n v="3.4"/>
    <s v="Medium"/>
  </r>
  <r>
    <x v="10"/>
    <s v="i7"/>
    <x v="3"/>
    <s v="Premium"/>
    <n v="107462.71"/>
    <n v="63"/>
    <n v="242"/>
    <n v="78.900000000000006"/>
    <n v="5.42"/>
    <n v="175"/>
    <n v="929"/>
    <n v="805"/>
    <s v="RWD"/>
    <n v="5"/>
    <s v="Sedan"/>
    <n v="34.200000000000003"/>
    <n v="1736"/>
    <n v="5"/>
    <n v="2"/>
    <x v="0"/>
    <x v="0"/>
    <n v="59946"/>
    <n v="3.4"/>
    <n v="7"/>
    <x v="1"/>
    <n v="3.84"/>
    <s v="High"/>
  </r>
  <r>
    <x v="2"/>
    <s v="Blazer EV"/>
    <x v="1"/>
    <s v="Standard"/>
    <n v="55685.25"/>
    <n v="80.400000000000006"/>
    <n v="288"/>
    <n v="51.4"/>
    <n v="6.05"/>
    <n v="158"/>
    <n v="670"/>
    <n v="592"/>
    <s v="FWD"/>
    <n v="7"/>
    <s v="Sedan"/>
    <n v="39.9"/>
    <n v="1642"/>
    <n v="4"/>
    <n v="0"/>
    <x v="2"/>
    <x v="1"/>
    <n v="22694"/>
    <n v="3.6"/>
    <n v="4"/>
    <x v="1"/>
    <n v="3.58"/>
    <s v="High"/>
  </r>
  <r>
    <x v="7"/>
    <s v="Max"/>
    <x v="5"/>
    <s v="Performance"/>
    <n v="90766.48"/>
    <n v="91"/>
    <n v="318"/>
    <n v="231.3"/>
    <n v="2.7"/>
    <n v="200"/>
    <n v="1000"/>
    <n v="928"/>
    <s v="FWD"/>
    <n v="5"/>
    <s v="Sedan"/>
    <n v="29.3"/>
    <n v="1500"/>
    <n v="4"/>
    <n v="0"/>
    <x v="4"/>
    <x v="2"/>
    <n v="205278"/>
    <n v="3.5"/>
    <n v="3"/>
    <x v="0"/>
    <n v="3.49"/>
    <s v="High"/>
  </r>
  <r>
    <x v="4"/>
    <s v="Model Y"/>
    <x v="5"/>
    <s v="Base"/>
    <n v="111102.01"/>
    <n v="57.5"/>
    <n v="194"/>
    <n v="273.3"/>
    <n v="7.1"/>
    <n v="140"/>
    <n v="805"/>
    <n v="733"/>
    <s v="FWD"/>
    <n v="5"/>
    <s v="Sedan"/>
    <n v="30"/>
    <n v="1767"/>
    <n v="5"/>
    <n v="2"/>
    <x v="2"/>
    <x v="0"/>
    <n v="457566"/>
    <n v="3.8"/>
    <n v="5"/>
    <x v="2"/>
    <n v="3.37"/>
    <s v="High"/>
  </r>
  <r>
    <x v="4"/>
    <s v="Cybertruck"/>
    <x v="5"/>
    <s v="Base"/>
    <n v="121350.3"/>
    <n v="82.3"/>
    <n v="289"/>
    <n v="226.3"/>
    <n v="7.42"/>
    <n v="130"/>
    <n v="930"/>
    <n v="825"/>
    <s v="AWD"/>
    <n v="5"/>
    <s v="Truck"/>
    <n v="72.599999999999994"/>
    <n v="2759"/>
    <n v="5"/>
    <n v="3"/>
    <x v="2"/>
    <x v="0"/>
    <n v="144677"/>
    <n v="3.9"/>
    <n v="6"/>
    <x v="2"/>
    <n v="3.51"/>
    <s v="High"/>
  </r>
  <r>
    <x v="7"/>
    <s v="Qin"/>
    <x v="3"/>
    <s v="Base"/>
    <n v="43868.55"/>
    <n v="77.3"/>
    <n v="290"/>
    <n v="123"/>
    <n v="5.63"/>
    <n v="165"/>
    <n v="450"/>
    <n v="423"/>
    <s v="FWD"/>
    <n v="5"/>
    <s v="Coupe"/>
    <n v="35.5"/>
    <n v="1761"/>
    <n v="5"/>
    <n v="1"/>
    <x v="4"/>
    <x v="1"/>
    <n v="211394"/>
    <n v="3.7"/>
    <n v="3"/>
    <x v="1"/>
    <n v="3.75"/>
    <s v="High"/>
  </r>
  <r>
    <x v="3"/>
    <s v="EV9"/>
    <x v="5"/>
    <s v="Long Range"/>
    <n v="37918.559999999998"/>
    <n v="79.900000000000006"/>
    <n v="304"/>
    <n v="103.8"/>
    <n v="4.71"/>
    <n v="182"/>
    <n v="284"/>
    <n v="216"/>
    <s v="AWD"/>
    <n v="5"/>
    <s v="SUV"/>
    <n v="42.9"/>
    <n v="2341"/>
    <n v="5"/>
    <n v="0"/>
    <x v="3"/>
    <x v="1"/>
    <n v="92798"/>
    <n v="3.7"/>
    <n v="3"/>
    <x v="1"/>
    <n v="3.8"/>
    <s v="High"/>
  </r>
  <r>
    <x v="0"/>
    <s v="ID.5"/>
    <x v="0"/>
    <s v="Premium"/>
    <n v="87378.559999999998"/>
    <n v="46.6"/>
    <n v="155"/>
    <n v="73.900000000000006"/>
    <n v="5.68"/>
    <n v="162"/>
    <n v="1000"/>
    <n v="866"/>
    <s v="AWD"/>
    <n v="7"/>
    <s v="Truck"/>
    <n v="70.7"/>
    <n v="2532"/>
    <n v="3"/>
    <n v="0"/>
    <x v="0"/>
    <x v="2"/>
    <n v="280958"/>
    <n v="3.3"/>
    <n v="5"/>
    <x v="1"/>
    <n v="3.33"/>
    <s v="High"/>
  </r>
  <r>
    <x v="0"/>
    <s v="ID. Aero"/>
    <x v="3"/>
    <s v="Long Range"/>
    <n v="98049.57"/>
    <n v="79.3"/>
    <n v="271"/>
    <n v="109.3"/>
    <n v="5.08"/>
    <n v="178"/>
    <n v="1000"/>
    <n v="925"/>
    <s v="FWD"/>
    <n v="7"/>
    <s v="Truck"/>
    <n v="78.8"/>
    <n v="2544"/>
    <n v="4"/>
    <n v="0"/>
    <x v="0"/>
    <x v="2"/>
    <n v="232457"/>
    <n v="3.5"/>
    <n v="3"/>
    <x v="1"/>
    <n v="3.42"/>
    <s v="High"/>
  </r>
  <r>
    <x v="11"/>
    <s v="Q6 e-tron"/>
    <x v="3"/>
    <s v="Base"/>
    <n v="91070.12"/>
    <n v="66.400000000000006"/>
    <n v="224"/>
    <n v="134.5"/>
    <n v="7.09"/>
    <n v="152"/>
    <n v="640"/>
    <n v="596"/>
    <s v="AWD"/>
    <n v="5"/>
    <s v="Sedan"/>
    <n v="21.5"/>
    <n v="1500"/>
    <n v="3"/>
    <n v="1"/>
    <x v="0"/>
    <x v="2"/>
    <n v="69627"/>
    <n v="3.7"/>
    <n v="7"/>
    <x v="2"/>
    <n v="3.37"/>
    <s v="High"/>
  </r>
  <r>
    <x v="7"/>
    <s v="Dolphin"/>
    <x v="5"/>
    <s v="Base"/>
    <n v="33590.410000000003"/>
    <n v="74.099999999999994"/>
    <n v="252"/>
    <n v="145.1"/>
    <n v="7.81"/>
    <n v="140"/>
    <n v="320"/>
    <n v="319"/>
    <s v="AWD"/>
    <n v="7"/>
    <s v="Truck"/>
    <n v="59.1"/>
    <n v="2166"/>
    <n v="4"/>
    <n v="1"/>
    <x v="4"/>
    <x v="3"/>
    <n v="225478"/>
    <n v="3.6"/>
    <n v="5"/>
    <x v="2"/>
    <n v="3.4"/>
    <s v="High"/>
  </r>
  <r>
    <x v="8"/>
    <s v="Ioniq 5"/>
    <x v="0"/>
    <s v="Long Range"/>
    <n v="51553.1"/>
    <n v="75.3"/>
    <n v="265"/>
    <n v="102.7"/>
    <n v="5.85"/>
    <n v="174"/>
    <n v="530"/>
    <n v="474"/>
    <s v="RWD"/>
    <n v="5"/>
    <s v="Coupe"/>
    <n v="25.8"/>
    <n v="1500"/>
    <n v="5"/>
    <n v="0"/>
    <x v="3"/>
    <x v="1"/>
    <n v="110986"/>
    <n v="3.8"/>
    <n v="4"/>
    <x v="1"/>
    <n v="3.52"/>
    <s v="High"/>
  </r>
  <r>
    <x v="9"/>
    <s v="Mustang Mach-E"/>
    <x v="3"/>
    <s v="Base"/>
    <n v="31921.1"/>
    <n v="77.2"/>
    <n v="284"/>
    <n v="63.3"/>
    <n v="5.86"/>
    <n v="172"/>
    <n v="250"/>
    <n v="221"/>
    <s v="AWD"/>
    <n v="5"/>
    <s v="Coupe"/>
    <n v="16"/>
    <n v="1500"/>
    <n v="5"/>
    <n v="2"/>
    <x v="2"/>
    <x v="3"/>
    <n v="21264"/>
    <n v="3.6"/>
    <n v="5"/>
    <x v="1"/>
    <n v="3.68"/>
    <s v="High"/>
  </r>
  <r>
    <x v="0"/>
    <s v="ID.4"/>
    <x v="2"/>
    <s v="Long Range"/>
    <n v="67460.11"/>
    <n v="97.9"/>
    <n v="324"/>
    <n v="92.4"/>
    <n v="4.29"/>
    <n v="180"/>
    <n v="681"/>
    <n v="643"/>
    <s v="FWD"/>
    <n v="7"/>
    <s v="Truck"/>
    <n v="78.7"/>
    <n v="2596"/>
    <n v="4"/>
    <n v="0"/>
    <x v="0"/>
    <x v="2"/>
    <n v="219503"/>
    <n v="3.7"/>
    <n v="3"/>
    <x v="1"/>
    <n v="3.31"/>
    <s v="High"/>
  </r>
  <r>
    <x v="10"/>
    <s v="i7"/>
    <x v="3"/>
    <s v="Standard"/>
    <n v="56108.72"/>
    <n v="78.400000000000006"/>
    <n v="280"/>
    <n v="142.19999999999999"/>
    <n v="5.1100000000000003"/>
    <n v="178"/>
    <n v="253"/>
    <n v="262"/>
    <s v="AWD"/>
    <n v="5"/>
    <s v="Hatchback"/>
    <n v="24.8"/>
    <n v="1729"/>
    <n v="5"/>
    <n v="1"/>
    <x v="0"/>
    <x v="1"/>
    <n v="32771"/>
    <n v="3.6"/>
    <n v="5"/>
    <x v="1"/>
    <n v="3.57"/>
    <s v="High"/>
  </r>
  <r>
    <x v="5"/>
    <s v="EQS"/>
    <x v="2"/>
    <s v="Performance"/>
    <n v="175695.73"/>
    <n v="119.3"/>
    <n v="421"/>
    <n v="160.5"/>
    <n v="2.98"/>
    <n v="200"/>
    <n v="1000"/>
    <n v="867"/>
    <s v="AWD"/>
    <n v="5"/>
    <s v="Truck"/>
    <n v="71.5"/>
    <n v="2775"/>
    <n v="4"/>
    <n v="1"/>
    <x v="0"/>
    <x v="0"/>
    <n v="47072"/>
    <n v="4.0999999999999996"/>
    <n v="7"/>
    <x v="0"/>
    <n v="3.53"/>
    <s v="High"/>
  </r>
  <r>
    <x v="1"/>
    <s v="bZ Compact SUV"/>
    <x v="6"/>
    <s v="Base"/>
    <n v="47569.79"/>
    <n v="41.5"/>
    <n v="160"/>
    <n v="86.2"/>
    <n v="7.8"/>
    <n v="133"/>
    <n v="419"/>
    <n v="383"/>
    <s v="RWD"/>
    <n v="5"/>
    <s v="SUV"/>
    <n v="43.1"/>
    <n v="1792"/>
    <n v="4"/>
    <n v="0"/>
    <x v="1"/>
    <x v="1"/>
    <n v="28709"/>
    <n v="3.2"/>
    <n v="4"/>
    <x v="2"/>
    <n v="3.86"/>
    <s v="High"/>
  </r>
  <r>
    <x v="4"/>
    <s v="Cybertruck"/>
    <x v="2"/>
    <s v="Performance"/>
    <n v="68394.929999999993"/>
    <n v="94.8"/>
    <n v="315"/>
    <n v="254.1"/>
    <n v="4.1500000000000004"/>
    <n v="179"/>
    <n v="520"/>
    <n v="388"/>
    <s v="RWD"/>
    <n v="5"/>
    <s v="Truck"/>
    <n v="64.599999999999994"/>
    <n v="2391"/>
    <n v="5"/>
    <n v="2"/>
    <x v="2"/>
    <x v="2"/>
    <n v="230110"/>
    <n v="4"/>
    <n v="5"/>
    <x v="1"/>
    <n v="3.32"/>
    <s v="High"/>
  </r>
  <r>
    <x v="13"/>
    <s v="R1T"/>
    <x v="3"/>
    <s v="Standard"/>
    <n v="78693.27"/>
    <n v="63.6"/>
    <n v="243"/>
    <n v="115.4"/>
    <n v="5.92"/>
    <n v="171"/>
    <n v="624"/>
    <n v="547"/>
    <s v="RWD"/>
    <n v="4"/>
    <s v="Truck"/>
    <n v="67.099999999999994"/>
    <n v="2866"/>
    <n v="4"/>
    <n v="0"/>
    <x v="2"/>
    <x v="2"/>
    <n v="14022"/>
    <n v="3.1"/>
    <n v="6"/>
    <x v="1"/>
    <n v="3.82"/>
    <s v="Medium"/>
  </r>
  <r>
    <x v="8"/>
    <s v="Ioniq 6"/>
    <x v="3"/>
    <s v="Standard"/>
    <n v="46340.480000000003"/>
    <n v="70.599999999999994"/>
    <n v="240"/>
    <n v="88.7"/>
    <n v="7.3"/>
    <n v="133"/>
    <n v="473"/>
    <n v="446"/>
    <s v="FWD"/>
    <n v="5"/>
    <s v="Sedan"/>
    <n v="18.5"/>
    <n v="1585"/>
    <n v="3"/>
    <n v="0"/>
    <x v="3"/>
    <x v="1"/>
    <n v="91894"/>
    <n v="3.2"/>
    <n v="4"/>
    <x v="2"/>
    <n v="3.4"/>
    <s v="High"/>
  </r>
  <r>
    <x v="7"/>
    <s v="Seagull"/>
    <x v="4"/>
    <s v="Standard"/>
    <n v="73231.02"/>
    <n v="46.1"/>
    <n v="166"/>
    <n v="143.1"/>
    <n v="7.63"/>
    <n v="141"/>
    <n v="844"/>
    <n v="798"/>
    <s v="AWD"/>
    <n v="5"/>
    <s v="Sedan"/>
    <n v="24.9"/>
    <n v="1547"/>
    <n v="4"/>
    <n v="1"/>
    <x v="4"/>
    <x v="2"/>
    <n v="227938"/>
    <n v="3.2"/>
    <n v="4"/>
    <x v="2"/>
    <n v="3.6"/>
    <s v="High"/>
  </r>
  <r>
    <x v="8"/>
    <s v="Ioniq 6"/>
    <x v="3"/>
    <s v="Standard"/>
    <n v="70402.19"/>
    <n v="49.9"/>
    <n v="170"/>
    <n v="108.8"/>
    <n v="7.04"/>
    <n v="148"/>
    <n v="866"/>
    <n v="746"/>
    <s v="FWD"/>
    <n v="5"/>
    <s v="Sedan"/>
    <n v="21.9"/>
    <n v="1500"/>
    <n v="5"/>
    <n v="1"/>
    <x v="3"/>
    <x v="2"/>
    <n v="69074"/>
    <n v="3.3"/>
    <n v="4"/>
    <x v="2"/>
    <n v="3.41"/>
    <s v="High"/>
  </r>
  <r>
    <x v="19"/>
    <n v="3"/>
    <x v="2"/>
    <s v="Premium"/>
    <n v="98223.61"/>
    <n v="58.4"/>
    <n v="219"/>
    <n v="103.2"/>
    <n v="7.31"/>
    <n v="147"/>
    <n v="701"/>
    <n v="672"/>
    <s v="RWD"/>
    <n v="5"/>
    <s v="Coupe"/>
    <n v="27.3"/>
    <n v="1500"/>
    <n v="4"/>
    <n v="2"/>
    <x v="5"/>
    <x v="2"/>
    <n v="3904"/>
    <n v="3.7"/>
    <n v="4"/>
    <x v="2"/>
    <n v="3.75"/>
    <s v="Low"/>
  </r>
  <r>
    <x v="8"/>
    <s v="Ioniq"/>
    <x v="2"/>
    <s v="Premium"/>
    <n v="39646.49"/>
    <n v="41"/>
    <n v="150"/>
    <n v="94.3"/>
    <n v="5.91"/>
    <n v="174"/>
    <n v="271"/>
    <n v="236"/>
    <s v="AWD"/>
    <n v="5"/>
    <s v="Hatchback"/>
    <n v="31.2"/>
    <n v="1595"/>
    <n v="5"/>
    <n v="0"/>
    <x v="3"/>
    <x v="1"/>
    <n v="129173"/>
    <n v="3"/>
    <n v="3"/>
    <x v="1"/>
    <n v="3.66"/>
    <s v="High"/>
  </r>
  <r>
    <x v="7"/>
    <s v="Yuan Plus"/>
    <x v="0"/>
    <s v="Standard"/>
    <n v="70732.36"/>
    <n v="45.3"/>
    <n v="151"/>
    <n v="118.3"/>
    <n v="5.92"/>
    <n v="161"/>
    <n v="801"/>
    <n v="724"/>
    <s v="FWD"/>
    <n v="5"/>
    <s v="Hatchback"/>
    <n v="38.9"/>
    <n v="1764"/>
    <n v="4"/>
    <n v="1"/>
    <x v="4"/>
    <x v="2"/>
    <n v="198624"/>
    <n v="3.1"/>
    <n v="3"/>
    <x v="1"/>
    <n v="3.33"/>
    <s v="High"/>
  </r>
  <r>
    <x v="10"/>
    <s v="i5"/>
    <x v="0"/>
    <s v="Standard"/>
    <n v="106048.4"/>
    <n v="47.8"/>
    <n v="195"/>
    <n v="87"/>
    <n v="6.06"/>
    <n v="167"/>
    <n v="866"/>
    <n v="827"/>
    <s v="AWD"/>
    <n v="5"/>
    <s v="Hatchback"/>
    <n v="16.399999999999999"/>
    <n v="1511"/>
    <n v="5"/>
    <n v="1"/>
    <x v="0"/>
    <x v="0"/>
    <n v="52016"/>
    <n v="3.3"/>
    <n v="5"/>
    <x v="1"/>
    <n v="4.08"/>
    <s v="High"/>
  </r>
  <r>
    <x v="7"/>
    <s v="Seagull"/>
    <x v="5"/>
    <s v="Standard"/>
    <n v="75687.78"/>
    <n v="57.9"/>
    <n v="223"/>
    <n v="77.400000000000006"/>
    <n v="7.1"/>
    <n v="136"/>
    <n v="911"/>
    <n v="866"/>
    <s v="AWD"/>
    <n v="7"/>
    <s v="Sedan"/>
    <n v="31.9"/>
    <n v="1545"/>
    <n v="3"/>
    <n v="2"/>
    <x v="4"/>
    <x v="2"/>
    <n v="230330"/>
    <n v="3.4"/>
    <n v="4"/>
    <x v="2"/>
    <n v="3.85"/>
    <s v="High"/>
  </r>
  <r>
    <x v="4"/>
    <s v="Model 3"/>
    <x v="2"/>
    <s v="Premium"/>
    <n v="164903.76"/>
    <n v="51.1"/>
    <n v="184"/>
    <n v="261.5"/>
    <n v="6.48"/>
    <n v="159"/>
    <n v="1000"/>
    <n v="922"/>
    <s v="AWD"/>
    <n v="5"/>
    <s v="Coupe"/>
    <n v="30.2"/>
    <n v="1747"/>
    <n v="3"/>
    <n v="2"/>
    <x v="2"/>
    <x v="0"/>
    <n v="238934"/>
    <n v="3.6"/>
    <n v="5"/>
    <x v="1"/>
    <n v="3.6"/>
    <s v="High"/>
  </r>
  <r>
    <x v="4"/>
    <s v="Cybertruck"/>
    <x v="3"/>
    <s v="Premium"/>
    <n v="104330.24000000001"/>
    <n v="50.1"/>
    <n v="185"/>
    <n v="261.5"/>
    <n v="7.04"/>
    <n v="145"/>
    <n v="792"/>
    <n v="738"/>
    <s v="RWD"/>
    <n v="7"/>
    <s v="Truck"/>
    <n v="79.099999999999994"/>
    <n v="2220"/>
    <n v="4"/>
    <n v="2"/>
    <x v="2"/>
    <x v="0"/>
    <n v="241443"/>
    <n v="3.8"/>
    <n v="6"/>
    <x v="2"/>
    <n v="3.69"/>
    <s v="High"/>
  </r>
  <r>
    <x v="4"/>
    <s v="Model 3"/>
    <x v="1"/>
    <s v="Premium"/>
    <n v="74667.63"/>
    <n v="60.5"/>
    <n v="201"/>
    <n v="228.2"/>
    <n v="6.62"/>
    <n v="159"/>
    <n v="552"/>
    <n v="490"/>
    <s v="AWD"/>
    <n v="5"/>
    <s v="Truck"/>
    <n v="78.2"/>
    <n v="2148"/>
    <n v="5"/>
    <n v="2"/>
    <x v="2"/>
    <x v="2"/>
    <n v="245609"/>
    <n v="3.7"/>
    <n v="4"/>
    <x v="1"/>
    <n v="3.32"/>
    <s v="High"/>
  </r>
  <r>
    <x v="4"/>
    <s v="Model S"/>
    <x v="2"/>
    <s v="Standard"/>
    <n v="132957.6"/>
    <n v="57.4"/>
    <n v="197"/>
    <n v="313"/>
    <n v="5.66"/>
    <n v="168"/>
    <n v="1000"/>
    <n v="900"/>
    <s v="RWD"/>
    <n v="7"/>
    <s v="Sedan"/>
    <n v="24.8"/>
    <n v="1603"/>
    <n v="5"/>
    <n v="2"/>
    <x v="2"/>
    <x v="0"/>
    <n v="220563"/>
    <n v="3.5"/>
    <n v="5"/>
    <x v="1"/>
    <n v="3.43"/>
    <s v="High"/>
  </r>
  <r>
    <x v="4"/>
    <s v="Model Y"/>
    <x v="3"/>
    <s v="Performance"/>
    <n v="146521.88"/>
    <n v="91.7"/>
    <n v="343"/>
    <n v="226.2"/>
    <n v="3.18"/>
    <n v="200"/>
    <n v="1000"/>
    <n v="863"/>
    <s v="AWD"/>
    <n v="5"/>
    <s v="SUV"/>
    <n v="58.9"/>
    <n v="1942"/>
    <n v="4"/>
    <n v="2"/>
    <x v="2"/>
    <x v="0"/>
    <n v="406719"/>
    <n v="4.0999999999999996"/>
    <n v="5"/>
    <x v="0"/>
    <n v="3.74"/>
    <s v="High"/>
  </r>
  <r>
    <x v="10"/>
    <s v="i7"/>
    <x v="2"/>
    <s v="Long Range"/>
    <n v="126323.43"/>
    <n v="92.6"/>
    <n v="337"/>
    <n v="134.19999999999999"/>
    <n v="4.57"/>
    <n v="190"/>
    <n v="1000"/>
    <n v="906"/>
    <s v="FWD"/>
    <n v="7"/>
    <s v="Hatchback"/>
    <n v="38.1"/>
    <n v="1500"/>
    <n v="5"/>
    <n v="1"/>
    <x v="0"/>
    <x v="0"/>
    <n v="51591"/>
    <n v="3.9"/>
    <n v="6"/>
    <x v="1"/>
    <n v="3.64"/>
    <s v="High"/>
  </r>
  <r>
    <x v="4"/>
    <s v="Model X"/>
    <x v="3"/>
    <s v="Base"/>
    <n v="42945.26"/>
    <n v="77"/>
    <n v="266"/>
    <n v="309.89999999999998"/>
    <n v="6.79"/>
    <n v="148"/>
    <n v="248"/>
    <n v="200"/>
    <s v="AWD"/>
    <n v="7"/>
    <s v="SUV"/>
    <n v="66.099999999999994"/>
    <n v="1861"/>
    <n v="5"/>
    <n v="3"/>
    <x v="2"/>
    <x v="1"/>
    <n v="202664"/>
    <n v="3.8"/>
    <n v="5"/>
    <x v="1"/>
    <n v="3.45"/>
    <s v="High"/>
  </r>
  <r>
    <x v="7"/>
    <s v="Dolphin"/>
    <x v="2"/>
    <s v="Long Range"/>
    <n v="38014.51"/>
    <n v="86.6"/>
    <n v="325"/>
    <n v="141.9"/>
    <n v="4.79"/>
    <n v="169"/>
    <n v="383"/>
    <n v="328"/>
    <s v="AWD"/>
    <n v="7"/>
    <s v="SUV"/>
    <n v="45.2"/>
    <n v="1687"/>
    <n v="5"/>
    <n v="0"/>
    <x v="4"/>
    <x v="1"/>
    <n v="241420"/>
    <n v="3.7"/>
    <n v="3"/>
    <x v="1"/>
    <n v="3.75"/>
    <s v="High"/>
  </r>
  <r>
    <x v="11"/>
    <s v="e-tron"/>
    <x v="3"/>
    <s v="Standard"/>
    <n v="109441.61"/>
    <n v="51.1"/>
    <n v="161"/>
    <n v="100.9"/>
    <n v="7.02"/>
    <n v="151"/>
    <n v="876"/>
    <n v="844"/>
    <s v="AWD"/>
    <n v="5"/>
    <s v="Hatchback"/>
    <n v="21.6"/>
    <n v="1589"/>
    <n v="4"/>
    <n v="1"/>
    <x v="0"/>
    <x v="0"/>
    <n v="27623"/>
    <n v="3.3"/>
    <n v="7"/>
    <x v="2"/>
    <n v="3.15"/>
    <s v="High"/>
  </r>
  <r>
    <x v="8"/>
    <s v="Ioniq 6"/>
    <x v="5"/>
    <s v="Long Range"/>
    <n v="93179.93"/>
    <n v="102.1"/>
    <n v="351"/>
    <n v="126.1"/>
    <n v="4.97"/>
    <n v="181"/>
    <n v="1000"/>
    <n v="892"/>
    <s v="FWD"/>
    <n v="5"/>
    <s v="Sedan"/>
    <n v="16.2"/>
    <n v="1500"/>
    <n v="4"/>
    <n v="1"/>
    <x v="3"/>
    <x v="2"/>
    <n v="64997"/>
    <n v="3.4"/>
    <n v="4"/>
    <x v="1"/>
    <n v="3.44"/>
    <s v="High"/>
  </r>
  <r>
    <x v="10"/>
    <s v="i5"/>
    <x v="3"/>
    <s v="Premium"/>
    <n v="79696.27"/>
    <n v="76.5"/>
    <n v="251"/>
    <n v="103.6"/>
    <n v="6.21"/>
    <n v="161"/>
    <n v="550"/>
    <n v="514"/>
    <s v="AWD"/>
    <n v="5"/>
    <s v="Truck"/>
    <n v="60"/>
    <n v="2846"/>
    <n v="5"/>
    <n v="1"/>
    <x v="0"/>
    <x v="2"/>
    <n v="32509"/>
    <n v="3.2"/>
    <n v="5"/>
    <x v="1"/>
    <n v="3.28"/>
    <s v="High"/>
  </r>
  <r>
    <x v="4"/>
    <s v="Model Y"/>
    <x v="3"/>
    <s v="Standard"/>
    <n v="85878.17"/>
    <n v="49.2"/>
    <n v="188"/>
    <n v="238.9"/>
    <n v="6.03"/>
    <n v="164"/>
    <n v="605"/>
    <n v="592"/>
    <s v="RWD"/>
    <n v="7"/>
    <s v="Sedan"/>
    <n v="29.6"/>
    <n v="2009"/>
    <n v="4"/>
    <n v="2"/>
    <x v="2"/>
    <x v="2"/>
    <n v="499717"/>
    <n v="3.4"/>
    <n v="5"/>
    <x v="1"/>
    <n v="3.82"/>
    <s v="High"/>
  </r>
  <r>
    <x v="4"/>
    <s v="Model Y"/>
    <x v="4"/>
    <s v="Standard"/>
    <n v="49771.040000000001"/>
    <n v="62.5"/>
    <n v="225"/>
    <n v="212.5"/>
    <n v="5.56"/>
    <n v="175"/>
    <n v="317"/>
    <n v="261"/>
    <s v="FWD"/>
    <n v="5"/>
    <s v="Coupe"/>
    <n v="34.200000000000003"/>
    <n v="1578"/>
    <n v="3"/>
    <n v="3"/>
    <x v="2"/>
    <x v="1"/>
    <n v="483023"/>
    <n v="3.7"/>
    <n v="5"/>
    <x v="1"/>
    <n v="3.6"/>
    <s v="High"/>
  </r>
  <r>
    <x v="4"/>
    <s v="Model 3"/>
    <x v="3"/>
    <s v="Premium"/>
    <n v="60544.17"/>
    <n v="81.599999999999994"/>
    <n v="287"/>
    <n v="247.1"/>
    <n v="5.81"/>
    <n v="158"/>
    <n v="384"/>
    <n v="366"/>
    <s v="RWD"/>
    <n v="5"/>
    <s v="Truck"/>
    <n v="51.2"/>
    <n v="2538"/>
    <n v="5"/>
    <n v="2"/>
    <x v="2"/>
    <x v="1"/>
    <n v="170776"/>
    <n v="4"/>
    <n v="6"/>
    <x v="1"/>
    <n v="3.52"/>
    <s v="High"/>
  </r>
  <r>
    <x v="4"/>
    <s v="Model S"/>
    <x v="5"/>
    <s v="Long Range"/>
    <n v="125990.82"/>
    <n v="75.3"/>
    <n v="272"/>
    <n v="209.9"/>
    <n v="4.9400000000000004"/>
    <n v="171"/>
    <n v="955"/>
    <n v="881"/>
    <s v="FWD"/>
    <n v="7"/>
    <s v="Hatchback"/>
    <n v="17.100000000000001"/>
    <n v="1589"/>
    <n v="5"/>
    <n v="2"/>
    <x v="2"/>
    <x v="0"/>
    <n v="200607"/>
    <n v="4"/>
    <n v="4"/>
    <x v="1"/>
    <n v="3.61"/>
    <s v="High"/>
  </r>
  <r>
    <x v="7"/>
    <s v="Seagull"/>
    <x v="6"/>
    <s v="Long Range"/>
    <n v="48719.93"/>
    <n v="95.3"/>
    <n v="342"/>
    <n v="125.3"/>
    <n v="5.39"/>
    <n v="166"/>
    <n v="449"/>
    <n v="397"/>
    <s v="FWD"/>
    <n v="5"/>
    <s v="Coupe"/>
    <n v="30.4"/>
    <n v="1511"/>
    <n v="4"/>
    <n v="0"/>
    <x v="4"/>
    <x v="1"/>
    <n v="158941"/>
    <n v="3.7"/>
    <n v="4"/>
    <x v="1"/>
    <n v="3.59"/>
    <s v="High"/>
  </r>
  <r>
    <x v="4"/>
    <s v="Model X"/>
    <x v="1"/>
    <s v="Performance"/>
    <n v="66277.97"/>
    <n v="97.7"/>
    <n v="340"/>
    <n v="285.5"/>
    <n v="3.71"/>
    <n v="189"/>
    <n v="445"/>
    <n v="394"/>
    <s v="RWD"/>
    <n v="5"/>
    <s v="Truck"/>
    <n v="59.1"/>
    <n v="2882"/>
    <n v="3"/>
    <n v="2"/>
    <x v="2"/>
    <x v="2"/>
    <n v="108652"/>
    <n v="4.0999999999999996"/>
    <n v="4"/>
    <x v="0"/>
    <n v="3.48"/>
    <s v="High"/>
  </r>
  <r>
    <x v="4"/>
    <s v="Model Y"/>
    <x v="3"/>
    <s v="Standard"/>
    <n v="122990.85"/>
    <n v="43.1"/>
    <n v="177"/>
    <n v="222.1"/>
    <n v="7.3"/>
    <n v="132"/>
    <n v="909"/>
    <n v="826"/>
    <s v="AWD"/>
    <n v="5"/>
    <s v="Hatchback"/>
    <n v="25.4"/>
    <n v="1500"/>
    <n v="4"/>
    <n v="2"/>
    <x v="2"/>
    <x v="0"/>
    <n v="444103"/>
    <n v="3.5"/>
    <n v="5"/>
    <x v="2"/>
    <n v="4.1100000000000003"/>
    <s v="High"/>
  </r>
  <r>
    <x v="4"/>
    <s v="Model 3"/>
    <x v="3"/>
    <s v="Standard"/>
    <n v="77509.320000000007"/>
    <n v="78.599999999999994"/>
    <n v="256"/>
    <n v="347.7"/>
    <n v="7.73"/>
    <n v="130"/>
    <n v="522"/>
    <n v="442"/>
    <s v="RWD"/>
    <n v="7"/>
    <s v="Hatchback"/>
    <n v="18"/>
    <n v="1500"/>
    <n v="3"/>
    <n v="2"/>
    <x v="2"/>
    <x v="2"/>
    <n v="156028"/>
    <n v="3.9"/>
    <n v="4"/>
    <x v="2"/>
    <n v="3.26"/>
    <s v="High"/>
  </r>
  <r>
    <x v="8"/>
    <s v="Ioniq 5"/>
    <x v="3"/>
    <s v="Base"/>
    <n v="42592.08"/>
    <n v="73.400000000000006"/>
    <n v="215"/>
    <n v="90.7"/>
    <n v="6.29"/>
    <n v="154"/>
    <n v="432"/>
    <n v="362"/>
    <s v="FWD"/>
    <n v="5"/>
    <s v="Truck"/>
    <n v="54.8"/>
    <n v="2777"/>
    <n v="4"/>
    <n v="0"/>
    <x v="3"/>
    <x v="1"/>
    <n v="124929"/>
    <n v="3.4"/>
    <n v="4"/>
    <x v="1"/>
    <n v="2.93"/>
    <s v="High"/>
  </r>
  <r>
    <x v="7"/>
    <s v="Max"/>
    <x v="5"/>
    <s v="Standard"/>
    <n v="42445.79"/>
    <n v="53"/>
    <n v="173"/>
    <n v="61.8"/>
    <n v="5.53"/>
    <n v="167"/>
    <n v="444"/>
    <n v="446"/>
    <s v="AWD"/>
    <n v="7"/>
    <s v="Coupe"/>
    <n v="34.200000000000003"/>
    <n v="1642"/>
    <n v="4"/>
    <n v="1"/>
    <x v="4"/>
    <x v="1"/>
    <n v="217748"/>
    <n v="3.1"/>
    <n v="5"/>
    <x v="1"/>
    <n v="3.26"/>
    <s v="High"/>
  </r>
  <r>
    <x v="0"/>
    <s v="ID. Aero"/>
    <x v="0"/>
    <s v="Performance"/>
    <n v="44275.35"/>
    <n v="90.4"/>
    <n v="308"/>
    <n v="211.5"/>
    <n v="4.49"/>
    <n v="180"/>
    <n v="363"/>
    <n v="288"/>
    <s v="AWD"/>
    <n v="7"/>
    <s v="Hatchback"/>
    <n v="36.4"/>
    <n v="1606"/>
    <n v="5"/>
    <n v="2"/>
    <x v="0"/>
    <x v="1"/>
    <n v="209760"/>
    <n v="3.5"/>
    <n v="3"/>
    <x v="1"/>
    <n v="3.41"/>
    <s v="High"/>
  </r>
  <r>
    <x v="8"/>
    <s v="Ioniq 6"/>
    <x v="3"/>
    <s v="Performance"/>
    <n v="107109.36"/>
    <n v="119.6"/>
    <n v="434"/>
    <n v="239.3"/>
    <n v="2.87"/>
    <n v="200"/>
    <n v="1000"/>
    <n v="906"/>
    <s v="AWD"/>
    <n v="5"/>
    <s v="SUV"/>
    <n v="68.7"/>
    <n v="2249"/>
    <n v="5"/>
    <n v="1"/>
    <x v="3"/>
    <x v="0"/>
    <n v="92278"/>
    <n v="3.9"/>
    <n v="3"/>
    <x v="0"/>
    <n v="3.63"/>
    <s v="High"/>
  </r>
  <r>
    <x v="2"/>
    <s v="Bolt EV"/>
    <x v="0"/>
    <s v="Base"/>
    <n v="38369.910000000003"/>
    <n v="46.8"/>
    <n v="177"/>
    <n v="81.7"/>
    <n v="6.83"/>
    <n v="139"/>
    <n v="363"/>
    <n v="331"/>
    <s v="FWD"/>
    <n v="7"/>
    <s v="SUV"/>
    <n v="57.5"/>
    <n v="2174"/>
    <n v="5"/>
    <n v="0"/>
    <x v="2"/>
    <x v="1"/>
    <n v="19280"/>
    <n v="3.3"/>
    <n v="3"/>
    <x v="1"/>
    <n v="3.78"/>
    <s v="Medium"/>
  </r>
  <r>
    <x v="4"/>
    <s v="Model S"/>
    <x v="0"/>
    <s v="Long Range"/>
    <n v="82872.710000000006"/>
    <n v="88.9"/>
    <n v="322"/>
    <n v="293.39999999999998"/>
    <n v="4.3099999999999996"/>
    <n v="182"/>
    <n v="559"/>
    <n v="488"/>
    <s v="AWD"/>
    <n v="7"/>
    <s v="Coupe"/>
    <n v="38"/>
    <n v="1852"/>
    <n v="5"/>
    <n v="2"/>
    <x v="2"/>
    <x v="2"/>
    <n v="233601"/>
    <n v="3.6"/>
    <n v="5"/>
    <x v="1"/>
    <n v="3.62"/>
    <s v="High"/>
  </r>
  <r>
    <x v="9"/>
    <s v="Mustang Mach-E"/>
    <x v="2"/>
    <s v="Premium"/>
    <n v="96727.35"/>
    <n v="71.400000000000006"/>
    <n v="233"/>
    <n v="128.6"/>
    <n v="7.7"/>
    <n v="140"/>
    <n v="1000"/>
    <n v="862"/>
    <s v="AWD"/>
    <n v="7"/>
    <s v="Hatchback"/>
    <n v="20.7"/>
    <n v="1832"/>
    <n v="3"/>
    <n v="1"/>
    <x v="2"/>
    <x v="2"/>
    <n v="75873"/>
    <n v="3.2"/>
    <n v="5"/>
    <x v="2"/>
    <n v="3.26"/>
    <s v="High"/>
  </r>
  <r>
    <x v="10"/>
    <s v="i7"/>
    <x v="2"/>
    <s v="Base"/>
    <n v="84385.88"/>
    <n v="47.3"/>
    <n v="177"/>
    <n v="108.6"/>
    <n v="7.35"/>
    <n v="136"/>
    <n v="601"/>
    <n v="552"/>
    <s v="FWD"/>
    <n v="7"/>
    <s v="Sedan"/>
    <n v="23.5"/>
    <n v="1500"/>
    <n v="5"/>
    <n v="1"/>
    <x v="0"/>
    <x v="2"/>
    <n v="74771"/>
    <n v="3.1"/>
    <n v="6"/>
    <x v="2"/>
    <n v="3.74"/>
    <s v="High"/>
  </r>
  <r>
    <x v="4"/>
    <s v="Model Y"/>
    <x v="3"/>
    <s v="Long Range"/>
    <n v="33796.25"/>
    <n v="90.1"/>
    <n v="295"/>
    <n v="250.6"/>
    <n v="4.0599999999999996"/>
    <n v="183"/>
    <n v="215"/>
    <n v="200"/>
    <s v="RWD"/>
    <n v="5"/>
    <s v="SUV"/>
    <n v="43"/>
    <n v="2400"/>
    <n v="5"/>
    <n v="2"/>
    <x v="2"/>
    <x v="3"/>
    <n v="476519"/>
    <n v="3.9"/>
    <n v="5"/>
    <x v="1"/>
    <n v="3.27"/>
    <s v="High"/>
  </r>
  <r>
    <x v="11"/>
    <s v="e-tron GT"/>
    <x v="3"/>
    <s v="Base"/>
    <n v="67634.789999999994"/>
    <n v="79.900000000000006"/>
    <n v="278"/>
    <n v="90.2"/>
    <n v="5.56"/>
    <n v="167"/>
    <n v="396"/>
    <n v="388"/>
    <s v="FWD"/>
    <n v="5"/>
    <s v="Sedan"/>
    <n v="24.9"/>
    <n v="1712"/>
    <n v="4"/>
    <n v="2"/>
    <x v="0"/>
    <x v="2"/>
    <n v="62437"/>
    <n v="3.5"/>
    <n v="8"/>
    <x v="1"/>
    <n v="3.48"/>
    <s v="High"/>
  </r>
  <r>
    <x v="13"/>
    <s v="R2"/>
    <x v="3"/>
    <s v="Long Range"/>
    <n v="105675.37"/>
    <n v="104"/>
    <n v="386"/>
    <n v="102.2"/>
    <n v="4.6399999999999997"/>
    <n v="173"/>
    <n v="1000"/>
    <n v="866"/>
    <s v="AWD"/>
    <n v="5"/>
    <s v="SUV"/>
    <n v="63.1"/>
    <n v="2353"/>
    <n v="5"/>
    <n v="0"/>
    <x v="2"/>
    <x v="0"/>
    <n v="25421"/>
    <n v="3.9"/>
    <n v="4"/>
    <x v="1"/>
    <n v="3.71"/>
    <s v="High"/>
  </r>
  <r>
    <x v="4"/>
    <s v="Model X"/>
    <x v="0"/>
    <s v="Standard"/>
    <n v="43959.45"/>
    <n v="63.9"/>
    <n v="211"/>
    <n v="207.5"/>
    <n v="6.67"/>
    <n v="148"/>
    <n v="283"/>
    <n v="251"/>
    <s v="FWD"/>
    <n v="5"/>
    <s v="SUV"/>
    <n v="62.7"/>
    <n v="1838"/>
    <n v="3"/>
    <n v="2"/>
    <x v="2"/>
    <x v="1"/>
    <n v="124556"/>
    <n v="4"/>
    <n v="4"/>
    <x v="1"/>
    <n v="3.3"/>
    <s v="High"/>
  </r>
  <r>
    <x v="7"/>
    <s v="Dolphin"/>
    <x v="3"/>
    <s v="Base"/>
    <n v="19398.189999999999"/>
    <n v="79.599999999999994"/>
    <n v="255"/>
    <n v="104.3"/>
    <n v="7.87"/>
    <n v="125"/>
    <n v="165"/>
    <n v="200"/>
    <s v="FWD"/>
    <n v="5"/>
    <s v="Van"/>
    <n v="71.900000000000006"/>
    <n v="1500"/>
    <n v="4"/>
    <n v="0"/>
    <x v="4"/>
    <x v="3"/>
    <n v="165718"/>
    <n v="3.4"/>
    <n v="4"/>
    <x v="2"/>
    <n v="3.2"/>
    <s v="High"/>
  </r>
  <r>
    <x v="9"/>
    <s v="Explorer EV"/>
    <x v="5"/>
    <s v="Base"/>
    <n v="55828.42"/>
    <n v="47.5"/>
    <n v="163"/>
    <n v="69"/>
    <n v="5.68"/>
    <n v="167"/>
    <n v="570"/>
    <n v="527"/>
    <s v="RWD"/>
    <n v="5"/>
    <s v="Hatchback"/>
    <n v="22.3"/>
    <n v="1668"/>
    <n v="5"/>
    <n v="1"/>
    <x v="2"/>
    <x v="1"/>
    <n v="64449"/>
    <n v="3.4"/>
    <n v="5"/>
    <x v="1"/>
    <n v="3.43"/>
    <s v="High"/>
  </r>
  <r>
    <x v="2"/>
    <s v="Blazer EV"/>
    <x v="3"/>
    <s v="Standard"/>
    <n v="55791.9"/>
    <n v="43.1"/>
    <n v="150"/>
    <n v="123.6"/>
    <n v="6.64"/>
    <n v="150"/>
    <n v="646"/>
    <n v="596"/>
    <s v="FWD"/>
    <n v="7"/>
    <s v="SUV"/>
    <n v="35.299999999999997"/>
    <n v="1903"/>
    <n v="5"/>
    <n v="2"/>
    <x v="2"/>
    <x v="1"/>
    <n v="16439"/>
    <n v="3.1"/>
    <n v="4"/>
    <x v="1"/>
    <n v="3.48"/>
    <s v="Medium"/>
  </r>
  <r>
    <x v="4"/>
    <s v="Model 3"/>
    <x v="3"/>
    <s v="Premium"/>
    <n v="151283.19"/>
    <n v="58.3"/>
    <n v="189"/>
    <n v="340.8"/>
    <n v="6.99"/>
    <n v="152"/>
    <n v="1000"/>
    <n v="918"/>
    <s v="AWD"/>
    <n v="5"/>
    <s v="Sedan"/>
    <n v="36.700000000000003"/>
    <n v="1557"/>
    <n v="5"/>
    <n v="2"/>
    <x v="2"/>
    <x v="0"/>
    <n v="203592"/>
    <n v="3.5"/>
    <n v="5"/>
    <x v="1"/>
    <n v="3.24"/>
    <s v="High"/>
  </r>
  <r>
    <x v="7"/>
    <s v="Qin"/>
    <x v="2"/>
    <s v="Performance"/>
    <n v="54577.89"/>
    <n v="119.6"/>
    <n v="427"/>
    <n v="156.1"/>
    <n v="4.3099999999999996"/>
    <n v="190"/>
    <n v="567"/>
    <n v="531"/>
    <s v="AWD"/>
    <n v="5"/>
    <s v="Hatchback"/>
    <n v="27.9"/>
    <n v="1638"/>
    <n v="5"/>
    <n v="0"/>
    <x v="4"/>
    <x v="1"/>
    <n v="139526"/>
    <n v="3.8"/>
    <n v="5"/>
    <x v="1"/>
    <n v="3.57"/>
    <s v="High"/>
  </r>
  <r>
    <x v="0"/>
    <s v="ID. Buzz"/>
    <x v="3"/>
    <s v="Standard"/>
    <n v="55247.47"/>
    <n v="53.5"/>
    <n v="199"/>
    <n v="114.4"/>
    <n v="5.73"/>
    <n v="170"/>
    <n v="459"/>
    <n v="410"/>
    <s v="AWD"/>
    <n v="5"/>
    <s v="Sedan"/>
    <n v="34.4"/>
    <n v="1500"/>
    <n v="5"/>
    <n v="1"/>
    <x v="0"/>
    <x v="1"/>
    <n v="220284"/>
    <n v="3.3"/>
    <n v="4"/>
    <x v="1"/>
    <n v="3.72"/>
    <s v="High"/>
  </r>
  <r>
    <x v="8"/>
    <s v="Ioniq 6"/>
    <x v="3"/>
    <s v="Base"/>
    <n v="37922.42"/>
    <n v="50.5"/>
    <n v="150"/>
    <n v="65.400000000000006"/>
    <n v="6.36"/>
    <n v="155"/>
    <n v="325"/>
    <n v="323"/>
    <s v="RWD"/>
    <n v="5"/>
    <s v="SUV"/>
    <n v="68.599999999999994"/>
    <n v="1992"/>
    <n v="3"/>
    <n v="0"/>
    <x v="3"/>
    <x v="1"/>
    <n v="75225"/>
    <n v="3.1"/>
    <n v="5"/>
    <x v="1"/>
    <n v="2.97"/>
    <s v="High"/>
  </r>
  <r>
    <x v="3"/>
    <s v="EV9"/>
    <x v="0"/>
    <s v="Base"/>
    <n v="65534.18"/>
    <n v="84.3"/>
    <n v="248"/>
    <n v="57.6"/>
    <n v="5.04"/>
    <n v="176"/>
    <n v="708"/>
    <n v="642"/>
    <s v="FWD"/>
    <n v="5"/>
    <s v="SUV"/>
    <n v="56.5"/>
    <n v="1815"/>
    <n v="4"/>
    <n v="1"/>
    <x v="3"/>
    <x v="2"/>
    <n v="115671"/>
    <n v="3.4"/>
    <n v="4"/>
    <x v="1"/>
    <n v="2.94"/>
    <s v="High"/>
  </r>
  <r>
    <x v="0"/>
    <s v="ID.3"/>
    <x v="5"/>
    <s v="Standard"/>
    <n v="36867.620000000003"/>
    <n v="42"/>
    <n v="175"/>
    <n v="63.1"/>
    <n v="6.92"/>
    <n v="148"/>
    <n v="259"/>
    <n v="233"/>
    <s v="RWD"/>
    <n v="7"/>
    <s v="Van"/>
    <n v="67.099999999999994"/>
    <n v="1542"/>
    <n v="5"/>
    <n v="1"/>
    <x v="0"/>
    <x v="1"/>
    <n v="299992"/>
    <n v="3.4"/>
    <n v="4"/>
    <x v="1"/>
    <n v="4.17"/>
    <s v="High"/>
  </r>
  <r>
    <x v="8"/>
    <s v="Ioniq 6"/>
    <x v="0"/>
    <s v="Standard"/>
    <n v="66319.66"/>
    <n v="72.900000000000006"/>
    <n v="225"/>
    <n v="110.9"/>
    <n v="7.63"/>
    <n v="134"/>
    <n v="766"/>
    <n v="617"/>
    <s v="RWD"/>
    <n v="7"/>
    <s v="Van"/>
    <n v="77.2"/>
    <n v="1709"/>
    <n v="4"/>
    <n v="0"/>
    <x v="3"/>
    <x v="2"/>
    <n v="139935"/>
    <n v="3.2"/>
    <n v="3"/>
    <x v="2"/>
    <n v="3.09"/>
    <s v="High"/>
  </r>
  <r>
    <x v="2"/>
    <s v="Blazer EV"/>
    <x v="5"/>
    <s v="Standard"/>
    <n v="47749.35"/>
    <n v="64.3"/>
    <n v="253"/>
    <n v="114"/>
    <n v="5.82"/>
    <n v="170"/>
    <n v="522"/>
    <n v="467"/>
    <s v="RWD"/>
    <n v="7"/>
    <s v="Truck"/>
    <n v="71.900000000000006"/>
    <n v="2378"/>
    <n v="5"/>
    <n v="0"/>
    <x v="2"/>
    <x v="1"/>
    <n v="11602"/>
    <n v="3.3"/>
    <n v="4"/>
    <x v="1"/>
    <n v="3.93"/>
    <s v="Medium"/>
  </r>
  <r>
    <x v="4"/>
    <s v="Model S"/>
    <x v="3"/>
    <s v="Standard"/>
    <n v="75212.509999999995"/>
    <n v="79.3"/>
    <n v="260"/>
    <n v="293.3"/>
    <n v="6.39"/>
    <n v="154"/>
    <n v="528"/>
    <n v="494"/>
    <s v="FWD"/>
    <n v="7"/>
    <s v="Sedan"/>
    <n v="37.799999999999997"/>
    <n v="1513"/>
    <n v="5"/>
    <n v="3"/>
    <x v="2"/>
    <x v="2"/>
    <n v="148099"/>
    <n v="3.9"/>
    <n v="6"/>
    <x v="1"/>
    <n v="3.28"/>
    <s v="High"/>
  </r>
  <r>
    <x v="7"/>
    <s v="Atto 3"/>
    <x v="3"/>
    <s v="Long Range"/>
    <n v="87159.360000000001"/>
    <n v="101.7"/>
    <n v="351"/>
    <n v="140.4"/>
    <n v="4.3499999999999996"/>
    <n v="183"/>
    <n v="986"/>
    <n v="946"/>
    <s v="AWD"/>
    <n v="5"/>
    <s v="Truck"/>
    <n v="68.2"/>
    <n v="2527"/>
    <n v="3"/>
    <n v="1"/>
    <x v="4"/>
    <x v="2"/>
    <n v="204628"/>
    <n v="3.6"/>
    <n v="3"/>
    <x v="1"/>
    <n v="3.45"/>
    <s v="High"/>
  </r>
  <r>
    <x v="2"/>
    <s v="Bolt EUV"/>
    <x v="4"/>
    <s v="Standard"/>
    <n v="44183.28"/>
    <n v="58.8"/>
    <n v="207"/>
    <n v="105"/>
    <n v="5.23"/>
    <n v="169"/>
    <n v="449"/>
    <n v="443"/>
    <s v="RWD"/>
    <n v="5"/>
    <s v="Van"/>
    <n v="64.7"/>
    <n v="1615"/>
    <n v="5"/>
    <n v="0"/>
    <x v="2"/>
    <x v="1"/>
    <n v="22786"/>
    <n v="3.5"/>
    <n v="4"/>
    <x v="1"/>
    <n v="3.52"/>
    <s v="High"/>
  </r>
  <r>
    <x v="11"/>
    <s v="e-tron"/>
    <x v="0"/>
    <s v="Standard"/>
    <n v="63313.85"/>
    <n v="56.2"/>
    <n v="189"/>
    <n v="110"/>
    <n v="6.71"/>
    <n v="138"/>
    <n v="298"/>
    <n v="281"/>
    <s v="AWD"/>
    <n v="5"/>
    <s v="Van"/>
    <n v="72.2"/>
    <n v="1632"/>
    <n v="4"/>
    <n v="1"/>
    <x v="0"/>
    <x v="1"/>
    <n v="25175"/>
    <n v="3.3"/>
    <n v="6"/>
    <x v="1"/>
    <n v="3.36"/>
    <s v="High"/>
  </r>
  <r>
    <x v="8"/>
    <s v="Kona Electric"/>
    <x v="2"/>
    <s v="Long Range"/>
    <n v="90974.8"/>
    <n v="80.400000000000006"/>
    <n v="296"/>
    <n v="119.4"/>
    <n v="4.7"/>
    <n v="179"/>
    <n v="1000"/>
    <n v="923"/>
    <s v="FWD"/>
    <n v="7"/>
    <s v="Van"/>
    <n v="72.599999999999994"/>
    <n v="1741"/>
    <n v="4"/>
    <n v="0"/>
    <x v="3"/>
    <x v="2"/>
    <n v="59668"/>
    <n v="3.9"/>
    <n v="3"/>
    <x v="1"/>
    <n v="3.68"/>
    <s v="High"/>
  </r>
  <r>
    <x v="8"/>
    <s v="Ioniq 5"/>
    <x v="1"/>
    <s v="Performance"/>
    <n v="81725.25"/>
    <n v="71.7"/>
    <n v="234"/>
    <n v="189.2"/>
    <n v="3.79"/>
    <n v="197"/>
    <n v="1000"/>
    <n v="888"/>
    <s v="AWD"/>
    <n v="5"/>
    <s v="Sedan"/>
    <n v="37"/>
    <n v="1500"/>
    <n v="5"/>
    <n v="1"/>
    <x v="3"/>
    <x v="2"/>
    <n v="72070"/>
    <n v="3.5"/>
    <n v="4"/>
    <x v="0"/>
    <n v="3.26"/>
    <s v="High"/>
  </r>
  <r>
    <x v="4"/>
    <s v="Model Y"/>
    <x v="3"/>
    <s v="Long Range"/>
    <n v="64135.13"/>
    <n v="97.7"/>
    <n v="359"/>
    <n v="226.7"/>
    <n v="5.4"/>
    <n v="171"/>
    <n v="471"/>
    <n v="372"/>
    <s v="RWD"/>
    <n v="5"/>
    <s v="Hatchback"/>
    <n v="37.5"/>
    <n v="1742"/>
    <n v="4"/>
    <n v="3"/>
    <x v="2"/>
    <x v="1"/>
    <n v="427732"/>
    <n v="4.2"/>
    <n v="4"/>
    <x v="1"/>
    <n v="3.67"/>
    <s v="High"/>
  </r>
  <r>
    <x v="0"/>
    <s v="ID.4"/>
    <x v="3"/>
    <s v="Performance"/>
    <n v="91483.89"/>
    <n v="74.2"/>
    <n v="246"/>
    <n v="206.1"/>
    <n v="3.02"/>
    <n v="199"/>
    <n v="1000"/>
    <n v="891"/>
    <s v="AWD"/>
    <n v="5"/>
    <s v="Coupe"/>
    <n v="37.299999999999997"/>
    <n v="1500"/>
    <n v="4"/>
    <n v="1"/>
    <x v="0"/>
    <x v="2"/>
    <n v="206750"/>
    <n v="3.6"/>
    <n v="3"/>
    <x v="0"/>
    <n v="3.32"/>
    <s v="High"/>
  </r>
  <r>
    <x v="8"/>
    <s v="i30"/>
    <x v="2"/>
    <s v="Premium"/>
    <n v="40685.58"/>
    <n v="66.5"/>
    <n v="247"/>
    <n v="65"/>
    <n v="6.33"/>
    <n v="159"/>
    <n v="381"/>
    <n v="313"/>
    <s v="AWD"/>
    <n v="7"/>
    <s v="Hatchback"/>
    <n v="18.5"/>
    <n v="1548"/>
    <n v="5"/>
    <n v="0"/>
    <x v="3"/>
    <x v="1"/>
    <n v="143645"/>
    <n v="3.4"/>
    <n v="4"/>
    <x v="1"/>
    <n v="3.71"/>
    <s v="High"/>
  </r>
  <r>
    <x v="7"/>
    <s v="Dolphin"/>
    <x v="3"/>
    <s v="Base"/>
    <n v="52144.09"/>
    <n v="43.5"/>
    <n v="150"/>
    <n v="82.6"/>
    <n v="5.1100000000000003"/>
    <n v="178"/>
    <n v="572"/>
    <n v="578"/>
    <s v="FWD"/>
    <n v="7"/>
    <s v="Hatchback"/>
    <n v="15.2"/>
    <n v="1600"/>
    <n v="4"/>
    <n v="0"/>
    <x v="4"/>
    <x v="1"/>
    <n v="212512"/>
    <n v="3.1"/>
    <n v="3"/>
    <x v="1"/>
    <n v="3.45"/>
    <s v="High"/>
  </r>
  <r>
    <x v="7"/>
    <s v="Yuan Plus"/>
    <x v="2"/>
    <s v="Base"/>
    <n v="73962.429999999993"/>
    <n v="41.7"/>
    <n v="163"/>
    <n v="108.8"/>
    <n v="5.83"/>
    <n v="163"/>
    <n v="867"/>
    <n v="753"/>
    <s v="RWD"/>
    <n v="5"/>
    <s v="Sedan"/>
    <n v="18.399999999999999"/>
    <n v="1597"/>
    <n v="5"/>
    <n v="0"/>
    <x v="4"/>
    <x v="2"/>
    <n v="121424"/>
    <n v="3.3"/>
    <n v="3"/>
    <x v="1"/>
    <n v="3.91"/>
    <s v="High"/>
  </r>
  <r>
    <x v="0"/>
    <s v="ID.5"/>
    <x v="0"/>
    <s v="Performance"/>
    <n v="62312.34"/>
    <n v="116.7"/>
    <n v="420"/>
    <n v="160.5"/>
    <n v="4.17"/>
    <n v="191"/>
    <n v="574"/>
    <n v="499"/>
    <s v="FWD"/>
    <n v="7"/>
    <s v="Sedan"/>
    <n v="30.5"/>
    <n v="1792"/>
    <n v="4"/>
    <n v="0"/>
    <x v="0"/>
    <x v="1"/>
    <n v="298301"/>
    <n v="3.6"/>
    <n v="3"/>
    <x v="1"/>
    <n v="3.6"/>
    <s v="High"/>
  </r>
  <r>
    <x v="4"/>
    <s v="Model 3"/>
    <x v="2"/>
    <s v="Long Range"/>
    <n v="73678.259999999995"/>
    <n v="106.1"/>
    <n v="370"/>
    <n v="204.7"/>
    <n v="4.74"/>
    <n v="177"/>
    <n v="505"/>
    <n v="433"/>
    <s v="RWD"/>
    <n v="5"/>
    <s v="Coupe"/>
    <n v="29.7"/>
    <n v="1536"/>
    <n v="5"/>
    <n v="2"/>
    <x v="2"/>
    <x v="2"/>
    <n v="201869"/>
    <n v="4"/>
    <n v="5"/>
    <x v="1"/>
    <n v="3.49"/>
    <s v="High"/>
  </r>
  <r>
    <x v="7"/>
    <s v="Leaf 50X"/>
    <x v="4"/>
    <s v="Premium"/>
    <n v="32842.629999999997"/>
    <n v="55.1"/>
    <n v="180"/>
    <n v="131"/>
    <n v="7.28"/>
    <n v="139"/>
    <n v="415"/>
    <n v="337"/>
    <s v="AWD"/>
    <n v="5"/>
    <s v="SUV"/>
    <n v="55.1"/>
    <n v="2155"/>
    <n v="4"/>
    <n v="1"/>
    <x v="4"/>
    <x v="3"/>
    <n v="173134"/>
    <n v="3.1"/>
    <n v="4"/>
    <x v="2"/>
    <n v="3.27"/>
    <s v="High"/>
  </r>
  <r>
    <x v="7"/>
    <s v="Atto 3"/>
    <x v="0"/>
    <s v="Performance"/>
    <n v="62874.95"/>
    <n v="71.7"/>
    <n v="262"/>
    <n v="179.3"/>
    <n v="3.15"/>
    <n v="200"/>
    <n v="691"/>
    <n v="603"/>
    <s v="RWD"/>
    <n v="5"/>
    <s v="Sedan"/>
    <n v="38.9"/>
    <n v="1665"/>
    <n v="4"/>
    <n v="0"/>
    <x v="4"/>
    <x v="1"/>
    <n v="207361"/>
    <n v="3.7"/>
    <n v="4"/>
    <x v="0"/>
    <n v="3.65"/>
    <s v="High"/>
  </r>
  <r>
    <x v="7"/>
    <s v="Atto 3"/>
    <x v="1"/>
    <s v="Premium"/>
    <n v="107436.09"/>
    <n v="65.7"/>
    <n v="255"/>
    <n v="124.5"/>
    <n v="7.71"/>
    <n v="137"/>
    <n v="1000"/>
    <n v="899"/>
    <s v="RWD"/>
    <n v="5"/>
    <s v="SUV"/>
    <n v="37.799999999999997"/>
    <n v="1887"/>
    <n v="5"/>
    <n v="1"/>
    <x v="4"/>
    <x v="0"/>
    <n v="201045"/>
    <n v="3.6"/>
    <n v="3"/>
    <x v="2"/>
    <n v="3.88"/>
    <s v="High"/>
  </r>
  <r>
    <x v="4"/>
    <s v="Model 3"/>
    <x v="3"/>
    <s v="Premium"/>
    <n v="154568.94"/>
    <n v="68"/>
    <n v="235"/>
    <n v="285.7"/>
    <n v="5.0199999999999996"/>
    <n v="170"/>
    <n v="1000"/>
    <n v="937"/>
    <s v="RWD"/>
    <n v="5"/>
    <s v="Coupe"/>
    <n v="21.2"/>
    <n v="1756"/>
    <n v="5"/>
    <n v="3"/>
    <x v="2"/>
    <x v="0"/>
    <n v="245844"/>
    <n v="3.7"/>
    <n v="5"/>
    <x v="1"/>
    <n v="3.46"/>
    <s v="High"/>
  </r>
  <r>
    <x v="11"/>
    <s v="e-tron"/>
    <x v="2"/>
    <s v="Standard"/>
    <n v="62074.39"/>
    <n v="65.3"/>
    <n v="236"/>
    <n v="53.7"/>
    <n v="5.78"/>
    <n v="160"/>
    <n v="256"/>
    <n v="256"/>
    <s v="RWD"/>
    <n v="7"/>
    <s v="SUV"/>
    <n v="53.4"/>
    <n v="2242"/>
    <n v="5"/>
    <n v="2"/>
    <x v="0"/>
    <x v="1"/>
    <n v="41240"/>
    <n v="3.5"/>
    <n v="8"/>
    <x v="1"/>
    <n v="3.61"/>
    <s v="High"/>
  </r>
  <r>
    <x v="3"/>
    <s v="EV6"/>
    <x v="2"/>
    <s v="Performance"/>
    <n v="68316.17"/>
    <n v="76.400000000000006"/>
    <n v="262"/>
    <n v="155.30000000000001"/>
    <n v="3.88"/>
    <n v="189"/>
    <n v="785"/>
    <n v="658"/>
    <s v="RWD"/>
    <n v="7"/>
    <s v="Hatchback"/>
    <n v="23.8"/>
    <n v="1907"/>
    <n v="4"/>
    <n v="2"/>
    <x v="3"/>
    <x v="2"/>
    <n v="86275"/>
    <n v="3.6"/>
    <n v="3"/>
    <x v="0"/>
    <n v="3.43"/>
    <s v="High"/>
  </r>
  <r>
    <x v="10"/>
    <s v="iX"/>
    <x v="0"/>
    <s v="Base"/>
    <n v="98461.71"/>
    <n v="53"/>
    <n v="185"/>
    <n v="121"/>
    <n v="6.84"/>
    <n v="142"/>
    <n v="800"/>
    <n v="752"/>
    <s v="FWD"/>
    <n v="7"/>
    <s v="Sedan"/>
    <n v="27.3"/>
    <n v="1509"/>
    <n v="5"/>
    <n v="2"/>
    <x v="0"/>
    <x v="2"/>
    <n v="22686"/>
    <n v="3"/>
    <n v="7"/>
    <x v="1"/>
    <n v="3.49"/>
    <s v="High"/>
  </r>
  <r>
    <x v="9"/>
    <s v="Mustang Mach-E"/>
    <x v="0"/>
    <s v="Premium"/>
    <n v="61500.69"/>
    <n v="61.2"/>
    <n v="209"/>
    <n v="73"/>
    <n v="6.01"/>
    <n v="154"/>
    <n v="616"/>
    <n v="524"/>
    <s v="AWD"/>
    <n v="7"/>
    <s v="Sedan"/>
    <n v="15.4"/>
    <n v="1576"/>
    <n v="5"/>
    <n v="1"/>
    <x v="2"/>
    <x v="1"/>
    <n v="52208"/>
    <n v="3.4"/>
    <n v="4"/>
    <x v="1"/>
    <n v="3.42"/>
    <s v="High"/>
  </r>
  <r>
    <x v="8"/>
    <s v="Ioniq 6"/>
    <x v="2"/>
    <s v="Standard"/>
    <n v="60164.53"/>
    <n v="53.1"/>
    <n v="185"/>
    <n v="61.2"/>
    <n v="7.06"/>
    <n v="146"/>
    <n v="673"/>
    <n v="592"/>
    <s v="FWD"/>
    <n v="7"/>
    <s v="SUV"/>
    <n v="41.7"/>
    <n v="1827"/>
    <n v="5"/>
    <n v="1"/>
    <x v="3"/>
    <x v="1"/>
    <n v="85467"/>
    <n v="3.3"/>
    <n v="5"/>
    <x v="2"/>
    <n v="3.48"/>
    <s v="High"/>
  </r>
  <r>
    <x v="4"/>
    <s v="Model 3"/>
    <x v="0"/>
    <s v="Standard"/>
    <n v="123171.93"/>
    <n v="71.8"/>
    <n v="246"/>
    <n v="208.4"/>
    <n v="6.3"/>
    <n v="150"/>
    <n v="907"/>
    <n v="860"/>
    <s v="FWD"/>
    <n v="5"/>
    <s v="Hatchback"/>
    <n v="24.7"/>
    <n v="1779"/>
    <n v="4"/>
    <n v="3"/>
    <x v="2"/>
    <x v="0"/>
    <n v="165942"/>
    <n v="3.7"/>
    <n v="5"/>
    <x v="1"/>
    <n v="3.43"/>
    <s v="High"/>
  </r>
  <r>
    <x v="8"/>
    <s v="i30"/>
    <x v="2"/>
    <s v="Base"/>
    <n v="35093.17"/>
    <n v="77.099999999999994"/>
    <n v="295"/>
    <n v="136"/>
    <n v="7.96"/>
    <n v="134"/>
    <n v="249"/>
    <n v="207"/>
    <s v="FWD"/>
    <n v="5"/>
    <s v="Van"/>
    <n v="65.599999999999994"/>
    <n v="1663"/>
    <n v="4"/>
    <n v="2"/>
    <x v="3"/>
    <x v="1"/>
    <n v="117101"/>
    <n v="3.5"/>
    <n v="4"/>
    <x v="2"/>
    <n v="3.83"/>
    <s v="High"/>
  </r>
  <r>
    <x v="3"/>
    <s v="Niro EV"/>
    <x v="4"/>
    <s v="Premium"/>
    <n v="101333.39"/>
    <n v="70.5"/>
    <n v="249"/>
    <n v="104"/>
    <n v="5.45"/>
    <n v="170"/>
    <n v="1000"/>
    <n v="846"/>
    <s v="RWD"/>
    <n v="5"/>
    <s v="Van"/>
    <n v="71.2"/>
    <n v="1660"/>
    <n v="4"/>
    <n v="0"/>
    <x v="3"/>
    <x v="0"/>
    <n v="89918"/>
    <n v="3.3"/>
    <n v="4"/>
    <x v="1"/>
    <n v="3.53"/>
    <s v="High"/>
  </r>
  <r>
    <x v="2"/>
    <s v="Blazer EV"/>
    <x v="1"/>
    <s v="Long Range"/>
    <n v="54305.64"/>
    <n v="86.4"/>
    <n v="289"/>
    <n v="121.7"/>
    <n v="5.96"/>
    <n v="162"/>
    <n v="669"/>
    <n v="612"/>
    <s v="FWD"/>
    <n v="5"/>
    <s v="Van"/>
    <n v="66.900000000000006"/>
    <n v="1708"/>
    <n v="5"/>
    <n v="2"/>
    <x v="2"/>
    <x v="1"/>
    <n v="18445"/>
    <n v="3.6"/>
    <n v="4"/>
    <x v="1"/>
    <n v="3.34"/>
    <s v="Medium"/>
  </r>
  <r>
    <x v="0"/>
    <s v="ID. Buzz"/>
    <x v="3"/>
    <s v="Performance"/>
    <n v="58007.82"/>
    <n v="105.3"/>
    <n v="382"/>
    <n v="246.2"/>
    <n v="4.21"/>
    <n v="188"/>
    <n v="563"/>
    <n v="492"/>
    <s v="RWD"/>
    <n v="7"/>
    <s v="Van"/>
    <n v="67.8"/>
    <n v="1781"/>
    <n v="3"/>
    <n v="0"/>
    <x v="0"/>
    <x v="1"/>
    <n v="241176"/>
    <n v="4"/>
    <n v="3"/>
    <x v="1"/>
    <n v="3.63"/>
    <s v="High"/>
  </r>
  <r>
    <x v="4"/>
    <s v="Cybertruck"/>
    <x v="2"/>
    <s v="Performance"/>
    <n v="188964.7"/>
    <n v="106.8"/>
    <n v="367"/>
    <n v="318"/>
    <n v="4.3499999999999996"/>
    <n v="193"/>
    <n v="1000"/>
    <n v="912"/>
    <s v="RWD"/>
    <n v="7"/>
    <s v="Truck"/>
    <n v="67.400000000000006"/>
    <n v="2274"/>
    <n v="4"/>
    <n v="3"/>
    <x v="2"/>
    <x v="0"/>
    <n v="239165"/>
    <n v="4.3"/>
    <n v="5"/>
    <x v="1"/>
    <n v="3.44"/>
    <s v="High"/>
  </r>
  <r>
    <x v="7"/>
    <s v="Leaf 50X"/>
    <x v="3"/>
    <s v="Standard"/>
    <n v="33650.32"/>
    <n v="63.9"/>
    <n v="231"/>
    <n v="79.2"/>
    <n v="7.37"/>
    <n v="134"/>
    <n v="332"/>
    <n v="340"/>
    <s v="AWD"/>
    <n v="7"/>
    <s v="Sedan"/>
    <n v="39.5"/>
    <n v="1698"/>
    <n v="4"/>
    <n v="1"/>
    <x v="4"/>
    <x v="3"/>
    <n v="210399"/>
    <n v="3.6"/>
    <n v="4"/>
    <x v="2"/>
    <n v="3.62"/>
    <s v="High"/>
  </r>
  <r>
    <x v="0"/>
    <s v="ID. Buzz"/>
    <x v="0"/>
    <s v="Base"/>
    <n v="31850.78"/>
    <n v="51.4"/>
    <n v="199"/>
    <n v="81.3"/>
    <n v="7.1"/>
    <n v="149"/>
    <n v="166"/>
    <n v="200"/>
    <s v="FWD"/>
    <n v="5"/>
    <s v="Sedan"/>
    <n v="30.7"/>
    <n v="1500"/>
    <n v="5"/>
    <n v="0"/>
    <x v="0"/>
    <x v="3"/>
    <n v="272903"/>
    <n v="3.2"/>
    <n v="3"/>
    <x v="2"/>
    <n v="3.87"/>
    <s v="High"/>
  </r>
  <r>
    <x v="10"/>
    <s v="iX"/>
    <x v="5"/>
    <s v="Standard"/>
    <n v="111337.67"/>
    <n v="83.1"/>
    <n v="295"/>
    <n v="73.5"/>
    <n v="5.59"/>
    <n v="167"/>
    <n v="1000"/>
    <n v="922"/>
    <s v="RWD"/>
    <n v="7"/>
    <s v="Van"/>
    <n v="66"/>
    <n v="1641"/>
    <n v="4"/>
    <n v="1"/>
    <x v="0"/>
    <x v="0"/>
    <n v="20689"/>
    <n v="3.7"/>
    <n v="7"/>
    <x v="1"/>
    <n v="3.55"/>
    <s v="High"/>
  </r>
  <r>
    <x v="3"/>
    <s v="Sportage EV"/>
    <x v="2"/>
    <s v="Standard"/>
    <n v="56593.19"/>
    <n v="56.2"/>
    <n v="197"/>
    <n v="62.4"/>
    <n v="5.24"/>
    <n v="170"/>
    <n v="590"/>
    <n v="549"/>
    <s v="RWD"/>
    <n v="5"/>
    <s v="SUV"/>
    <n v="55.4"/>
    <n v="2177"/>
    <n v="4"/>
    <n v="0"/>
    <x v="3"/>
    <x v="1"/>
    <n v="135755"/>
    <n v="3.3"/>
    <n v="4"/>
    <x v="1"/>
    <n v="3.51"/>
    <s v="High"/>
  </r>
  <r>
    <x v="0"/>
    <s v="ID.3"/>
    <x v="2"/>
    <s v="Base"/>
    <n v="71569.98"/>
    <n v="57.7"/>
    <n v="186"/>
    <n v="144.5"/>
    <n v="5.62"/>
    <n v="158"/>
    <n v="746"/>
    <n v="669"/>
    <s v="RWD"/>
    <n v="7"/>
    <s v="SUV"/>
    <n v="68.2"/>
    <n v="2030"/>
    <n v="5"/>
    <n v="1"/>
    <x v="0"/>
    <x v="2"/>
    <n v="287315"/>
    <n v="3.2"/>
    <n v="3"/>
    <x v="1"/>
    <n v="3.22"/>
    <s v="High"/>
  </r>
  <r>
    <x v="14"/>
    <s v="Macan Electric"/>
    <x v="0"/>
    <s v="Long Range"/>
    <n v="139594.69"/>
    <n v="75.599999999999994"/>
    <n v="252"/>
    <n v="292.5"/>
    <n v="4.3499999999999996"/>
    <n v="179"/>
    <n v="611"/>
    <n v="473"/>
    <s v="FWD"/>
    <n v="7"/>
    <s v="Hatchback"/>
    <n v="25.3"/>
    <n v="1829"/>
    <n v="3"/>
    <n v="0"/>
    <x v="0"/>
    <x v="0"/>
    <n v="9428"/>
    <n v="3.6"/>
    <n v="8"/>
    <x v="1"/>
    <n v="3.33"/>
    <s v="Medium"/>
  </r>
  <r>
    <x v="3"/>
    <s v="Niro EV"/>
    <x v="0"/>
    <s v="Standard"/>
    <n v="42128.98"/>
    <n v="66.599999999999994"/>
    <n v="226"/>
    <n v="79.400000000000006"/>
    <n v="6.82"/>
    <n v="145"/>
    <n v="371"/>
    <n v="263"/>
    <s v="FWD"/>
    <n v="7"/>
    <s v="Hatchback"/>
    <n v="33.200000000000003"/>
    <n v="1795"/>
    <n v="4"/>
    <n v="0"/>
    <x v="3"/>
    <x v="1"/>
    <n v="121472"/>
    <n v="3.2"/>
    <n v="4"/>
    <x v="1"/>
    <n v="3.39"/>
    <s v="High"/>
  </r>
  <r>
    <x v="7"/>
    <s v="Seagull"/>
    <x v="0"/>
    <s v="Base"/>
    <n v="52361.13"/>
    <n v="60"/>
    <n v="186"/>
    <n v="121.5"/>
    <n v="7.42"/>
    <n v="142"/>
    <n v="534"/>
    <n v="449"/>
    <s v="FWD"/>
    <n v="7"/>
    <s v="Hatchback"/>
    <n v="32.1"/>
    <n v="1500"/>
    <n v="4"/>
    <n v="0"/>
    <x v="4"/>
    <x v="1"/>
    <n v="203886"/>
    <n v="3.1"/>
    <n v="3"/>
    <x v="2"/>
    <n v="3.1"/>
    <s v="High"/>
  </r>
  <r>
    <x v="4"/>
    <s v="Cybertruck"/>
    <x v="1"/>
    <s v="Performance"/>
    <n v="161513.5"/>
    <n v="115.3"/>
    <n v="420"/>
    <n v="223.7"/>
    <n v="2.54"/>
    <n v="200"/>
    <n v="1000"/>
    <n v="924"/>
    <s v="RWD"/>
    <n v="5"/>
    <s v="Truck"/>
    <n v="75.099999999999994"/>
    <n v="2605"/>
    <n v="4"/>
    <n v="2"/>
    <x v="2"/>
    <x v="0"/>
    <n v="172224"/>
    <n v="4.0999999999999996"/>
    <n v="4"/>
    <x v="0"/>
    <n v="3.64"/>
    <s v="High"/>
  </r>
  <r>
    <x v="4"/>
    <s v="Model S"/>
    <x v="3"/>
    <s v="Performance"/>
    <n v="99545.7"/>
    <n v="74.099999999999994"/>
    <n v="250"/>
    <n v="202.5"/>
    <n v="4.1900000000000004"/>
    <n v="190"/>
    <n v="746"/>
    <n v="677"/>
    <s v="AWD"/>
    <n v="7"/>
    <s v="Hatchback"/>
    <n v="34.700000000000003"/>
    <n v="1588"/>
    <n v="4"/>
    <n v="2"/>
    <x v="2"/>
    <x v="2"/>
    <n v="244941"/>
    <n v="3.7"/>
    <n v="5"/>
    <x v="1"/>
    <n v="3.37"/>
    <s v="High"/>
  </r>
  <r>
    <x v="7"/>
    <s v="Dolphin"/>
    <x v="0"/>
    <s v="Premium"/>
    <n v="78664.3"/>
    <n v="82.8"/>
    <n v="301"/>
    <n v="145.4"/>
    <n v="6.95"/>
    <n v="137"/>
    <n v="845"/>
    <n v="776"/>
    <s v="AWD"/>
    <n v="5"/>
    <s v="Truck"/>
    <n v="74"/>
    <n v="2356"/>
    <n v="5"/>
    <n v="1"/>
    <x v="4"/>
    <x v="2"/>
    <n v="238674"/>
    <n v="3.6"/>
    <n v="4"/>
    <x v="1"/>
    <n v="3.64"/>
    <s v="High"/>
  </r>
  <r>
    <x v="4"/>
    <s v="Model Y"/>
    <x v="1"/>
    <s v="Base"/>
    <n v="75540.09"/>
    <n v="49.6"/>
    <n v="150"/>
    <n v="293.39999999999998"/>
    <n v="5.78"/>
    <n v="154"/>
    <n v="490"/>
    <n v="455"/>
    <s v="FWD"/>
    <n v="5"/>
    <s v="Coupe"/>
    <n v="23"/>
    <n v="1503"/>
    <n v="5"/>
    <n v="2"/>
    <x v="2"/>
    <x v="2"/>
    <n v="455317"/>
    <n v="3.3"/>
    <n v="6"/>
    <x v="1"/>
    <n v="3.02"/>
    <s v="High"/>
  </r>
  <r>
    <x v="4"/>
    <s v="Model S"/>
    <x v="3"/>
    <s v="Performance"/>
    <n v="135540.84"/>
    <n v="85.8"/>
    <n v="296"/>
    <n v="299.2"/>
    <n v="3.77"/>
    <n v="188"/>
    <n v="1000"/>
    <n v="854"/>
    <s v="RWD"/>
    <n v="5"/>
    <s v="SUV"/>
    <n v="61.5"/>
    <n v="2369"/>
    <n v="5"/>
    <n v="3"/>
    <x v="2"/>
    <x v="0"/>
    <n v="108193"/>
    <n v="4"/>
    <n v="5"/>
    <x v="0"/>
    <n v="3.45"/>
    <s v="High"/>
  </r>
  <r>
    <x v="7"/>
    <s v="Seagull"/>
    <x v="2"/>
    <s v="Base"/>
    <n v="24520.21"/>
    <n v="71.2"/>
    <n v="253"/>
    <n v="57.5"/>
    <n v="6.21"/>
    <n v="159"/>
    <n v="228"/>
    <n v="201"/>
    <s v="AWD"/>
    <n v="7"/>
    <s v="Hatchback"/>
    <n v="33.700000000000003"/>
    <n v="1739"/>
    <n v="5"/>
    <n v="1"/>
    <x v="4"/>
    <x v="3"/>
    <n v="191198"/>
    <n v="3.5"/>
    <n v="5"/>
    <x v="1"/>
    <n v="3.55"/>
    <s v="High"/>
  </r>
  <r>
    <x v="4"/>
    <s v="Model Y"/>
    <x v="5"/>
    <s v="Base"/>
    <n v="113350.86"/>
    <n v="73.5"/>
    <n v="268"/>
    <n v="207.2"/>
    <n v="6.51"/>
    <n v="155"/>
    <n v="835"/>
    <n v="807"/>
    <s v="FWD"/>
    <n v="7"/>
    <s v="Sedan"/>
    <n v="17.399999999999999"/>
    <n v="1500"/>
    <n v="5"/>
    <n v="2"/>
    <x v="2"/>
    <x v="0"/>
    <n v="463970"/>
    <n v="3.6"/>
    <n v="6"/>
    <x v="1"/>
    <n v="3.65"/>
    <s v="High"/>
  </r>
  <r>
    <x v="11"/>
    <s v="Q6 e-tron"/>
    <x v="3"/>
    <s v="Base"/>
    <n v="80914.990000000005"/>
    <n v="67.400000000000006"/>
    <n v="220"/>
    <n v="55.8"/>
    <n v="5.13"/>
    <n v="178"/>
    <n v="484"/>
    <n v="414"/>
    <s v="FWD"/>
    <n v="5"/>
    <s v="Sedan"/>
    <n v="30"/>
    <n v="1500"/>
    <n v="5"/>
    <n v="1"/>
    <x v="0"/>
    <x v="2"/>
    <n v="22856"/>
    <n v="3.4"/>
    <n v="7"/>
    <x v="1"/>
    <n v="3.26"/>
    <s v="High"/>
  </r>
  <r>
    <x v="4"/>
    <s v="Model X"/>
    <x v="0"/>
    <s v="Performance"/>
    <n v="84447.94"/>
    <n v="72.5"/>
    <n v="255"/>
    <n v="322.2"/>
    <n v="3.35"/>
    <n v="200"/>
    <n v="602"/>
    <n v="569"/>
    <s v="FWD"/>
    <n v="5"/>
    <s v="Sedan"/>
    <n v="36.6"/>
    <n v="1535"/>
    <n v="4"/>
    <n v="2"/>
    <x v="2"/>
    <x v="2"/>
    <n v="103295"/>
    <n v="3.5"/>
    <n v="6"/>
    <x v="0"/>
    <n v="3.52"/>
    <s v="High"/>
  </r>
  <r>
    <x v="8"/>
    <s v="Ioniq"/>
    <x v="2"/>
    <s v="Base"/>
    <n v="31858.49"/>
    <n v="76.599999999999994"/>
    <n v="274"/>
    <n v="140.30000000000001"/>
    <n v="5.5"/>
    <n v="171"/>
    <n v="286"/>
    <n v="243"/>
    <s v="FWD"/>
    <n v="7"/>
    <s v="Hatchback"/>
    <n v="24"/>
    <n v="1538"/>
    <n v="3"/>
    <n v="0"/>
    <x v="3"/>
    <x v="3"/>
    <n v="89552"/>
    <n v="3.4"/>
    <n v="5"/>
    <x v="1"/>
    <n v="3.58"/>
    <s v="High"/>
  </r>
  <r>
    <x v="0"/>
    <s v="ID.5"/>
    <x v="3"/>
    <s v="Standard"/>
    <n v="70801.47"/>
    <n v="60.4"/>
    <n v="204"/>
    <n v="126.5"/>
    <n v="7.51"/>
    <n v="137"/>
    <n v="785"/>
    <n v="727"/>
    <s v="FWD"/>
    <n v="7"/>
    <s v="SUV"/>
    <n v="66.5"/>
    <n v="1837"/>
    <n v="5"/>
    <n v="0"/>
    <x v="0"/>
    <x v="2"/>
    <n v="299914"/>
    <n v="3.5"/>
    <n v="4"/>
    <x v="2"/>
    <n v="3.38"/>
    <s v="High"/>
  </r>
  <r>
    <x v="19"/>
    <n v="4"/>
    <x v="3"/>
    <s v="Standard"/>
    <n v="80679.27"/>
    <n v="41.3"/>
    <n v="155"/>
    <n v="112.6"/>
    <n v="5.25"/>
    <n v="170"/>
    <n v="456"/>
    <n v="427"/>
    <s v="AWD"/>
    <n v="5"/>
    <s v="Hatchback"/>
    <n v="33.200000000000003"/>
    <n v="1818"/>
    <n v="5"/>
    <n v="0"/>
    <x v="5"/>
    <x v="2"/>
    <n v="7428"/>
    <n v="3"/>
    <n v="4"/>
    <x v="1"/>
    <n v="3.75"/>
    <s v="Medium"/>
  </r>
  <r>
    <x v="4"/>
    <s v="Model S"/>
    <x v="3"/>
    <s v="Base"/>
    <n v="29088.57"/>
    <n v="79.3"/>
    <n v="262"/>
    <n v="230.9"/>
    <n v="6.43"/>
    <n v="148"/>
    <n v="150"/>
    <n v="200"/>
    <s v="FWD"/>
    <n v="7"/>
    <s v="Van"/>
    <n v="79.5"/>
    <n v="1535"/>
    <n v="5"/>
    <n v="2"/>
    <x v="2"/>
    <x v="3"/>
    <n v="173989"/>
    <n v="4.2"/>
    <n v="6"/>
    <x v="1"/>
    <n v="3.3"/>
    <s v="High"/>
  </r>
  <r>
    <x v="0"/>
    <s v="ID.3"/>
    <x v="5"/>
    <s v="Long Range"/>
    <n v="57231.82"/>
    <n v="83.1"/>
    <n v="283"/>
    <n v="81.400000000000006"/>
    <n v="4.75"/>
    <n v="170"/>
    <n v="586"/>
    <n v="546"/>
    <s v="RWD"/>
    <n v="7"/>
    <s v="Van"/>
    <n v="69.5"/>
    <n v="1604"/>
    <n v="4"/>
    <n v="1"/>
    <x v="0"/>
    <x v="1"/>
    <n v="290062"/>
    <n v="3.8"/>
    <n v="4"/>
    <x v="1"/>
    <n v="3.41"/>
    <s v="High"/>
  </r>
  <r>
    <x v="6"/>
    <s v="Ronin"/>
    <x v="3"/>
    <s v="Premium"/>
    <n v="67039.100000000006"/>
    <n v="75"/>
    <n v="271"/>
    <n v="92.9"/>
    <n v="7.99"/>
    <n v="127"/>
    <n v="473"/>
    <n v="448"/>
    <s v="AWD"/>
    <n v="7"/>
    <s v="Coupe"/>
    <n v="30.8"/>
    <n v="1735"/>
    <n v="5"/>
    <n v="1"/>
    <x v="2"/>
    <x v="2"/>
    <n v="2336"/>
    <n v="3.5"/>
    <n v="5"/>
    <x v="2"/>
    <n v="3.61"/>
    <s v="Low"/>
  </r>
  <r>
    <x v="5"/>
    <s v="EQG"/>
    <x v="2"/>
    <s v="Base"/>
    <n v="72880.75"/>
    <n v="63.7"/>
    <n v="235"/>
    <n v="106.4"/>
    <n v="7.57"/>
    <n v="133"/>
    <n v="273"/>
    <n v="269"/>
    <s v="RWD"/>
    <n v="5"/>
    <s v="Truck"/>
    <n v="69.400000000000006"/>
    <n v="2466"/>
    <n v="4"/>
    <n v="1"/>
    <x v="0"/>
    <x v="2"/>
    <n v="46123"/>
    <n v="3.9"/>
    <n v="5"/>
    <x v="2"/>
    <n v="3.69"/>
    <s v="High"/>
  </r>
  <r>
    <x v="9"/>
    <s v="E-Transit"/>
    <x v="2"/>
    <s v="Premium"/>
    <n v="81884.759999999995"/>
    <n v="79.5"/>
    <n v="280"/>
    <n v="54.3"/>
    <n v="7.91"/>
    <n v="134"/>
    <n v="950"/>
    <n v="893"/>
    <s v="AWD"/>
    <n v="5"/>
    <s v="Hatchback"/>
    <n v="22.8"/>
    <n v="1998"/>
    <n v="3"/>
    <n v="1"/>
    <x v="2"/>
    <x v="2"/>
    <n v="49332"/>
    <n v="3.6"/>
    <n v="4"/>
    <x v="2"/>
    <n v="3.52"/>
    <s v="High"/>
  </r>
  <r>
    <x v="7"/>
    <s v="Dolphin"/>
    <x v="2"/>
    <s v="Base"/>
    <n v="27229.19"/>
    <n v="64.8"/>
    <n v="227"/>
    <n v="133.19999999999999"/>
    <n v="7.27"/>
    <n v="144"/>
    <n v="326"/>
    <n v="301"/>
    <s v="FWD"/>
    <n v="5"/>
    <s v="Hatchback"/>
    <n v="28"/>
    <n v="1522"/>
    <n v="5"/>
    <n v="0"/>
    <x v="4"/>
    <x v="3"/>
    <n v="118103"/>
    <n v="3.5"/>
    <n v="4"/>
    <x v="2"/>
    <n v="3.5"/>
    <s v="High"/>
  </r>
  <r>
    <x v="4"/>
    <s v="Cybertruck"/>
    <x v="1"/>
    <s v="Performance"/>
    <n v="39719.769999999997"/>
    <n v="75.3"/>
    <n v="297"/>
    <n v="204.3"/>
    <n v="3.65"/>
    <n v="200"/>
    <n v="277"/>
    <n v="273"/>
    <s v="AWD"/>
    <n v="5"/>
    <s v="Truck"/>
    <n v="70.2"/>
    <n v="2610"/>
    <n v="5"/>
    <n v="2"/>
    <x v="2"/>
    <x v="1"/>
    <n v="220959"/>
    <n v="4"/>
    <n v="5"/>
    <x v="0"/>
    <n v="3.94"/>
    <s v="High"/>
  </r>
  <r>
    <x v="10"/>
    <s v="i4"/>
    <x v="2"/>
    <s v="Long Range"/>
    <n v="83737.7"/>
    <n v="90.9"/>
    <n v="331"/>
    <n v="92.1"/>
    <n v="5.78"/>
    <n v="166"/>
    <n v="611"/>
    <n v="530"/>
    <s v="FWD"/>
    <n v="5"/>
    <s v="Sedan"/>
    <n v="22.8"/>
    <n v="1527"/>
    <n v="4"/>
    <n v="2"/>
    <x v="0"/>
    <x v="2"/>
    <n v="68789"/>
    <n v="3.4"/>
    <n v="6"/>
    <x v="1"/>
    <n v="3.64"/>
    <s v="High"/>
  </r>
  <r>
    <x v="13"/>
    <s v="R2"/>
    <x v="3"/>
    <s v="Performance"/>
    <n v="104305.19"/>
    <n v="112.7"/>
    <n v="429"/>
    <n v="159.1"/>
    <n v="3.37"/>
    <n v="200"/>
    <n v="1000"/>
    <n v="875"/>
    <s v="FWD"/>
    <n v="7"/>
    <s v="Hatchback"/>
    <n v="29.3"/>
    <n v="1500"/>
    <n v="4"/>
    <n v="1"/>
    <x v="2"/>
    <x v="0"/>
    <n v="26219"/>
    <n v="4.0999999999999996"/>
    <n v="6"/>
    <x v="0"/>
    <n v="3.81"/>
    <s v="High"/>
  </r>
  <r>
    <x v="3"/>
    <s v="EV6"/>
    <x v="3"/>
    <s v="Performance"/>
    <n v="107335.21"/>
    <n v="101.2"/>
    <n v="372"/>
    <n v="208.4"/>
    <n v="3.71"/>
    <n v="187"/>
    <n v="1000"/>
    <n v="911"/>
    <s v="AWD"/>
    <n v="5"/>
    <s v="Truck"/>
    <n v="63.5"/>
    <n v="2775"/>
    <n v="5"/>
    <n v="0"/>
    <x v="3"/>
    <x v="0"/>
    <n v="56222"/>
    <n v="3.6"/>
    <n v="5"/>
    <x v="0"/>
    <n v="3.68"/>
    <s v="High"/>
  </r>
  <r>
    <x v="3"/>
    <s v="Picanto EV"/>
    <x v="5"/>
    <s v="Long Range"/>
    <n v="38689.25"/>
    <n v="93"/>
    <n v="330"/>
    <n v="69.7"/>
    <n v="5.24"/>
    <n v="173"/>
    <n v="322"/>
    <n v="295"/>
    <s v="FWD"/>
    <n v="7"/>
    <s v="SUV"/>
    <n v="67.400000000000006"/>
    <n v="1906"/>
    <n v="3"/>
    <n v="1"/>
    <x v="3"/>
    <x v="1"/>
    <n v="112175"/>
    <n v="3.6"/>
    <n v="4"/>
    <x v="1"/>
    <n v="3.55"/>
    <s v="High"/>
  </r>
  <r>
    <x v="7"/>
    <s v="Dolphin"/>
    <x v="3"/>
    <s v="Standard"/>
    <n v="45068.52"/>
    <n v="56.6"/>
    <n v="195"/>
    <n v="112.5"/>
    <n v="5.42"/>
    <n v="162"/>
    <n v="472"/>
    <n v="438"/>
    <s v="RWD"/>
    <n v="5"/>
    <s v="Sedan"/>
    <n v="18"/>
    <n v="1566"/>
    <n v="5"/>
    <n v="0"/>
    <x v="4"/>
    <x v="1"/>
    <n v="196546"/>
    <n v="3.2"/>
    <n v="5"/>
    <x v="1"/>
    <n v="3.45"/>
    <s v="High"/>
  </r>
  <r>
    <x v="9"/>
    <s v="E-Transit"/>
    <x v="0"/>
    <s v="Standard"/>
    <n v="38404.42"/>
    <n v="49.1"/>
    <n v="193"/>
    <n v="124"/>
    <n v="6.99"/>
    <n v="148"/>
    <n v="300"/>
    <n v="298"/>
    <s v="FWD"/>
    <n v="5"/>
    <s v="Truck"/>
    <n v="79.099999999999994"/>
    <n v="3000"/>
    <n v="3"/>
    <n v="1"/>
    <x v="2"/>
    <x v="1"/>
    <n v="49683"/>
    <n v="3.4"/>
    <n v="4"/>
    <x v="1"/>
    <n v="3.93"/>
    <s v="High"/>
  </r>
  <r>
    <x v="4"/>
    <s v="Model S"/>
    <x v="3"/>
    <s v="Standard"/>
    <n v="47711.51"/>
    <n v="47.2"/>
    <n v="173"/>
    <n v="321.60000000000002"/>
    <n v="5.99"/>
    <n v="154"/>
    <n v="308"/>
    <n v="261"/>
    <s v="FWD"/>
    <n v="5"/>
    <s v="Sedan"/>
    <n v="26.8"/>
    <n v="1500"/>
    <n v="4"/>
    <n v="2"/>
    <x v="2"/>
    <x v="1"/>
    <n v="180408"/>
    <n v="3.6"/>
    <n v="5"/>
    <x v="1"/>
    <n v="3.67"/>
    <s v="High"/>
  </r>
  <r>
    <x v="7"/>
    <s v="Dolphin"/>
    <x v="0"/>
    <s v="Long Range"/>
    <n v="77360.56"/>
    <n v="106.1"/>
    <n v="386"/>
    <n v="136.6"/>
    <n v="4.88"/>
    <n v="176"/>
    <n v="878"/>
    <n v="785"/>
    <s v="RWD"/>
    <n v="7"/>
    <s v="Truck"/>
    <n v="52.9"/>
    <n v="2502"/>
    <n v="5"/>
    <n v="1"/>
    <x v="4"/>
    <x v="2"/>
    <n v="154361"/>
    <n v="3.9"/>
    <n v="4"/>
    <x v="1"/>
    <n v="3.64"/>
    <s v="High"/>
  </r>
  <r>
    <x v="0"/>
    <s v="ID. Buzz"/>
    <x v="2"/>
    <s v="Base"/>
    <n v="65767.179999999993"/>
    <n v="48.6"/>
    <n v="159"/>
    <n v="110.2"/>
    <n v="7.4"/>
    <n v="137"/>
    <n v="635"/>
    <n v="584"/>
    <s v="FWD"/>
    <n v="7"/>
    <s v="Van"/>
    <n v="66.8"/>
    <n v="1591"/>
    <n v="5"/>
    <n v="0"/>
    <x v="0"/>
    <x v="2"/>
    <n v="214102"/>
    <n v="3.4"/>
    <n v="5"/>
    <x v="2"/>
    <n v="3.27"/>
    <s v="High"/>
  </r>
  <r>
    <x v="8"/>
    <s v="Ioniq 6"/>
    <x v="3"/>
    <s v="Premium"/>
    <n v="72308.960000000006"/>
    <n v="49.7"/>
    <n v="167"/>
    <n v="107.3"/>
    <n v="6.71"/>
    <n v="150"/>
    <n v="906"/>
    <n v="841"/>
    <s v="AWD"/>
    <n v="5"/>
    <s v="Van"/>
    <n v="64.099999999999994"/>
    <n v="1602"/>
    <n v="3"/>
    <n v="0"/>
    <x v="3"/>
    <x v="2"/>
    <n v="143294"/>
    <n v="3.2"/>
    <n v="4"/>
    <x v="1"/>
    <n v="3.36"/>
    <s v="High"/>
  </r>
  <r>
    <x v="7"/>
    <s v="Leaf 50X"/>
    <x v="4"/>
    <s v="Performance"/>
    <n v="86937.42"/>
    <n v="114.7"/>
    <n v="426"/>
    <n v="245.8"/>
    <n v="4"/>
    <n v="200"/>
    <n v="961"/>
    <n v="894"/>
    <s v="FWD"/>
    <n v="7"/>
    <s v="Sedan"/>
    <n v="35.9"/>
    <n v="1500"/>
    <n v="5"/>
    <n v="1"/>
    <x v="4"/>
    <x v="2"/>
    <n v="145646"/>
    <n v="4.0999999999999996"/>
    <n v="4"/>
    <x v="1"/>
    <n v="3.71"/>
    <s v="High"/>
  </r>
  <r>
    <x v="4"/>
    <s v="Model 3"/>
    <x v="5"/>
    <s v="Standard"/>
    <n v="127646.69"/>
    <n v="65.599999999999994"/>
    <n v="239"/>
    <n v="238.5"/>
    <n v="6.59"/>
    <n v="154"/>
    <n v="936"/>
    <n v="844"/>
    <s v="FWD"/>
    <n v="7"/>
    <s v="SUV"/>
    <n v="57.6"/>
    <n v="2416"/>
    <n v="4"/>
    <n v="2"/>
    <x v="2"/>
    <x v="0"/>
    <n v="120535"/>
    <n v="3.7"/>
    <n v="4"/>
    <x v="1"/>
    <n v="3.64"/>
    <s v="High"/>
  </r>
  <r>
    <x v="3"/>
    <s v="Sportage EV"/>
    <x v="3"/>
    <s v="Long Range"/>
    <n v="37973.050000000003"/>
    <n v="76.2"/>
    <n v="263"/>
    <n v="50.6"/>
    <n v="4.99"/>
    <n v="172"/>
    <n v="328"/>
    <n v="234"/>
    <s v="RWD"/>
    <n v="5"/>
    <s v="SUV"/>
    <n v="40.5"/>
    <n v="2061"/>
    <n v="4"/>
    <n v="2"/>
    <x v="3"/>
    <x v="1"/>
    <n v="66783"/>
    <n v="3.4"/>
    <n v="4"/>
    <x v="1"/>
    <n v="3.45"/>
    <s v="High"/>
  </r>
  <r>
    <x v="7"/>
    <s v="Atto 3"/>
    <x v="0"/>
    <s v="Long Range"/>
    <n v="48954.46"/>
    <n v="94.7"/>
    <n v="326"/>
    <n v="56.1"/>
    <n v="4.75"/>
    <n v="184"/>
    <n v="512"/>
    <n v="464"/>
    <s v="AWD"/>
    <n v="5"/>
    <s v="Van"/>
    <n v="74"/>
    <n v="1616"/>
    <n v="5"/>
    <n v="1"/>
    <x v="4"/>
    <x v="1"/>
    <n v="200483"/>
    <n v="3.8"/>
    <n v="4"/>
    <x v="1"/>
    <n v="3.44"/>
    <s v="High"/>
  </r>
  <r>
    <x v="3"/>
    <s v="EV9"/>
    <x v="4"/>
    <s v="Long Range"/>
    <n v="60641.55"/>
    <n v="109.9"/>
    <n v="404"/>
    <n v="83.4"/>
    <n v="5.66"/>
    <n v="168"/>
    <n v="698"/>
    <n v="655"/>
    <s v="AWD"/>
    <n v="5"/>
    <s v="SUV"/>
    <n v="57.2"/>
    <n v="2142"/>
    <n v="5"/>
    <n v="2"/>
    <x v="3"/>
    <x v="1"/>
    <n v="116742"/>
    <n v="3.9"/>
    <n v="5"/>
    <x v="1"/>
    <n v="3.68"/>
    <s v="High"/>
  </r>
  <r>
    <x v="4"/>
    <s v="Model S"/>
    <x v="3"/>
    <s v="Long Range"/>
    <n v="89182.57"/>
    <n v="108.7"/>
    <n v="358"/>
    <n v="299.89999999999998"/>
    <n v="5.62"/>
    <n v="158"/>
    <n v="683"/>
    <n v="643"/>
    <s v="FWD"/>
    <n v="5"/>
    <s v="Truck"/>
    <n v="69.3"/>
    <n v="2123"/>
    <n v="4"/>
    <n v="2"/>
    <x v="2"/>
    <x v="2"/>
    <n v="161378"/>
    <n v="4"/>
    <n v="6"/>
    <x v="1"/>
    <n v="3.29"/>
    <s v="High"/>
  </r>
  <r>
    <x v="8"/>
    <s v="Ioniq 5"/>
    <x v="2"/>
    <s v="Premium"/>
    <n v="41142.11"/>
    <n v="53.2"/>
    <n v="176"/>
    <n v="90.5"/>
    <n v="5.85"/>
    <n v="160"/>
    <n v="367"/>
    <n v="339"/>
    <s v="AWD"/>
    <n v="5"/>
    <s v="Hatchback"/>
    <n v="17.5"/>
    <n v="1865"/>
    <n v="4"/>
    <n v="1"/>
    <x v="3"/>
    <x v="1"/>
    <n v="133250"/>
    <n v="3.7"/>
    <n v="4"/>
    <x v="1"/>
    <n v="3.31"/>
    <s v="High"/>
  </r>
  <r>
    <x v="8"/>
    <s v="Ioniq 5"/>
    <x v="3"/>
    <s v="Long Range"/>
    <n v="49595.48"/>
    <n v="75.099999999999994"/>
    <n v="260"/>
    <n v="73.900000000000006"/>
    <n v="4.53"/>
    <n v="187"/>
    <n v="496"/>
    <n v="428"/>
    <s v="RWD"/>
    <n v="5"/>
    <s v="Coupe"/>
    <n v="18.399999999999999"/>
    <n v="1805"/>
    <n v="5"/>
    <n v="0"/>
    <x v="3"/>
    <x v="1"/>
    <n v="108288"/>
    <n v="3.5"/>
    <n v="4"/>
    <x v="1"/>
    <n v="3.46"/>
    <s v="High"/>
  </r>
  <r>
    <x v="4"/>
    <s v="Model S"/>
    <x v="3"/>
    <s v="Base"/>
    <n v="99045.61"/>
    <n v="69.900000000000006"/>
    <n v="238"/>
    <n v="316.39999999999998"/>
    <n v="7.86"/>
    <n v="125"/>
    <n v="716"/>
    <n v="620"/>
    <s v="FWD"/>
    <n v="5"/>
    <s v="SUV"/>
    <n v="60.9"/>
    <n v="2154"/>
    <n v="4"/>
    <n v="3"/>
    <x v="2"/>
    <x v="2"/>
    <n v="134937"/>
    <n v="3.6"/>
    <n v="5"/>
    <x v="2"/>
    <n v="3.4"/>
    <s v="High"/>
  </r>
  <r>
    <x v="7"/>
    <s v="Leaf 50X"/>
    <x v="2"/>
    <s v="Standard"/>
    <n v="68838.03"/>
    <n v="48.9"/>
    <n v="180"/>
    <n v="88.2"/>
    <n v="6.45"/>
    <n v="147"/>
    <n v="757"/>
    <n v="719"/>
    <s v="FWD"/>
    <n v="7"/>
    <s v="Coupe"/>
    <n v="19.399999999999999"/>
    <n v="1666"/>
    <n v="4"/>
    <n v="0"/>
    <x v="4"/>
    <x v="2"/>
    <n v="173863"/>
    <n v="3"/>
    <n v="5"/>
    <x v="1"/>
    <n v="3.68"/>
    <s v="High"/>
  </r>
  <r>
    <x v="4"/>
    <s v="Model 3"/>
    <x v="2"/>
    <s v="Long Range"/>
    <n v="54793.42"/>
    <n v="108.6"/>
    <n v="395"/>
    <n v="265.39999999999998"/>
    <n v="4.22"/>
    <n v="191"/>
    <n v="350"/>
    <n v="288"/>
    <s v="FWD"/>
    <n v="5"/>
    <s v="Hatchback"/>
    <n v="20.8"/>
    <n v="1657"/>
    <n v="4"/>
    <n v="3"/>
    <x v="2"/>
    <x v="1"/>
    <n v="136524"/>
    <n v="4.4000000000000004"/>
    <n v="6"/>
    <x v="1"/>
    <n v="3.64"/>
    <s v="High"/>
  </r>
  <r>
    <x v="4"/>
    <s v="Cybertruck"/>
    <x v="3"/>
    <s v="Premium"/>
    <n v="160711.64000000001"/>
    <n v="76.8"/>
    <n v="290"/>
    <n v="265"/>
    <n v="6.64"/>
    <n v="153"/>
    <n v="1000"/>
    <n v="885"/>
    <s v="AWD"/>
    <n v="5"/>
    <s v="Truck"/>
    <n v="67.5"/>
    <n v="2776"/>
    <n v="5"/>
    <n v="2"/>
    <x v="2"/>
    <x v="0"/>
    <n v="208796"/>
    <n v="4"/>
    <n v="5"/>
    <x v="1"/>
    <n v="3.78"/>
    <s v="High"/>
  </r>
  <r>
    <x v="15"/>
    <s v="C40 Recharge"/>
    <x v="5"/>
    <s v="Long Range"/>
    <n v="68234.87"/>
    <n v="75.5"/>
    <n v="251"/>
    <n v="127"/>
    <n v="5.73"/>
    <n v="165"/>
    <n v="493"/>
    <n v="456"/>
    <s v="FWD"/>
    <n v="5"/>
    <s v="SUV"/>
    <n v="41.7"/>
    <n v="2235"/>
    <n v="4"/>
    <n v="0"/>
    <x v="5"/>
    <x v="2"/>
    <n v="22605"/>
    <n v="3.3"/>
    <n v="3"/>
    <x v="1"/>
    <n v="3.32"/>
    <s v="High"/>
  </r>
  <r>
    <x v="7"/>
    <s v="Atto 3"/>
    <x v="0"/>
    <s v="Base"/>
    <n v="53518.98"/>
    <n v="71.2"/>
    <n v="260"/>
    <n v="109.6"/>
    <n v="6.1"/>
    <n v="153"/>
    <n v="632"/>
    <n v="516"/>
    <s v="FWD"/>
    <n v="7"/>
    <s v="Hatchback"/>
    <n v="28.5"/>
    <n v="1500"/>
    <n v="4"/>
    <n v="2"/>
    <x v="4"/>
    <x v="1"/>
    <n v="222794"/>
    <n v="3.2"/>
    <n v="4"/>
    <x v="1"/>
    <n v="3.65"/>
    <s v="High"/>
  </r>
  <r>
    <x v="9"/>
    <s v="E-Transit"/>
    <x v="3"/>
    <s v="Standard"/>
    <n v="43156.03"/>
    <n v="81.3"/>
    <n v="293"/>
    <n v="146.69999999999999"/>
    <n v="7.18"/>
    <n v="139"/>
    <n v="341"/>
    <n v="288"/>
    <s v="FWD"/>
    <n v="5"/>
    <s v="Van"/>
    <n v="65.400000000000006"/>
    <n v="1526"/>
    <n v="4"/>
    <n v="2"/>
    <x v="2"/>
    <x v="1"/>
    <n v="34530"/>
    <n v="3.8"/>
    <n v="4"/>
    <x v="2"/>
    <n v="3.6"/>
    <s v="High"/>
  </r>
  <r>
    <x v="7"/>
    <s v="Leaf 50X"/>
    <x v="4"/>
    <s v="Base"/>
    <n v="44708.41"/>
    <n v="55.8"/>
    <n v="204"/>
    <n v="97.6"/>
    <n v="7.34"/>
    <n v="146"/>
    <n v="492"/>
    <n v="419"/>
    <s v="RWD"/>
    <n v="7"/>
    <s v="Hatchback"/>
    <n v="18.7"/>
    <n v="1500"/>
    <n v="4"/>
    <n v="0"/>
    <x v="4"/>
    <x v="1"/>
    <n v="132992"/>
    <n v="3.3"/>
    <n v="4"/>
    <x v="2"/>
    <n v="3.66"/>
    <s v="High"/>
  </r>
  <r>
    <x v="10"/>
    <s v="i7"/>
    <x v="1"/>
    <s v="Long Range"/>
    <n v="115394.15"/>
    <n v="98.5"/>
    <n v="343"/>
    <n v="61"/>
    <n v="4.9400000000000004"/>
    <n v="167"/>
    <n v="1000"/>
    <n v="863"/>
    <s v="AWD"/>
    <n v="5"/>
    <s v="Sedan"/>
    <n v="18.5"/>
    <n v="1500"/>
    <n v="5"/>
    <n v="1"/>
    <x v="0"/>
    <x v="0"/>
    <n v="58674"/>
    <n v="3.4"/>
    <n v="5"/>
    <x v="1"/>
    <n v="3.48"/>
    <s v="High"/>
  </r>
  <r>
    <x v="2"/>
    <s v="Bolt EUV"/>
    <x v="3"/>
    <s v="Base"/>
    <n v="38010.06"/>
    <n v="62.7"/>
    <n v="226"/>
    <n v="57"/>
    <n v="7.27"/>
    <n v="137"/>
    <n v="303"/>
    <n v="283"/>
    <s v="RWD"/>
    <n v="7"/>
    <s v="Hatchback"/>
    <n v="27"/>
    <n v="1852"/>
    <n v="4"/>
    <n v="2"/>
    <x v="2"/>
    <x v="1"/>
    <n v="16274"/>
    <n v="3.2"/>
    <n v="4"/>
    <x v="2"/>
    <n v="3.6"/>
    <s v="Medium"/>
  </r>
  <r>
    <x v="3"/>
    <s v="EV6"/>
    <x v="2"/>
    <s v="Standard"/>
    <n v="70386.61"/>
    <n v="70.900000000000006"/>
    <n v="215"/>
    <n v="57.3"/>
    <n v="5.0199999999999996"/>
    <n v="168"/>
    <n v="727"/>
    <n v="681"/>
    <s v="RWD"/>
    <n v="5"/>
    <s v="Sedan"/>
    <n v="38.700000000000003"/>
    <n v="1504"/>
    <n v="4"/>
    <n v="0"/>
    <x v="3"/>
    <x v="2"/>
    <n v="72998"/>
    <n v="3.4"/>
    <n v="4"/>
    <x v="1"/>
    <n v="3.03"/>
    <s v="High"/>
  </r>
  <r>
    <x v="8"/>
    <s v="Ioniq"/>
    <x v="1"/>
    <s v="Long Range"/>
    <n v="67747.05"/>
    <n v="89.8"/>
    <n v="333"/>
    <n v="82.6"/>
    <n v="4.95"/>
    <n v="173"/>
    <n v="779"/>
    <n v="667"/>
    <s v="AWD"/>
    <n v="5"/>
    <s v="Coupe"/>
    <n v="29.8"/>
    <n v="1778"/>
    <n v="5"/>
    <n v="2"/>
    <x v="3"/>
    <x v="2"/>
    <n v="100096"/>
    <n v="3.6"/>
    <n v="4"/>
    <x v="1"/>
    <n v="3.71"/>
    <s v="High"/>
  </r>
  <r>
    <x v="0"/>
    <s v="ID.4"/>
    <x v="2"/>
    <s v="Performance"/>
    <n v="78109.649999999994"/>
    <n v="110.5"/>
    <n v="383"/>
    <n v="158.6"/>
    <n v="2.78"/>
    <n v="200"/>
    <n v="886"/>
    <n v="783"/>
    <s v="FWD"/>
    <n v="7"/>
    <s v="Truck"/>
    <n v="78"/>
    <n v="2339"/>
    <n v="5"/>
    <n v="0"/>
    <x v="0"/>
    <x v="2"/>
    <n v="260956"/>
    <n v="3.7"/>
    <n v="4"/>
    <x v="0"/>
    <n v="3.47"/>
    <s v="High"/>
  </r>
  <r>
    <x v="7"/>
    <s v="Max"/>
    <x v="3"/>
    <s v="Base"/>
    <n v="23230.02"/>
    <n v="80.599999999999994"/>
    <n v="262"/>
    <n v="77.900000000000006"/>
    <n v="6.83"/>
    <n v="151"/>
    <n v="173"/>
    <n v="200"/>
    <s v="AWD"/>
    <n v="5"/>
    <s v="Van"/>
    <n v="71.2"/>
    <n v="1500"/>
    <n v="5"/>
    <n v="0"/>
    <x v="4"/>
    <x v="3"/>
    <n v="183226"/>
    <n v="3.8"/>
    <n v="4"/>
    <x v="1"/>
    <n v="3.25"/>
    <s v="High"/>
  </r>
  <r>
    <x v="13"/>
    <s v="R1S"/>
    <x v="5"/>
    <s v="Standard"/>
    <n v="87078.44"/>
    <n v="72.099999999999994"/>
    <n v="262"/>
    <n v="114.3"/>
    <n v="6.22"/>
    <n v="150"/>
    <n v="1000"/>
    <n v="898"/>
    <s v="RWD"/>
    <n v="5"/>
    <s v="Coupe"/>
    <n v="28"/>
    <n v="1649"/>
    <n v="5"/>
    <n v="0"/>
    <x v="2"/>
    <x v="2"/>
    <n v="21561"/>
    <n v="3.7"/>
    <n v="5"/>
    <x v="1"/>
    <n v="3.63"/>
    <s v="High"/>
  </r>
  <r>
    <x v="5"/>
    <s v="EQG"/>
    <x v="0"/>
    <s v="Long Range"/>
    <n v="133058.62"/>
    <n v="89.4"/>
    <n v="309"/>
    <n v="123.4"/>
    <n v="5.84"/>
    <n v="158"/>
    <n v="777"/>
    <n v="661"/>
    <s v="AWD"/>
    <n v="7"/>
    <s v="Truck"/>
    <n v="65.8"/>
    <n v="2651"/>
    <n v="5"/>
    <n v="1"/>
    <x v="0"/>
    <x v="0"/>
    <n v="29039"/>
    <n v="4"/>
    <n v="8"/>
    <x v="1"/>
    <n v="3.46"/>
    <s v="High"/>
  </r>
  <r>
    <x v="6"/>
    <s v="Ronin"/>
    <x v="5"/>
    <s v="Base"/>
    <n v="89077.35"/>
    <n v="81.7"/>
    <n v="286"/>
    <n v="60.9"/>
    <n v="6.38"/>
    <n v="155"/>
    <n v="727"/>
    <n v="707"/>
    <s v="FWD"/>
    <n v="5"/>
    <s v="Coupe"/>
    <n v="33.299999999999997"/>
    <n v="1746"/>
    <n v="4"/>
    <n v="2"/>
    <x v="2"/>
    <x v="2"/>
    <n v="28442"/>
    <n v="3.6"/>
    <n v="5"/>
    <x v="1"/>
    <n v="3.5"/>
    <s v="High"/>
  </r>
  <r>
    <x v="4"/>
    <s v="Model 3"/>
    <x v="3"/>
    <s v="Premium"/>
    <n v="106221.52"/>
    <n v="66.8"/>
    <n v="251"/>
    <n v="322.10000000000002"/>
    <n v="7.55"/>
    <n v="134"/>
    <n v="785"/>
    <n v="681"/>
    <s v="AWD"/>
    <n v="7"/>
    <s v="Sedan"/>
    <n v="24.8"/>
    <n v="1593"/>
    <n v="4"/>
    <n v="2"/>
    <x v="2"/>
    <x v="0"/>
    <n v="106799"/>
    <n v="3.7"/>
    <n v="5"/>
    <x v="2"/>
    <n v="3.76"/>
    <s v="High"/>
  </r>
  <r>
    <x v="2"/>
    <s v="Bolt EV"/>
    <x v="2"/>
    <s v="Standard"/>
    <n v="59253.96"/>
    <n v="56.6"/>
    <n v="223"/>
    <n v="145.1"/>
    <n v="5.33"/>
    <n v="160"/>
    <n v="753"/>
    <n v="666"/>
    <s v="RWD"/>
    <n v="7"/>
    <s v="Truck"/>
    <n v="64"/>
    <n v="2655"/>
    <n v="5"/>
    <n v="2"/>
    <x v="2"/>
    <x v="1"/>
    <n v="22516"/>
    <n v="3.7"/>
    <n v="4"/>
    <x v="1"/>
    <n v="3.94"/>
    <s v="High"/>
  </r>
  <r>
    <x v="12"/>
    <s v="ET6"/>
    <x v="3"/>
    <s v="Standard"/>
    <n v="70152.19"/>
    <n v="44.1"/>
    <n v="160"/>
    <n v="64.900000000000006"/>
    <n v="5.79"/>
    <n v="156"/>
    <n v="523"/>
    <n v="459"/>
    <s v="AWD"/>
    <n v="7"/>
    <s v="Truck"/>
    <n v="60.4"/>
    <n v="2579"/>
    <n v="5"/>
    <n v="0"/>
    <x v="4"/>
    <x v="2"/>
    <n v="21427"/>
    <n v="3"/>
    <n v="3"/>
    <x v="1"/>
    <n v="3.63"/>
    <s v="High"/>
  </r>
  <r>
    <x v="4"/>
    <s v="Model X"/>
    <x v="1"/>
    <s v="Standard"/>
    <n v="45367.75"/>
    <n v="80.8"/>
    <n v="287"/>
    <n v="280.7"/>
    <n v="7.63"/>
    <n v="134"/>
    <n v="319"/>
    <n v="269"/>
    <s v="FWD"/>
    <n v="5"/>
    <s v="Sedan"/>
    <n v="32.799999999999997"/>
    <n v="1627"/>
    <n v="5"/>
    <n v="2"/>
    <x v="2"/>
    <x v="1"/>
    <n v="112809"/>
    <n v="3.7"/>
    <n v="5"/>
    <x v="2"/>
    <n v="3.55"/>
    <s v="High"/>
  </r>
  <r>
    <x v="4"/>
    <s v="Cybertruck"/>
    <x v="5"/>
    <s v="Base"/>
    <n v="101101.42"/>
    <n v="71.8"/>
    <n v="255"/>
    <n v="345.4"/>
    <n v="5.47"/>
    <n v="163"/>
    <n v="743"/>
    <n v="693"/>
    <s v="RWD"/>
    <n v="5"/>
    <s v="Truck"/>
    <n v="58.6"/>
    <n v="2449"/>
    <n v="3"/>
    <n v="2"/>
    <x v="2"/>
    <x v="0"/>
    <n v="118722"/>
    <n v="3.9"/>
    <n v="5"/>
    <x v="1"/>
    <n v="3.55"/>
    <s v="High"/>
  </r>
  <r>
    <x v="2"/>
    <s v="Silverado EV"/>
    <x v="2"/>
    <s v="Performance"/>
    <n v="71690.64"/>
    <n v="77.900000000000006"/>
    <n v="282"/>
    <n v="184.2"/>
    <n v="2.81"/>
    <n v="200"/>
    <n v="1000"/>
    <n v="943"/>
    <s v="AWD"/>
    <n v="5"/>
    <s v="Sedan"/>
    <n v="36"/>
    <n v="1500"/>
    <n v="4"/>
    <n v="1"/>
    <x v="2"/>
    <x v="2"/>
    <n v="26479"/>
    <n v="3.4"/>
    <n v="3"/>
    <x v="0"/>
    <n v="3.62"/>
    <s v="High"/>
  </r>
  <r>
    <x v="3"/>
    <s v="EV6"/>
    <x v="5"/>
    <s v="Base"/>
    <n v="65902.95"/>
    <n v="59.6"/>
    <n v="203"/>
    <n v="101.4"/>
    <n v="7.56"/>
    <n v="132"/>
    <n v="701"/>
    <n v="645"/>
    <s v="AWD"/>
    <n v="5"/>
    <s v="Sedan"/>
    <n v="19.5"/>
    <n v="1918"/>
    <n v="4"/>
    <n v="1"/>
    <x v="3"/>
    <x v="2"/>
    <n v="95119"/>
    <n v="3.3"/>
    <n v="4"/>
    <x v="2"/>
    <n v="3.41"/>
    <s v="High"/>
  </r>
  <r>
    <x v="5"/>
    <s v="GLE EV"/>
    <x v="2"/>
    <s v="Performance"/>
    <n v="178911.77"/>
    <n v="79.7"/>
    <n v="265"/>
    <n v="204.2"/>
    <n v="4.4800000000000004"/>
    <n v="187"/>
    <n v="1000"/>
    <n v="924"/>
    <s v="AWD"/>
    <n v="5"/>
    <s v="Truck"/>
    <n v="71.7"/>
    <n v="2315"/>
    <n v="4"/>
    <n v="2"/>
    <x v="0"/>
    <x v="0"/>
    <n v="68804"/>
    <n v="3.9"/>
    <n v="6"/>
    <x v="1"/>
    <n v="3.32"/>
    <s v="High"/>
  </r>
  <r>
    <x v="4"/>
    <s v="Model Y"/>
    <x v="3"/>
    <s v="Long Range"/>
    <n v="97027.38"/>
    <n v="108.3"/>
    <n v="372"/>
    <n v="265.89999999999998"/>
    <n v="5.23"/>
    <n v="170"/>
    <n v="708"/>
    <n v="592"/>
    <s v="RWD"/>
    <n v="5"/>
    <s v="Truck"/>
    <n v="60.6"/>
    <n v="2443"/>
    <n v="5"/>
    <n v="2"/>
    <x v="2"/>
    <x v="2"/>
    <n v="401761"/>
    <n v="4.0999999999999996"/>
    <n v="4"/>
    <x v="1"/>
    <n v="3.43"/>
    <s v="High"/>
  </r>
  <r>
    <x v="9"/>
    <s v="F-150 Lightning"/>
    <x v="3"/>
    <s v="Long Range"/>
    <n v="53281.67"/>
    <n v="84.7"/>
    <n v="295"/>
    <n v="89.2"/>
    <n v="5.45"/>
    <n v="173"/>
    <n v="587"/>
    <n v="498"/>
    <s v="FWD"/>
    <n v="4"/>
    <s v="Truck"/>
    <n v="66.599999999999994"/>
    <n v="2590"/>
    <n v="4"/>
    <n v="0"/>
    <x v="2"/>
    <x v="1"/>
    <n v="59310"/>
    <n v="3.4"/>
    <n v="4"/>
    <x v="1"/>
    <n v="3.48"/>
    <s v="High"/>
  </r>
  <r>
    <x v="4"/>
    <s v="Model Y"/>
    <x v="0"/>
    <s v="Standard"/>
    <n v="53432.36"/>
    <n v="79.599999999999994"/>
    <n v="289"/>
    <n v="218.5"/>
    <n v="6.41"/>
    <n v="146"/>
    <n v="397"/>
    <n v="369"/>
    <s v="AWD"/>
    <n v="7"/>
    <s v="Coupe"/>
    <n v="31.6"/>
    <n v="1500"/>
    <n v="5"/>
    <n v="2"/>
    <x v="2"/>
    <x v="1"/>
    <n v="490497"/>
    <n v="3.9"/>
    <n v="6"/>
    <x v="1"/>
    <n v="3.63"/>
    <s v="High"/>
  </r>
  <r>
    <x v="4"/>
    <s v="Model X"/>
    <x v="3"/>
    <s v="Long Range"/>
    <n v="92231.53"/>
    <n v="76"/>
    <n v="264"/>
    <n v="230.5"/>
    <n v="5.1100000000000003"/>
    <n v="177"/>
    <n v="643"/>
    <n v="559"/>
    <s v="FWD"/>
    <n v="5"/>
    <s v="Van"/>
    <n v="79.3"/>
    <n v="1571"/>
    <n v="4"/>
    <n v="2"/>
    <x v="2"/>
    <x v="2"/>
    <n v="226342"/>
    <n v="3.6"/>
    <n v="5"/>
    <x v="1"/>
    <n v="3.47"/>
    <s v="High"/>
  </r>
  <r>
    <x v="4"/>
    <s v="Model X"/>
    <x v="2"/>
    <s v="Standard"/>
    <n v="125065.93"/>
    <n v="50.7"/>
    <n v="159"/>
    <n v="274.5"/>
    <n v="5.27"/>
    <n v="172"/>
    <n v="917"/>
    <n v="842"/>
    <s v="RWD"/>
    <n v="7"/>
    <s v="Hatchback"/>
    <n v="34.799999999999997"/>
    <n v="1620"/>
    <n v="4"/>
    <n v="2"/>
    <x v="2"/>
    <x v="0"/>
    <n v="243623"/>
    <n v="3.2"/>
    <n v="6"/>
    <x v="1"/>
    <n v="3.14"/>
    <s v="High"/>
  </r>
  <r>
    <x v="9"/>
    <s v="F-150 Lightning"/>
    <x v="6"/>
    <s v="Long Range"/>
    <n v="67768.09"/>
    <n v="83.3"/>
    <n v="291"/>
    <n v="91.9"/>
    <n v="4.58"/>
    <n v="173"/>
    <n v="752"/>
    <n v="718"/>
    <s v="FWD"/>
    <n v="2"/>
    <s v="Truck"/>
    <n v="54.9"/>
    <n v="2624"/>
    <n v="5"/>
    <n v="0"/>
    <x v="2"/>
    <x v="2"/>
    <n v="25258"/>
    <n v="3.5"/>
    <n v="4"/>
    <x v="1"/>
    <n v="3.49"/>
    <s v="High"/>
  </r>
  <r>
    <x v="10"/>
    <s v="i3"/>
    <x v="5"/>
    <s v="Standard"/>
    <n v="62674.5"/>
    <n v="70.599999999999994"/>
    <n v="211"/>
    <n v="55.7"/>
    <n v="6.14"/>
    <n v="160"/>
    <n v="342"/>
    <n v="306"/>
    <s v="FWD"/>
    <n v="5"/>
    <s v="Coupe"/>
    <n v="18"/>
    <n v="1500"/>
    <n v="3"/>
    <n v="1"/>
    <x v="0"/>
    <x v="1"/>
    <n v="61611"/>
    <n v="3.2"/>
    <n v="6"/>
    <x v="1"/>
    <n v="2.99"/>
    <s v="High"/>
  </r>
  <r>
    <x v="8"/>
    <s v="Kona Electric"/>
    <x v="0"/>
    <s v="Long Range"/>
    <n v="40702.92"/>
    <n v="77.5"/>
    <n v="277"/>
    <n v="76.400000000000006"/>
    <n v="4.6500000000000004"/>
    <n v="183"/>
    <n v="398"/>
    <n v="317"/>
    <s v="AWD"/>
    <n v="5"/>
    <s v="SUV"/>
    <n v="61.4"/>
    <n v="2484"/>
    <n v="4"/>
    <n v="1"/>
    <x v="3"/>
    <x v="1"/>
    <n v="128695"/>
    <n v="3.6"/>
    <n v="4"/>
    <x v="1"/>
    <n v="3.57"/>
    <s v="High"/>
  </r>
  <r>
    <x v="0"/>
    <s v="ID. Buzz"/>
    <x v="5"/>
    <s v="Premium"/>
    <n v="50055.73"/>
    <n v="71.2"/>
    <n v="256"/>
    <n v="121.7"/>
    <n v="7.42"/>
    <n v="140"/>
    <n v="445"/>
    <n v="413"/>
    <s v="RWD"/>
    <n v="7"/>
    <s v="Hatchback"/>
    <n v="37.1"/>
    <n v="1500"/>
    <n v="5"/>
    <n v="0"/>
    <x v="0"/>
    <x v="1"/>
    <n v="296123"/>
    <n v="3.7"/>
    <n v="3"/>
    <x v="2"/>
    <n v="3.6"/>
    <s v="High"/>
  </r>
  <r>
    <x v="11"/>
    <s v="e-tron GT"/>
    <x v="0"/>
    <s v="Base"/>
    <n v="67690.27"/>
    <n v="64.3"/>
    <n v="232"/>
    <n v="90.1"/>
    <n v="6.29"/>
    <n v="158"/>
    <n v="335"/>
    <n v="307"/>
    <s v="RWD"/>
    <n v="5"/>
    <s v="Sedan"/>
    <n v="19.600000000000001"/>
    <n v="1806"/>
    <n v="4"/>
    <n v="1"/>
    <x v="0"/>
    <x v="2"/>
    <n v="63429"/>
    <n v="3.4"/>
    <n v="5"/>
    <x v="1"/>
    <n v="3.61"/>
    <s v="High"/>
  </r>
  <r>
    <x v="0"/>
    <s v="ID.3"/>
    <x v="2"/>
    <s v="Long Range"/>
    <n v="37557.870000000003"/>
    <n v="86.2"/>
    <n v="299"/>
    <n v="109.8"/>
    <n v="4.74"/>
    <n v="175"/>
    <n v="291"/>
    <n v="288"/>
    <s v="FWD"/>
    <n v="7"/>
    <s v="Coupe"/>
    <n v="33.1"/>
    <n v="1738"/>
    <n v="5"/>
    <n v="0"/>
    <x v="0"/>
    <x v="1"/>
    <n v="247190"/>
    <n v="3.7"/>
    <n v="4"/>
    <x v="1"/>
    <n v="3.47"/>
    <s v="High"/>
  </r>
  <r>
    <x v="9"/>
    <s v="E-Transit"/>
    <x v="2"/>
    <s v="Standard"/>
    <n v="48328.54"/>
    <n v="81.900000000000006"/>
    <n v="268"/>
    <n v="116.4"/>
    <n v="7.97"/>
    <n v="132"/>
    <n v="460"/>
    <n v="436"/>
    <s v="AWD"/>
    <n v="7"/>
    <s v="SUV"/>
    <n v="69.5"/>
    <n v="2108"/>
    <n v="4"/>
    <n v="0"/>
    <x v="2"/>
    <x v="1"/>
    <n v="34857"/>
    <n v="3.5"/>
    <n v="3"/>
    <x v="2"/>
    <n v="3.27"/>
    <s v="High"/>
  </r>
  <r>
    <x v="0"/>
    <s v="ID. Aero"/>
    <x v="3"/>
    <s v="Long Range"/>
    <n v="102771.71"/>
    <n v="104.2"/>
    <n v="392"/>
    <n v="112.5"/>
    <n v="5.33"/>
    <n v="174"/>
    <n v="1000"/>
    <n v="854"/>
    <s v="FWD"/>
    <n v="5"/>
    <s v="Van"/>
    <n v="77.2"/>
    <n v="2045"/>
    <n v="4"/>
    <n v="1"/>
    <x v="0"/>
    <x v="0"/>
    <n v="235887"/>
    <n v="3.8"/>
    <n v="5"/>
    <x v="1"/>
    <n v="3.76"/>
    <s v="High"/>
  </r>
  <r>
    <x v="0"/>
    <s v="ID. Aero"/>
    <x v="3"/>
    <s v="Long Range"/>
    <n v="97037.17"/>
    <n v="79.8"/>
    <n v="284"/>
    <n v="132.30000000000001"/>
    <n v="5.42"/>
    <n v="167"/>
    <n v="1000"/>
    <n v="875"/>
    <s v="RWD"/>
    <n v="5"/>
    <s v="Coupe"/>
    <n v="32.1"/>
    <n v="1540"/>
    <n v="4"/>
    <n v="0"/>
    <x v="0"/>
    <x v="2"/>
    <n v="292071"/>
    <n v="3.5"/>
    <n v="4"/>
    <x v="1"/>
    <n v="3.56"/>
    <s v="High"/>
  </r>
  <r>
    <x v="8"/>
    <s v="i30"/>
    <x v="3"/>
    <s v="Long Range"/>
    <n v="81032.960000000006"/>
    <n v="109.2"/>
    <n v="372"/>
    <n v="121.6"/>
    <n v="5.8"/>
    <n v="171"/>
    <n v="1000"/>
    <n v="882"/>
    <s v="RWD"/>
    <n v="7"/>
    <s v="Coupe"/>
    <n v="31.9"/>
    <n v="1543"/>
    <n v="5"/>
    <n v="2"/>
    <x v="3"/>
    <x v="2"/>
    <n v="132543"/>
    <n v="3.5"/>
    <n v="4"/>
    <x v="1"/>
    <n v="3.41"/>
    <s v="High"/>
  </r>
  <r>
    <x v="7"/>
    <s v="Atto 3"/>
    <x v="2"/>
    <s v="Long Range"/>
    <n v="53347.12"/>
    <n v="78.900000000000006"/>
    <n v="277"/>
    <n v="62.8"/>
    <n v="4.71"/>
    <n v="182"/>
    <n v="623"/>
    <n v="633"/>
    <s v="AWD"/>
    <n v="7"/>
    <s v="Sedan"/>
    <n v="22.9"/>
    <n v="1500"/>
    <n v="5"/>
    <n v="1"/>
    <x v="4"/>
    <x v="1"/>
    <n v="234710"/>
    <n v="3.5"/>
    <n v="5"/>
    <x v="1"/>
    <n v="3.51"/>
    <s v="High"/>
  </r>
  <r>
    <x v="2"/>
    <s v="Silverado EV"/>
    <x v="1"/>
    <s v="Base"/>
    <n v="39747.919999999998"/>
    <n v="47.2"/>
    <n v="152"/>
    <n v="54.7"/>
    <n v="6.56"/>
    <n v="152"/>
    <n v="376"/>
    <n v="332"/>
    <s v="FWD"/>
    <n v="7"/>
    <s v="Van"/>
    <n v="76.5"/>
    <n v="1622"/>
    <n v="5"/>
    <n v="0"/>
    <x v="2"/>
    <x v="1"/>
    <n v="29407"/>
    <n v="3.1"/>
    <n v="4"/>
    <x v="1"/>
    <n v="3.22"/>
    <s v="High"/>
  </r>
  <r>
    <x v="8"/>
    <s v="Ioniq"/>
    <x v="3"/>
    <s v="Standard"/>
    <n v="59265.27"/>
    <n v="76.5"/>
    <n v="288"/>
    <n v="123.1"/>
    <n v="5.71"/>
    <n v="166"/>
    <n v="648"/>
    <n v="577"/>
    <s v="AWD"/>
    <n v="5"/>
    <s v="Van"/>
    <n v="77.900000000000006"/>
    <n v="1500"/>
    <n v="5"/>
    <n v="0"/>
    <x v="3"/>
    <x v="1"/>
    <n v="55296"/>
    <n v="3.4"/>
    <n v="4"/>
    <x v="1"/>
    <n v="3.76"/>
    <s v="High"/>
  </r>
  <r>
    <x v="7"/>
    <s v="Dolphin"/>
    <x v="3"/>
    <s v="Long Range"/>
    <n v="24263.38"/>
    <n v="90.6"/>
    <n v="313"/>
    <n v="69.599999999999994"/>
    <n v="5.85"/>
    <n v="165"/>
    <n v="236"/>
    <n v="233"/>
    <s v="FWD"/>
    <n v="7"/>
    <s v="Coupe"/>
    <n v="35.299999999999997"/>
    <n v="1702"/>
    <n v="4"/>
    <n v="2"/>
    <x v="4"/>
    <x v="3"/>
    <n v="185360"/>
    <n v="3.8"/>
    <n v="3"/>
    <x v="1"/>
    <n v="3.45"/>
    <s v="High"/>
  </r>
  <r>
    <x v="11"/>
    <s v="Q6 e-tron"/>
    <x v="0"/>
    <s v="Base"/>
    <n v="103373.32"/>
    <n v="48"/>
    <n v="165"/>
    <n v="87.7"/>
    <n v="6.98"/>
    <n v="147"/>
    <n v="784"/>
    <n v="695"/>
    <s v="AWD"/>
    <n v="5"/>
    <s v="Sedan"/>
    <n v="39.700000000000003"/>
    <n v="1652"/>
    <n v="4"/>
    <n v="1"/>
    <x v="0"/>
    <x v="0"/>
    <n v="46342"/>
    <n v="3.6"/>
    <n v="5"/>
    <x v="1"/>
    <n v="3.44"/>
    <s v="High"/>
  </r>
  <r>
    <x v="0"/>
    <s v="ID. Buzz"/>
    <x v="3"/>
    <s v="Base"/>
    <n v="65624.38"/>
    <n v="83.8"/>
    <n v="327"/>
    <n v="93.1"/>
    <n v="5.42"/>
    <n v="166"/>
    <n v="665"/>
    <n v="569"/>
    <s v="FWD"/>
    <n v="5"/>
    <s v="Sedan"/>
    <n v="23"/>
    <n v="1849"/>
    <n v="5"/>
    <n v="1"/>
    <x v="0"/>
    <x v="2"/>
    <n v="228265"/>
    <n v="3.8"/>
    <n v="3"/>
    <x v="1"/>
    <n v="3.9"/>
    <s v="High"/>
  </r>
  <r>
    <x v="3"/>
    <s v="EV6"/>
    <x v="3"/>
    <s v="Base"/>
    <n v="34297.300000000003"/>
    <n v="40.9"/>
    <n v="150"/>
    <n v="108"/>
    <n v="6.15"/>
    <n v="156"/>
    <n v="241"/>
    <n v="200"/>
    <s v="AWD"/>
    <n v="7"/>
    <s v="Coupe"/>
    <n v="34.299999999999997"/>
    <n v="1500"/>
    <n v="4"/>
    <n v="1"/>
    <x v="3"/>
    <x v="3"/>
    <n v="124108"/>
    <n v="3.3"/>
    <n v="4"/>
    <x v="1"/>
    <n v="3.67"/>
    <s v="High"/>
  </r>
  <r>
    <x v="11"/>
    <s v="Q6 e-tron"/>
    <x v="0"/>
    <s v="Premium"/>
    <n v="94046.97"/>
    <n v="47.5"/>
    <n v="160"/>
    <n v="109.3"/>
    <n v="6.08"/>
    <n v="155"/>
    <n v="683"/>
    <n v="576"/>
    <s v="AWD"/>
    <n v="5"/>
    <s v="Truck"/>
    <n v="56"/>
    <n v="2616"/>
    <n v="5"/>
    <n v="2"/>
    <x v="0"/>
    <x v="2"/>
    <n v="36637"/>
    <n v="3.2"/>
    <n v="7"/>
    <x v="1"/>
    <n v="3.37"/>
    <s v="High"/>
  </r>
  <r>
    <x v="10"/>
    <s v="i5"/>
    <x v="2"/>
    <s v="Base"/>
    <n v="85524.800000000003"/>
    <n v="65.2"/>
    <n v="228"/>
    <n v="67.599999999999994"/>
    <n v="6.42"/>
    <n v="154"/>
    <n v="634"/>
    <n v="525"/>
    <s v="AWD"/>
    <n v="7"/>
    <s v="SUV"/>
    <n v="57.5"/>
    <n v="1949"/>
    <n v="5"/>
    <n v="2"/>
    <x v="0"/>
    <x v="2"/>
    <n v="61102"/>
    <n v="3.2"/>
    <n v="7"/>
    <x v="1"/>
    <n v="3.5"/>
    <s v="High"/>
  </r>
  <r>
    <x v="4"/>
    <s v="Model 3"/>
    <x v="3"/>
    <s v="Long Range"/>
    <n v="37324.82"/>
    <n v="100.2"/>
    <n v="350"/>
    <n v="328.5"/>
    <n v="5.0999999999999996"/>
    <n v="169"/>
    <n v="239"/>
    <n v="219"/>
    <s v="RWD"/>
    <n v="5"/>
    <s v="Coupe"/>
    <n v="37.6"/>
    <n v="1636"/>
    <n v="3"/>
    <n v="2"/>
    <x v="2"/>
    <x v="1"/>
    <n v="182729"/>
    <n v="3.9"/>
    <n v="6"/>
    <x v="1"/>
    <n v="3.49"/>
    <s v="High"/>
  </r>
  <r>
    <x v="12"/>
    <s v="EL8"/>
    <x v="0"/>
    <s v="Standard"/>
    <n v="65637.97"/>
    <n v="69.5"/>
    <n v="270"/>
    <n v="97.9"/>
    <n v="5.86"/>
    <n v="162"/>
    <n v="521"/>
    <n v="458"/>
    <s v="FWD"/>
    <n v="5"/>
    <s v="Hatchback"/>
    <n v="34.1"/>
    <n v="1846"/>
    <n v="5"/>
    <n v="0"/>
    <x v="4"/>
    <x v="2"/>
    <n v="24026"/>
    <n v="3.4"/>
    <n v="4"/>
    <x v="1"/>
    <n v="3.88"/>
    <s v="High"/>
  </r>
  <r>
    <x v="10"/>
    <s v="i3"/>
    <x v="0"/>
    <s v="Premium"/>
    <n v="86679.02"/>
    <n v="53.8"/>
    <n v="171"/>
    <n v="60.4"/>
    <n v="7.04"/>
    <n v="146"/>
    <n v="639"/>
    <n v="621"/>
    <s v="AWD"/>
    <n v="5"/>
    <s v="Truck"/>
    <n v="80"/>
    <n v="2454"/>
    <n v="5"/>
    <n v="2"/>
    <x v="0"/>
    <x v="2"/>
    <n v="68670"/>
    <n v="3.2"/>
    <n v="6"/>
    <x v="2"/>
    <n v="3.18"/>
    <s v="High"/>
  </r>
  <r>
    <x v="7"/>
    <s v="Seagull"/>
    <x v="2"/>
    <s v="Base"/>
    <n v="18386.22"/>
    <n v="53.5"/>
    <n v="197"/>
    <n v="93.6"/>
    <n v="5.77"/>
    <n v="169"/>
    <n v="150"/>
    <n v="200"/>
    <s v="FWD"/>
    <n v="7"/>
    <s v="Hatchback"/>
    <n v="18.600000000000001"/>
    <n v="1500"/>
    <n v="4"/>
    <n v="0"/>
    <x v="4"/>
    <x v="3"/>
    <n v="194535"/>
    <n v="3.3"/>
    <n v="4"/>
    <x v="1"/>
    <n v="3.68"/>
    <s v="High"/>
  </r>
  <r>
    <x v="4"/>
    <s v="Model 3"/>
    <x v="3"/>
    <s v="Base"/>
    <n v="39961.089999999997"/>
    <n v="82.4"/>
    <n v="271"/>
    <n v="326"/>
    <n v="6.94"/>
    <n v="140"/>
    <n v="291"/>
    <n v="304"/>
    <s v="RWD"/>
    <n v="5"/>
    <s v="Hatchback"/>
    <n v="35.799999999999997"/>
    <n v="1862"/>
    <n v="5"/>
    <n v="2"/>
    <x v="2"/>
    <x v="1"/>
    <n v="132702"/>
    <n v="4"/>
    <n v="6"/>
    <x v="1"/>
    <n v="3.29"/>
    <s v="High"/>
  </r>
  <r>
    <x v="9"/>
    <s v="F-150 Lightning"/>
    <x v="3"/>
    <s v="Standard"/>
    <n v="71166.509999999995"/>
    <n v="63.6"/>
    <n v="211"/>
    <n v="145.69999999999999"/>
    <n v="5.67"/>
    <n v="168"/>
    <n v="779"/>
    <n v="697"/>
    <s v="FWD"/>
    <n v="2"/>
    <s v="Truck"/>
    <n v="59.3"/>
    <n v="2632"/>
    <n v="4"/>
    <n v="1"/>
    <x v="2"/>
    <x v="2"/>
    <n v="29813"/>
    <n v="3.6"/>
    <n v="3"/>
    <x v="1"/>
    <n v="3.32"/>
    <s v="High"/>
  </r>
  <r>
    <x v="10"/>
    <s v="iX"/>
    <x v="4"/>
    <s v="Performance"/>
    <n v="122478.25"/>
    <n v="85.4"/>
    <n v="288"/>
    <n v="235.7"/>
    <n v="3.68"/>
    <n v="194"/>
    <n v="1000"/>
    <n v="890"/>
    <s v="AWD"/>
    <n v="5"/>
    <s v="Hatchback"/>
    <n v="32.700000000000003"/>
    <n v="1612"/>
    <n v="3"/>
    <n v="1"/>
    <x v="0"/>
    <x v="0"/>
    <n v="61194"/>
    <n v="3.6"/>
    <n v="6"/>
    <x v="0"/>
    <n v="3.37"/>
    <s v="High"/>
  </r>
  <r>
    <x v="8"/>
    <s v="Kona Electric"/>
    <x v="3"/>
    <s v="Standard"/>
    <n v="33895.78"/>
    <n v="72.7"/>
    <n v="271"/>
    <n v="66.400000000000006"/>
    <n v="6.62"/>
    <n v="148"/>
    <n v="222"/>
    <n v="200"/>
    <s v="FWD"/>
    <n v="5"/>
    <s v="Sedan"/>
    <n v="26.3"/>
    <n v="1542"/>
    <n v="4"/>
    <n v="2"/>
    <x v="3"/>
    <x v="3"/>
    <n v="74203"/>
    <n v="3.7"/>
    <n v="4"/>
    <x v="1"/>
    <n v="3.73"/>
    <s v="High"/>
  </r>
  <r>
    <x v="11"/>
    <s v="e-tron GT"/>
    <x v="5"/>
    <s v="Premium"/>
    <n v="101046.9"/>
    <n v="80.3"/>
    <n v="301"/>
    <n v="125.2"/>
    <n v="5.24"/>
    <n v="174"/>
    <n v="736"/>
    <n v="669"/>
    <s v="RWD"/>
    <n v="5"/>
    <s v="SUV"/>
    <n v="39.5"/>
    <n v="2084"/>
    <n v="4"/>
    <n v="1"/>
    <x v="0"/>
    <x v="0"/>
    <n v="68624"/>
    <n v="3.8"/>
    <n v="7"/>
    <x v="1"/>
    <n v="3.75"/>
    <s v="High"/>
  </r>
  <r>
    <x v="9"/>
    <s v="Explorer EV"/>
    <x v="0"/>
    <s v="Standard"/>
    <n v="42429.66"/>
    <n v="63.3"/>
    <n v="218"/>
    <n v="93.3"/>
    <n v="7.72"/>
    <n v="140"/>
    <n v="399"/>
    <n v="416"/>
    <s v="AWD"/>
    <n v="7"/>
    <s v="Sedan"/>
    <n v="26.7"/>
    <n v="1767"/>
    <n v="3"/>
    <n v="1"/>
    <x v="2"/>
    <x v="1"/>
    <n v="37998"/>
    <n v="3.5"/>
    <n v="3"/>
    <x v="2"/>
    <n v="3.44"/>
    <s v="High"/>
  </r>
  <r>
    <x v="4"/>
    <s v="Model X"/>
    <x v="3"/>
    <s v="Standard"/>
    <n v="81903.39"/>
    <n v="69.099999999999994"/>
    <n v="257"/>
    <n v="348.4"/>
    <n v="5.35"/>
    <n v="170"/>
    <n v="552"/>
    <n v="541"/>
    <s v="RWD"/>
    <n v="5"/>
    <s v="Sedan"/>
    <n v="20.399999999999999"/>
    <n v="1640"/>
    <n v="4"/>
    <n v="2"/>
    <x v="2"/>
    <x v="2"/>
    <n v="135577"/>
    <n v="3.8"/>
    <n v="5"/>
    <x v="1"/>
    <n v="3.72"/>
    <s v="High"/>
  </r>
  <r>
    <x v="7"/>
    <s v="Max"/>
    <x v="5"/>
    <s v="Long Range"/>
    <n v="92693.85"/>
    <n v="89.9"/>
    <n v="310"/>
    <n v="124.3"/>
    <n v="5.7"/>
    <n v="159"/>
    <n v="1000"/>
    <n v="871"/>
    <s v="RWD"/>
    <n v="7"/>
    <s v="Truck"/>
    <n v="56.9"/>
    <n v="2517"/>
    <n v="5"/>
    <n v="0"/>
    <x v="4"/>
    <x v="2"/>
    <n v="133159"/>
    <n v="3.4"/>
    <n v="4"/>
    <x v="1"/>
    <n v="3.45"/>
    <s v="High"/>
  </r>
  <r>
    <x v="7"/>
    <s v="Atto 3"/>
    <x v="5"/>
    <s v="Performance"/>
    <n v="110109.78"/>
    <n v="119.3"/>
    <n v="403"/>
    <n v="240.3"/>
    <n v="2.97"/>
    <n v="200"/>
    <n v="1000"/>
    <n v="912"/>
    <s v="AWD"/>
    <n v="7"/>
    <s v="Van"/>
    <n v="68.8"/>
    <n v="1500"/>
    <n v="4"/>
    <n v="2"/>
    <x v="4"/>
    <x v="0"/>
    <n v="116675"/>
    <n v="4.2"/>
    <n v="4"/>
    <x v="0"/>
    <n v="3.38"/>
    <s v="High"/>
  </r>
  <r>
    <x v="2"/>
    <s v="Equinox EV"/>
    <x v="5"/>
    <s v="Premium"/>
    <n v="81491.33"/>
    <n v="73.3"/>
    <n v="257"/>
    <n v="131.5"/>
    <n v="7.51"/>
    <n v="145"/>
    <n v="1000"/>
    <n v="849"/>
    <s v="RWD"/>
    <n v="5"/>
    <s v="SUV"/>
    <n v="65.3"/>
    <n v="2230"/>
    <n v="3"/>
    <n v="0"/>
    <x v="2"/>
    <x v="2"/>
    <n v="15310"/>
    <n v="3.8"/>
    <n v="4"/>
    <x v="2"/>
    <n v="3.51"/>
    <s v="Medium"/>
  </r>
  <r>
    <x v="4"/>
    <s v="Cybertruck"/>
    <x v="1"/>
    <s v="Base"/>
    <n v="83011.59"/>
    <n v="78.2"/>
    <n v="288"/>
    <n v="207.7"/>
    <n v="6.44"/>
    <n v="147"/>
    <n v="570"/>
    <n v="470"/>
    <s v="FWD"/>
    <n v="5"/>
    <s v="Truck"/>
    <n v="64"/>
    <n v="2568"/>
    <n v="4"/>
    <n v="2"/>
    <x v="2"/>
    <x v="2"/>
    <n v="132378"/>
    <n v="4.0999999999999996"/>
    <n v="5"/>
    <x v="1"/>
    <n v="3.68"/>
    <s v="High"/>
  </r>
  <r>
    <x v="3"/>
    <s v="Sportage EV"/>
    <x v="0"/>
    <s v="Premium"/>
    <n v="59926.46"/>
    <n v="66.3"/>
    <n v="219"/>
    <n v="99.8"/>
    <n v="6.36"/>
    <n v="162"/>
    <n v="687"/>
    <n v="676"/>
    <s v="RWD"/>
    <n v="7"/>
    <s v="SUV"/>
    <n v="44.7"/>
    <n v="1956"/>
    <n v="5"/>
    <n v="0"/>
    <x v="3"/>
    <x v="1"/>
    <n v="144832"/>
    <n v="3.1"/>
    <n v="4"/>
    <x v="1"/>
    <n v="3.3"/>
    <s v="High"/>
  </r>
  <r>
    <x v="9"/>
    <s v="F-150 Lightning"/>
    <x v="3"/>
    <s v="Premium"/>
    <n v="44324.9"/>
    <n v="61.8"/>
    <n v="198"/>
    <n v="133.69999999999999"/>
    <n v="7.39"/>
    <n v="139"/>
    <n v="367"/>
    <n v="300"/>
    <s v="AWD"/>
    <n v="2"/>
    <s v="Truck"/>
    <n v="59.1"/>
    <n v="2675"/>
    <n v="4"/>
    <n v="1"/>
    <x v="2"/>
    <x v="1"/>
    <n v="57644"/>
    <n v="3.5"/>
    <n v="4"/>
    <x v="2"/>
    <n v="3.2"/>
    <s v="High"/>
  </r>
  <r>
    <x v="11"/>
    <s v="e-tron"/>
    <x v="3"/>
    <s v="Standard"/>
    <n v="114471.43"/>
    <n v="76.2"/>
    <n v="231"/>
    <n v="133.1"/>
    <n v="6.47"/>
    <n v="152"/>
    <n v="888"/>
    <n v="750"/>
    <s v="AWD"/>
    <n v="7"/>
    <s v="Van"/>
    <n v="74.2"/>
    <n v="1500"/>
    <n v="4"/>
    <n v="2"/>
    <x v="0"/>
    <x v="0"/>
    <n v="21563"/>
    <n v="3.5"/>
    <n v="6"/>
    <x v="1"/>
    <n v="3.03"/>
    <s v="High"/>
  </r>
  <r>
    <x v="7"/>
    <s v="Atto 3"/>
    <x v="5"/>
    <s v="Long Range"/>
    <n v="104593.9"/>
    <n v="89.1"/>
    <n v="296"/>
    <n v="104"/>
    <n v="5.22"/>
    <n v="172"/>
    <n v="1000"/>
    <n v="908"/>
    <s v="RWD"/>
    <n v="5"/>
    <s v="Van"/>
    <n v="64.3"/>
    <n v="1680"/>
    <n v="5"/>
    <n v="1"/>
    <x v="4"/>
    <x v="0"/>
    <n v="219672"/>
    <n v="3.6"/>
    <n v="3"/>
    <x v="1"/>
    <n v="3.32"/>
    <s v="High"/>
  </r>
  <r>
    <x v="9"/>
    <s v="F-150 Lightning"/>
    <x v="5"/>
    <s v="Premium"/>
    <n v="95704.24"/>
    <n v="84.6"/>
    <n v="300"/>
    <n v="52.9"/>
    <n v="5"/>
    <n v="176"/>
    <n v="1000"/>
    <n v="887"/>
    <s v="RWD"/>
    <n v="2"/>
    <s v="Truck"/>
    <n v="75.900000000000006"/>
    <n v="2262"/>
    <n v="5"/>
    <n v="0"/>
    <x v="2"/>
    <x v="2"/>
    <n v="70819"/>
    <n v="3.5"/>
    <n v="4"/>
    <x v="1"/>
    <n v="3.55"/>
    <s v="High"/>
  </r>
  <r>
    <x v="4"/>
    <s v="Cybertruck"/>
    <x v="2"/>
    <s v="Long Range"/>
    <n v="81331.259999999995"/>
    <n v="87"/>
    <n v="324"/>
    <n v="305"/>
    <n v="5.93"/>
    <n v="160"/>
    <n v="588"/>
    <n v="584"/>
    <s v="AWD"/>
    <n v="5"/>
    <s v="Truck"/>
    <n v="77.7"/>
    <n v="2504"/>
    <n v="5"/>
    <n v="3"/>
    <x v="2"/>
    <x v="2"/>
    <n v="192430"/>
    <n v="3.7"/>
    <n v="6"/>
    <x v="1"/>
    <n v="3.72"/>
    <s v="High"/>
  </r>
  <r>
    <x v="5"/>
    <s v="GLE EV"/>
    <x v="3"/>
    <s v="Long Range"/>
    <n v="83712.42"/>
    <n v="97.4"/>
    <n v="338"/>
    <n v="125.5"/>
    <n v="5.85"/>
    <n v="170"/>
    <n v="335"/>
    <n v="334"/>
    <s v="FWD"/>
    <n v="7"/>
    <s v="Van"/>
    <n v="67.3"/>
    <n v="1677"/>
    <n v="3"/>
    <n v="1"/>
    <x v="0"/>
    <x v="2"/>
    <n v="37695"/>
    <n v="3.9"/>
    <n v="5"/>
    <x v="1"/>
    <n v="3.47"/>
    <s v="High"/>
  </r>
  <r>
    <x v="4"/>
    <s v="Model 3"/>
    <x v="0"/>
    <s v="Standard"/>
    <n v="106795.24"/>
    <n v="45.7"/>
    <n v="163"/>
    <n v="310.7"/>
    <n v="5.09"/>
    <n v="178"/>
    <n v="739"/>
    <n v="638"/>
    <s v="RWD"/>
    <n v="5"/>
    <s v="Van"/>
    <n v="66.8"/>
    <n v="1724"/>
    <n v="5"/>
    <n v="3"/>
    <x v="2"/>
    <x v="0"/>
    <n v="212365"/>
    <n v="3.6"/>
    <n v="5"/>
    <x v="1"/>
    <n v="3.57"/>
    <s v="High"/>
  </r>
  <r>
    <x v="0"/>
    <s v="ID. Aero"/>
    <x v="3"/>
    <s v="Long Range"/>
    <n v="92182.9"/>
    <n v="103.2"/>
    <n v="359"/>
    <n v="69.2"/>
    <n v="4.2"/>
    <n v="194"/>
    <n v="1000"/>
    <n v="910"/>
    <s v="FWD"/>
    <n v="5"/>
    <s v="Sedan"/>
    <n v="20.9"/>
    <n v="1549"/>
    <n v="5"/>
    <n v="0"/>
    <x v="0"/>
    <x v="2"/>
    <n v="254291"/>
    <n v="3.6"/>
    <n v="3"/>
    <x v="1"/>
    <n v="3.48"/>
    <s v="High"/>
  </r>
  <r>
    <x v="9"/>
    <s v="Explorer EV"/>
    <x v="3"/>
    <s v="Base"/>
    <n v="31805.75"/>
    <n v="48.6"/>
    <n v="157"/>
    <n v="114.5"/>
    <n v="5.16"/>
    <n v="168"/>
    <n v="188"/>
    <n v="200"/>
    <s v="RWD"/>
    <n v="5"/>
    <s v="Truck"/>
    <n v="74.5"/>
    <n v="2587"/>
    <n v="4"/>
    <n v="0"/>
    <x v="2"/>
    <x v="3"/>
    <n v="49546"/>
    <n v="3.2"/>
    <n v="3"/>
    <x v="1"/>
    <n v="3.23"/>
    <s v="High"/>
  </r>
  <r>
    <x v="4"/>
    <s v="Model S"/>
    <x v="0"/>
    <s v="Premium"/>
    <n v="64307.39"/>
    <n v="44.8"/>
    <n v="171"/>
    <n v="301.60000000000002"/>
    <n v="6.85"/>
    <n v="147"/>
    <n v="475"/>
    <n v="444"/>
    <s v="RWD"/>
    <n v="7"/>
    <s v="Hatchback"/>
    <n v="22.8"/>
    <n v="1754"/>
    <n v="4"/>
    <n v="2"/>
    <x v="2"/>
    <x v="1"/>
    <n v="138801"/>
    <n v="3.7"/>
    <n v="5"/>
    <x v="1"/>
    <n v="3.82"/>
    <s v="High"/>
  </r>
  <r>
    <x v="7"/>
    <s v="Max"/>
    <x v="0"/>
    <s v="Long Range"/>
    <n v="99850.08"/>
    <n v="105.9"/>
    <n v="400"/>
    <n v="137"/>
    <n v="5.55"/>
    <n v="171"/>
    <n v="1000"/>
    <n v="900"/>
    <s v="FWD"/>
    <n v="7"/>
    <s v="Truck"/>
    <n v="70.3"/>
    <n v="2608"/>
    <n v="5"/>
    <n v="0"/>
    <x v="4"/>
    <x v="2"/>
    <n v="207644"/>
    <n v="3.7"/>
    <n v="3"/>
    <x v="1"/>
    <n v="3.78"/>
    <s v="High"/>
  </r>
  <r>
    <x v="2"/>
    <s v="Blazer EV"/>
    <x v="2"/>
    <s v="Premium"/>
    <n v="70082.06"/>
    <n v="42.6"/>
    <n v="156"/>
    <n v="68.7"/>
    <n v="5.71"/>
    <n v="161"/>
    <n v="940"/>
    <n v="844"/>
    <s v="AWD"/>
    <n v="7"/>
    <s v="Hatchback"/>
    <n v="27.2"/>
    <n v="1500"/>
    <n v="5"/>
    <n v="1"/>
    <x v="2"/>
    <x v="2"/>
    <n v="20253"/>
    <n v="3.1"/>
    <n v="3"/>
    <x v="1"/>
    <n v="3.66"/>
    <s v="High"/>
  </r>
  <r>
    <x v="2"/>
    <s v="Silverado EV"/>
    <x v="2"/>
    <s v="Standard"/>
    <n v="61767.69"/>
    <n v="48"/>
    <n v="161"/>
    <n v="76.8"/>
    <n v="6.23"/>
    <n v="155"/>
    <n v="875"/>
    <n v="799"/>
    <s v="FWD"/>
    <n v="7"/>
    <s v="SUV"/>
    <n v="55.2"/>
    <n v="1989"/>
    <n v="4"/>
    <n v="0"/>
    <x v="2"/>
    <x v="1"/>
    <n v="27695"/>
    <n v="3.1"/>
    <n v="4"/>
    <x v="1"/>
    <n v="3.35"/>
    <s v="High"/>
  </r>
  <r>
    <x v="10"/>
    <s v="i4"/>
    <x v="1"/>
    <s v="Base"/>
    <n v="87727.18"/>
    <n v="75.099999999999994"/>
    <n v="238"/>
    <n v="96.5"/>
    <n v="6.69"/>
    <n v="150"/>
    <n v="650"/>
    <n v="644"/>
    <s v="FWD"/>
    <n v="7"/>
    <s v="Van"/>
    <n v="79.900000000000006"/>
    <n v="1500"/>
    <n v="5"/>
    <n v="1"/>
    <x v="0"/>
    <x v="2"/>
    <n v="35030"/>
    <n v="3.4"/>
    <n v="6"/>
    <x v="1"/>
    <n v="3.17"/>
    <s v="High"/>
  </r>
  <r>
    <x v="2"/>
    <s v="Bolt EUV"/>
    <x v="3"/>
    <s v="Standard"/>
    <n v="29502.2"/>
    <n v="67.8"/>
    <n v="248"/>
    <n v="100"/>
    <n v="7.13"/>
    <n v="142"/>
    <n v="218"/>
    <n v="200"/>
    <s v="RWD"/>
    <n v="7"/>
    <s v="Hatchback"/>
    <n v="37.700000000000003"/>
    <n v="1722"/>
    <n v="4"/>
    <n v="1"/>
    <x v="2"/>
    <x v="3"/>
    <n v="19509"/>
    <n v="3.5"/>
    <n v="3"/>
    <x v="2"/>
    <n v="3.66"/>
    <s v="Medium"/>
  </r>
  <r>
    <x v="3"/>
    <s v="EV6"/>
    <x v="5"/>
    <s v="Premium"/>
    <n v="81787.56"/>
    <n v="61.8"/>
    <n v="200"/>
    <n v="101.7"/>
    <n v="5.15"/>
    <n v="173"/>
    <n v="967"/>
    <n v="895"/>
    <s v="RWD"/>
    <n v="7"/>
    <s v="Coupe"/>
    <n v="19.8"/>
    <n v="1500"/>
    <n v="3"/>
    <n v="0"/>
    <x v="3"/>
    <x v="2"/>
    <n v="103637"/>
    <n v="3.3"/>
    <n v="4"/>
    <x v="1"/>
    <n v="3.24"/>
    <s v="High"/>
  </r>
  <r>
    <x v="7"/>
    <s v="Atto 3"/>
    <x v="3"/>
    <s v="Performance"/>
    <n v="94900.11"/>
    <n v="105.2"/>
    <n v="381"/>
    <n v="214.4"/>
    <n v="3.93"/>
    <n v="190"/>
    <n v="1000"/>
    <n v="907"/>
    <s v="AWD"/>
    <n v="5"/>
    <s v="Hatchback"/>
    <n v="25.2"/>
    <n v="1500"/>
    <n v="5"/>
    <n v="0"/>
    <x v="4"/>
    <x v="2"/>
    <n v="172031"/>
    <n v="3.9"/>
    <n v="3"/>
    <x v="0"/>
    <n v="3.62"/>
    <s v="High"/>
  </r>
  <r>
    <x v="7"/>
    <s v="Max"/>
    <x v="5"/>
    <s v="Standard"/>
    <n v="76922.710000000006"/>
    <n v="71.2"/>
    <n v="254"/>
    <n v="114.7"/>
    <n v="7.54"/>
    <n v="139"/>
    <n v="885"/>
    <n v="732"/>
    <s v="RWD"/>
    <n v="5"/>
    <s v="Truck"/>
    <n v="72.8"/>
    <n v="2840"/>
    <n v="5"/>
    <n v="0"/>
    <x v="4"/>
    <x v="2"/>
    <n v="121433"/>
    <n v="3.4"/>
    <n v="4"/>
    <x v="2"/>
    <n v="3.57"/>
    <s v="High"/>
  </r>
  <r>
    <x v="4"/>
    <s v="Model 3"/>
    <x v="2"/>
    <s v="Premium"/>
    <n v="173467.44"/>
    <n v="42.9"/>
    <n v="150"/>
    <n v="236.8"/>
    <n v="5.49"/>
    <n v="180"/>
    <n v="1000"/>
    <n v="906"/>
    <s v="AWD"/>
    <n v="5"/>
    <s v="Hatchback"/>
    <n v="15.4"/>
    <n v="2086"/>
    <n v="4"/>
    <n v="2"/>
    <x v="2"/>
    <x v="0"/>
    <n v="241741"/>
    <n v="3.8"/>
    <n v="5"/>
    <x v="1"/>
    <n v="3.5"/>
    <s v="High"/>
  </r>
  <r>
    <x v="11"/>
    <s v="Q6 e-tron"/>
    <x v="2"/>
    <s v="Premium"/>
    <n v="105361.9"/>
    <n v="71.8"/>
    <n v="263"/>
    <n v="52.5"/>
    <n v="7.12"/>
    <n v="144"/>
    <n v="753"/>
    <n v="661"/>
    <s v="FWD"/>
    <n v="5"/>
    <s v="Coupe"/>
    <n v="39.5"/>
    <n v="1500"/>
    <n v="5"/>
    <n v="2"/>
    <x v="0"/>
    <x v="0"/>
    <n v="22361"/>
    <n v="3.6"/>
    <n v="7"/>
    <x v="2"/>
    <n v="3.66"/>
    <s v="High"/>
  </r>
  <r>
    <x v="3"/>
    <s v="Picanto EV"/>
    <x v="1"/>
    <s v="Standard"/>
    <n v="39229.86"/>
    <n v="42.7"/>
    <n v="154"/>
    <n v="100.5"/>
    <n v="5.09"/>
    <n v="170"/>
    <n v="325"/>
    <n v="298"/>
    <s v="FWD"/>
    <n v="5"/>
    <s v="Hatchback"/>
    <n v="18"/>
    <n v="1570"/>
    <n v="4"/>
    <n v="0"/>
    <x v="3"/>
    <x v="1"/>
    <n v="92917"/>
    <n v="3"/>
    <n v="4"/>
    <x v="1"/>
    <n v="3.61"/>
    <s v="High"/>
  </r>
  <r>
    <x v="0"/>
    <s v="ID.5"/>
    <x v="1"/>
    <s v="Premium"/>
    <n v="90567.3"/>
    <n v="69.5"/>
    <n v="208"/>
    <n v="142"/>
    <n v="6.59"/>
    <n v="147"/>
    <n v="1000"/>
    <n v="914"/>
    <s v="AWD"/>
    <n v="5"/>
    <s v="Truck"/>
    <n v="74"/>
    <n v="2426"/>
    <n v="5"/>
    <n v="0"/>
    <x v="0"/>
    <x v="2"/>
    <n v="266134"/>
    <n v="3.3"/>
    <n v="4"/>
    <x v="1"/>
    <n v="2.99"/>
    <s v="High"/>
  </r>
  <r>
    <x v="8"/>
    <s v="Ioniq"/>
    <x v="3"/>
    <s v="Performance"/>
    <n v="95402.2"/>
    <n v="91.6"/>
    <n v="321"/>
    <n v="184.8"/>
    <n v="4.4400000000000004"/>
    <n v="187"/>
    <n v="1000"/>
    <n v="888"/>
    <s v="AWD"/>
    <n v="7"/>
    <s v="Coupe"/>
    <n v="25.2"/>
    <n v="1627"/>
    <n v="4"/>
    <n v="1"/>
    <x v="3"/>
    <x v="2"/>
    <n v="124589"/>
    <n v="3.9"/>
    <n v="4"/>
    <x v="1"/>
    <n v="3.5"/>
    <s v="High"/>
  </r>
  <r>
    <x v="1"/>
    <s v="bZ Compact SUV"/>
    <x v="3"/>
    <s v="Long Range"/>
    <n v="84185.72"/>
    <n v="103.8"/>
    <n v="377"/>
    <n v="121.9"/>
    <n v="5.79"/>
    <n v="165"/>
    <n v="1000"/>
    <n v="868"/>
    <s v="FWD"/>
    <n v="5"/>
    <s v="SUV"/>
    <n v="60.4"/>
    <n v="1969"/>
    <n v="5"/>
    <n v="1"/>
    <x v="1"/>
    <x v="2"/>
    <n v="15914"/>
    <n v="3.9"/>
    <n v="4"/>
    <x v="1"/>
    <n v="3.63"/>
    <s v="Medium"/>
  </r>
  <r>
    <x v="4"/>
    <s v="Model Y"/>
    <x v="5"/>
    <s v="Standard"/>
    <n v="131838.32999999999"/>
    <n v="68.900000000000006"/>
    <n v="241"/>
    <n v="340.8"/>
    <n v="6.65"/>
    <n v="152"/>
    <n v="1000"/>
    <n v="923"/>
    <s v="FWD"/>
    <n v="7"/>
    <s v="Sedan"/>
    <n v="31.8"/>
    <n v="1541"/>
    <n v="5"/>
    <n v="2"/>
    <x v="2"/>
    <x v="0"/>
    <n v="410211"/>
    <n v="3.8"/>
    <n v="5"/>
    <x v="1"/>
    <n v="3.5"/>
    <s v="High"/>
  </r>
  <r>
    <x v="3"/>
    <s v="EV9"/>
    <x v="2"/>
    <s v="Base"/>
    <n v="36206.519999999997"/>
    <n v="53.7"/>
    <n v="182"/>
    <n v="132.1"/>
    <n v="6.92"/>
    <n v="143"/>
    <n v="296"/>
    <n v="296"/>
    <s v="AWD"/>
    <n v="7"/>
    <s v="SUV"/>
    <n v="60.1"/>
    <n v="2343"/>
    <n v="4"/>
    <n v="0"/>
    <x v="3"/>
    <x v="1"/>
    <n v="96649"/>
    <n v="3.2"/>
    <n v="5"/>
    <x v="1"/>
    <n v="3.39"/>
    <s v="High"/>
  </r>
  <r>
    <x v="8"/>
    <s v="Ioniq 5"/>
    <x v="5"/>
    <s v="Standard"/>
    <n v="60217.03"/>
    <n v="73.900000000000006"/>
    <n v="251"/>
    <n v="102.4"/>
    <n v="6.68"/>
    <n v="159"/>
    <n v="721"/>
    <n v="665"/>
    <s v="FWD"/>
    <n v="5"/>
    <s v="SUV"/>
    <n v="41.2"/>
    <n v="2085"/>
    <n v="4"/>
    <n v="0"/>
    <x v="3"/>
    <x v="1"/>
    <n v="83698"/>
    <n v="3.2"/>
    <n v="5"/>
    <x v="1"/>
    <n v="3.4"/>
    <s v="High"/>
  </r>
  <r>
    <x v="3"/>
    <s v="Sportage EV"/>
    <x v="3"/>
    <s v="Premium"/>
    <n v="76146.100000000006"/>
    <n v="42.4"/>
    <n v="175"/>
    <n v="62.2"/>
    <n v="7.08"/>
    <n v="146"/>
    <n v="931"/>
    <n v="831"/>
    <s v="FWD"/>
    <n v="5"/>
    <s v="SUV"/>
    <n v="46.6"/>
    <n v="1980"/>
    <n v="4"/>
    <n v="0"/>
    <x v="3"/>
    <x v="2"/>
    <n v="86432"/>
    <n v="3.4"/>
    <n v="5"/>
    <x v="2"/>
    <n v="4.13"/>
    <s v="High"/>
  </r>
  <r>
    <x v="4"/>
    <s v="Model 3"/>
    <x v="2"/>
    <s v="Premium"/>
    <n v="92300.78"/>
    <n v="48.8"/>
    <n v="173"/>
    <n v="313.2"/>
    <n v="7.14"/>
    <n v="146"/>
    <n v="654"/>
    <n v="617"/>
    <s v="RWD"/>
    <n v="7"/>
    <s v="Hatchback"/>
    <n v="32.1"/>
    <n v="1604"/>
    <n v="5"/>
    <n v="3"/>
    <x v="2"/>
    <x v="2"/>
    <n v="249410"/>
    <n v="3.5"/>
    <n v="6"/>
    <x v="2"/>
    <n v="3.55"/>
    <s v="High"/>
  </r>
  <r>
    <x v="5"/>
    <s v="GLE EV"/>
    <x v="3"/>
    <s v="Premium"/>
    <n v="158316.82999999999"/>
    <n v="76"/>
    <n v="241"/>
    <n v="96.3"/>
    <n v="5.44"/>
    <n v="164"/>
    <n v="1000"/>
    <n v="889"/>
    <s v="AWD"/>
    <n v="5"/>
    <s v="Van"/>
    <n v="73.7"/>
    <n v="1882"/>
    <n v="5"/>
    <n v="2"/>
    <x v="0"/>
    <x v="0"/>
    <n v="22636"/>
    <n v="3.8"/>
    <n v="6"/>
    <x v="1"/>
    <n v="3.17"/>
    <s v="High"/>
  </r>
  <r>
    <x v="13"/>
    <s v="R3"/>
    <x v="3"/>
    <s v="Performance"/>
    <n v="109164.41"/>
    <n v="79.599999999999994"/>
    <n v="288"/>
    <n v="191.9"/>
    <n v="3.34"/>
    <n v="197"/>
    <n v="1000"/>
    <n v="857"/>
    <s v="AWD"/>
    <n v="5"/>
    <s v="Hatchback"/>
    <n v="39.1"/>
    <n v="1853"/>
    <n v="5"/>
    <n v="1"/>
    <x v="2"/>
    <x v="0"/>
    <n v="19234"/>
    <n v="3.8"/>
    <n v="4"/>
    <x v="0"/>
    <n v="3.62"/>
    <s v="Medium"/>
  </r>
  <r>
    <x v="3"/>
    <s v="Niro EV"/>
    <x v="3"/>
    <s v="Premium"/>
    <n v="108567.95"/>
    <n v="56.3"/>
    <n v="197"/>
    <n v="122.5"/>
    <n v="5.25"/>
    <n v="165"/>
    <n v="1000"/>
    <n v="911"/>
    <s v="AWD"/>
    <n v="7"/>
    <s v="Van"/>
    <n v="74.400000000000006"/>
    <n v="1655"/>
    <n v="4"/>
    <n v="0"/>
    <x v="3"/>
    <x v="0"/>
    <n v="139588"/>
    <n v="3.6"/>
    <n v="4"/>
    <x v="1"/>
    <n v="3.5"/>
    <s v="High"/>
  </r>
  <r>
    <x v="2"/>
    <s v="Silverado EV"/>
    <x v="2"/>
    <s v="Base"/>
    <n v="33469.379999999997"/>
    <n v="55.2"/>
    <n v="198"/>
    <n v="50.6"/>
    <n v="7.96"/>
    <n v="130"/>
    <n v="287"/>
    <n v="257"/>
    <s v="FWD"/>
    <n v="5"/>
    <s v="SUV"/>
    <n v="57.3"/>
    <n v="2124"/>
    <n v="4"/>
    <n v="0"/>
    <x v="2"/>
    <x v="3"/>
    <n v="2373"/>
    <n v="3.3"/>
    <n v="3"/>
    <x v="2"/>
    <n v="3.59"/>
    <s v="Low"/>
  </r>
  <r>
    <x v="13"/>
    <s v="R3"/>
    <x v="3"/>
    <s v="Base"/>
    <n v="79068.679999999993"/>
    <n v="62.9"/>
    <n v="236"/>
    <n v="98.4"/>
    <n v="7.54"/>
    <n v="146"/>
    <n v="668"/>
    <n v="618"/>
    <s v="RWD"/>
    <n v="5"/>
    <s v="SUV"/>
    <n v="53.7"/>
    <n v="1833"/>
    <n v="5"/>
    <n v="2"/>
    <x v="2"/>
    <x v="2"/>
    <n v="25139"/>
    <n v="3.3"/>
    <n v="4"/>
    <x v="2"/>
    <n v="3.75"/>
    <s v="High"/>
  </r>
  <r>
    <x v="2"/>
    <s v="Bolt EV"/>
    <x v="0"/>
    <s v="Base"/>
    <n v="59074.75"/>
    <n v="54.5"/>
    <n v="198"/>
    <n v="119.9"/>
    <n v="6.02"/>
    <n v="163"/>
    <n v="760"/>
    <n v="681"/>
    <s v="AWD"/>
    <n v="7"/>
    <s v="Coupe"/>
    <n v="20.5"/>
    <n v="1586"/>
    <n v="4"/>
    <n v="0"/>
    <x v="2"/>
    <x v="1"/>
    <n v="15584"/>
    <n v="3.3"/>
    <n v="4"/>
    <x v="1"/>
    <n v="3.63"/>
    <s v="Medium"/>
  </r>
  <r>
    <x v="4"/>
    <s v="Model 3"/>
    <x v="3"/>
    <s v="Base"/>
    <n v="38136.97"/>
    <n v="76"/>
    <n v="284"/>
    <n v="200.7"/>
    <n v="7.25"/>
    <n v="142"/>
    <n v="219"/>
    <n v="232"/>
    <s v="FWD"/>
    <n v="7"/>
    <s v="Sedan"/>
    <n v="37.299999999999997"/>
    <n v="1674"/>
    <n v="5"/>
    <n v="2"/>
    <x v="2"/>
    <x v="1"/>
    <n v="113015"/>
    <n v="3.9"/>
    <n v="5"/>
    <x v="2"/>
    <n v="3.74"/>
    <s v="High"/>
  </r>
  <r>
    <x v="3"/>
    <s v="Sportage EV"/>
    <x v="2"/>
    <s v="Premium"/>
    <n v="72898.84"/>
    <n v="65.7"/>
    <n v="244"/>
    <n v="77.2"/>
    <n v="5.44"/>
    <n v="172"/>
    <n v="843"/>
    <n v="702"/>
    <s v="AWD"/>
    <n v="5"/>
    <s v="SUV"/>
    <n v="36.9"/>
    <n v="1586"/>
    <n v="5"/>
    <n v="0"/>
    <x v="3"/>
    <x v="2"/>
    <n v="78422"/>
    <n v="3.5"/>
    <n v="5"/>
    <x v="1"/>
    <n v="3.71"/>
    <s v="High"/>
  </r>
  <r>
    <x v="3"/>
    <s v="Sportage EV"/>
    <x v="5"/>
    <s v="Base"/>
    <n v="72429.61"/>
    <n v="64.2"/>
    <n v="178"/>
    <n v="50.8"/>
    <n v="6.33"/>
    <n v="153"/>
    <n v="877"/>
    <n v="756"/>
    <s v="RWD"/>
    <n v="5"/>
    <s v="SUV"/>
    <n v="46.5"/>
    <n v="1686"/>
    <n v="5"/>
    <n v="0"/>
    <x v="3"/>
    <x v="2"/>
    <n v="52716"/>
    <n v="3"/>
    <n v="4"/>
    <x v="1"/>
    <n v="2.77"/>
    <s v="High"/>
  </r>
  <r>
    <x v="0"/>
    <s v="ID. Aero"/>
    <x v="2"/>
    <s v="Performance"/>
    <n v="90339.09"/>
    <n v="78.099999999999994"/>
    <n v="263"/>
    <n v="193.1"/>
    <n v="4.3600000000000003"/>
    <n v="181"/>
    <n v="986"/>
    <n v="890"/>
    <s v="AWD"/>
    <n v="5"/>
    <s v="SUV"/>
    <n v="50.4"/>
    <n v="2218"/>
    <n v="4"/>
    <n v="0"/>
    <x v="0"/>
    <x v="2"/>
    <n v="202441"/>
    <n v="3.2"/>
    <n v="3"/>
    <x v="1"/>
    <n v="3.37"/>
    <s v="High"/>
  </r>
  <r>
    <x v="2"/>
    <s v="Bolt EUV"/>
    <x v="2"/>
    <s v="Standard"/>
    <n v="57794.12"/>
    <n v="67.8"/>
    <n v="255"/>
    <n v="120.9"/>
    <n v="7.67"/>
    <n v="135"/>
    <n v="696"/>
    <n v="587"/>
    <s v="FWD"/>
    <n v="7"/>
    <s v="Truck"/>
    <n v="51"/>
    <n v="2854"/>
    <n v="5"/>
    <n v="1"/>
    <x v="2"/>
    <x v="1"/>
    <n v="28957"/>
    <n v="3.2"/>
    <n v="4"/>
    <x v="2"/>
    <n v="3.76"/>
    <s v="High"/>
  </r>
  <r>
    <x v="12"/>
    <s v="EL6"/>
    <x v="2"/>
    <s v="Long Range"/>
    <n v="99775.41"/>
    <n v="109.9"/>
    <n v="380"/>
    <n v="65.599999999999994"/>
    <n v="5.18"/>
    <n v="171"/>
    <n v="958"/>
    <n v="836"/>
    <s v="RWD"/>
    <n v="5"/>
    <s v="SUV"/>
    <n v="63.5"/>
    <n v="1845"/>
    <n v="4"/>
    <n v="2"/>
    <x v="4"/>
    <x v="2"/>
    <n v="27479"/>
    <n v="3.6"/>
    <n v="4"/>
    <x v="1"/>
    <n v="3.46"/>
    <s v="High"/>
  </r>
  <r>
    <x v="13"/>
    <s v="R2"/>
    <x v="5"/>
    <s v="Long Range"/>
    <n v="98562.96"/>
    <n v="97.1"/>
    <n v="316"/>
    <n v="50.1"/>
    <n v="5.61"/>
    <n v="160"/>
    <n v="1000"/>
    <n v="952"/>
    <s v="AWD"/>
    <n v="7"/>
    <s v="SUV"/>
    <n v="58.8"/>
    <n v="2158"/>
    <n v="3"/>
    <n v="0"/>
    <x v="2"/>
    <x v="2"/>
    <n v="20133"/>
    <n v="3.7"/>
    <n v="6"/>
    <x v="1"/>
    <n v="3.25"/>
    <s v="High"/>
  </r>
  <r>
    <x v="0"/>
    <s v="ID. Buzz"/>
    <x v="3"/>
    <s v="Premium"/>
    <n v="45327.13"/>
    <n v="67.8"/>
    <n v="261"/>
    <n v="127.3"/>
    <n v="7.88"/>
    <n v="132"/>
    <n v="357"/>
    <n v="330"/>
    <s v="AWD"/>
    <n v="5"/>
    <s v="Coupe"/>
    <n v="20.5"/>
    <n v="1619"/>
    <n v="4"/>
    <n v="0"/>
    <x v="0"/>
    <x v="1"/>
    <n v="299882"/>
    <n v="3.6"/>
    <n v="3"/>
    <x v="2"/>
    <n v="3.85"/>
    <s v="High"/>
  </r>
  <r>
    <x v="4"/>
    <s v="Model Y"/>
    <x v="0"/>
    <s v="Standard"/>
    <n v="100758.31"/>
    <n v="46"/>
    <n v="171"/>
    <n v="297.7"/>
    <n v="5.13"/>
    <n v="175"/>
    <n v="786"/>
    <n v="685"/>
    <s v="RWD"/>
    <n v="7"/>
    <s v="SUV"/>
    <n v="47.3"/>
    <n v="1900"/>
    <n v="5"/>
    <n v="2"/>
    <x v="2"/>
    <x v="0"/>
    <n v="472436"/>
    <n v="3.4"/>
    <n v="4"/>
    <x v="1"/>
    <n v="3.72"/>
    <s v="High"/>
  </r>
  <r>
    <x v="14"/>
    <s v="Macan Electric"/>
    <x v="3"/>
    <s v="Standard"/>
    <n v="185796.61"/>
    <n v="78.099999999999994"/>
    <n v="296"/>
    <n v="229"/>
    <n v="6.69"/>
    <n v="148"/>
    <n v="990"/>
    <n v="873"/>
    <s v="AWD"/>
    <n v="7"/>
    <s v="Coupe"/>
    <n v="17.2"/>
    <n v="1665"/>
    <n v="4"/>
    <n v="0"/>
    <x v="0"/>
    <x v="0"/>
    <n v="21608"/>
    <n v="3.9"/>
    <n v="6"/>
    <x v="1"/>
    <n v="3.79"/>
    <s v="High"/>
  </r>
  <r>
    <x v="5"/>
    <s v="EQG"/>
    <x v="3"/>
    <s v="Long Range"/>
    <n v="94596.53"/>
    <n v="77.5"/>
    <n v="267"/>
    <n v="149.80000000000001"/>
    <n v="4.8600000000000003"/>
    <n v="167"/>
    <n v="486"/>
    <n v="470"/>
    <s v="AWD"/>
    <n v="5"/>
    <s v="Coupe"/>
    <n v="31.6"/>
    <n v="1500"/>
    <n v="5"/>
    <n v="2"/>
    <x v="0"/>
    <x v="2"/>
    <n v="48573"/>
    <n v="3.8"/>
    <n v="5"/>
    <x v="1"/>
    <n v="3.45"/>
    <s v="High"/>
  </r>
  <r>
    <x v="4"/>
    <s v="Model S"/>
    <x v="4"/>
    <s v="Premium"/>
    <n v="108109.05"/>
    <n v="82.6"/>
    <n v="273"/>
    <n v="272.2"/>
    <n v="7.76"/>
    <n v="128"/>
    <n v="740"/>
    <n v="654"/>
    <s v="AWD"/>
    <n v="5"/>
    <s v="Van"/>
    <n v="65.7"/>
    <n v="1524"/>
    <n v="4"/>
    <n v="2"/>
    <x v="2"/>
    <x v="0"/>
    <n v="201131"/>
    <n v="3.9"/>
    <n v="5"/>
    <x v="2"/>
    <n v="3.31"/>
    <s v="High"/>
  </r>
  <r>
    <x v="13"/>
    <s v="R2"/>
    <x v="3"/>
    <s v="Base"/>
    <n v="79447.62"/>
    <n v="60.5"/>
    <n v="184"/>
    <n v="86.2"/>
    <n v="5.83"/>
    <n v="158"/>
    <n v="619"/>
    <n v="525"/>
    <s v="AWD"/>
    <n v="7"/>
    <s v="Truck"/>
    <n v="67.2"/>
    <n v="2460"/>
    <n v="5"/>
    <n v="0"/>
    <x v="2"/>
    <x v="2"/>
    <n v="21177"/>
    <n v="3.4"/>
    <n v="5"/>
    <x v="1"/>
    <n v="3.04"/>
    <s v="High"/>
  </r>
  <r>
    <x v="5"/>
    <s v="EQC"/>
    <x v="5"/>
    <s v="Premium"/>
    <n v="151394.73000000001"/>
    <n v="70.8"/>
    <n v="264"/>
    <n v="136.9"/>
    <n v="6.41"/>
    <n v="153"/>
    <n v="1000"/>
    <n v="939"/>
    <s v="AWD"/>
    <n v="5"/>
    <s v="Van"/>
    <n v="60.1"/>
    <n v="1500"/>
    <n v="5"/>
    <n v="1"/>
    <x v="0"/>
    <x v="0"/>
    <n v="37405"/>
    <n v="3.7"/>
    <n v="6"/>
    <x v="1"/>
    <n v="3.73"/>
    <s v="High"/>
  </r>
  <r>
    <x v="8"/>
    <s v="i30"/>
    <x v="3"/>
    <s v="Standard"/>
    <n v="30172.57"/>
    <n v="82.9"/>
    <n v="283"/>
    <n v="111.6"/>
    <n v="7.77"/>
    <n v="137"/>
    <n v="187"/>
    <n v="200"/>
    <s v="FWD"/>
    <n v="5"/>
    <s v="Truck"/>
    <n v="79.5"/>
    <n v="2516"/>
    <n v="3"/>
    <n v="1"/>
    <x v="3"/>
    <x v="3"/>
    <n v="76614"/>
    <n v="3.6"/>
    <n v="3"/>
    <x v="2"/>
    <n v="3.41"/>
    <s v="High"/>
  </r>
  <r>
    <x v="3"/>
    <s v="Niro EV"/>
    <x v="2"/>
    <s v="Performance"/>
    <n v="81763.199999999997"/>
    <n v="89.6"/>
    <n v="319"/>
    <n v="232.9"/>
    <n v="3.7"/>
    <n v="188"/>
    <n v="985"/>
    <n v="960"/>
    <s v="AWD"/>
    <n v="5"/>
    <s v="Coupe"/>
    <n v="25"/>
    <n v="1629"/>
    <n v="4"/>
    <n v="0"/>
    <x v="3"/>
    <x v="2"/>
    <n v="93663"/>
    <n v="3.4"/>
    <n v="3"/>
    <x v="0"/>
    <n v="3.56"/>
    <s v="High"/>
  </r>
  <r>
    <x v="0"/>
    <s v="ID. Buzz"/>
    <x v="5"/>
    <s v="Long Range"/>
    <n v="42399.68"/>
    <n v="101.9"/>
    <n v="356"/>
    <n v="96.8"/>
    <n v="4.99"/>
    <n v="186"/>
    <n v="269"/>
    <n v="207"/>
    <s v="FWD"/>
    <n v="5"/>
    <s v="Hatchback"/>
    <n v="29.9"/>
    <n v="1500"/>
    <n v="4"/>
    <n v="0"/>
    <x v="0"/>
    <x v="1"/>
    <n v="252676"/>
    <n v="3.7"/>
    <n v="5"/>
    <x v="1"/>
    <n v="3.49"/>
    <s v="High"/>
  </r>
  <r>
    <x v="4"/>
    <s v="Model X"/>
    <x v="1"/>
    <s v="Standard"/>
    <n v="98265.87"/>
    <n v="83.7"/>
    <n v="298"/>
    <n v="223.7"/>
    <n v="5.16"/>
    <n v="173"/>
    <n v="717"/>
    <n v="646"/>
    <s v="FWD"/>
    <n v="5"/>
    <s v="Hatchback"/>
    <n v="24.2"/>
    <n v="1500"/>
    <n v="4"/>
    <n v="2"/>
    <x v="2"/>
    <x v="2"/>
    <n v="144367"/>
    <n v="3.6"/>
    <n v="5"/>
    <x v="1"/>
    <n v="3.56"/>
    <s v="High"/>
  </r>
  <r>
    <x v="7"/>
    <s v="Max"/>
    <x v="2"/>
    <s v="Standard"/>
    <n v="70846.850000000006"/>
    <n v="56.4"/>
    <n v="200"/>
    <n v="89"/>
    <n v="6.56"/>
    <n v="161"/>
    <n v="813"/>
    <n v="686"/>
    <s v="AWD"/>
    <n v="7"/>
    <s v="Van"/>
    <n v="60.4"/>
    <n v="1921"/>
    <n v="4"/>
    <n v="0"/>
    <x v="4"/>
    <x v="2"/>
    <n v="234001"/>
    <n v="3.6"/>
    <n v="4"/>
    <x v="1"/>
    <n v="3.55"/>
    <s v="High"/>
  </r>
  <r>
    <x v="9"/>
    <s v="Explorer EV"/>
    <x v="0"/>
    <s v="Performance"/>
    <n v="78508.55"/>
    <n v="73"/>
    <n v="274"/>
    <n v="224.9"/>
    <n v="2.91"/>
    <n v="200"/>
    <n v="915"/>
    <n v="850"/>
    <s v="RWD"/>
    <n v="5"/>
    <s v="Van"/>
    <n v="70.099999999999994"/>
    <n v="1650"/>
    <n v="4"/>
    <n v="1"/>
    <x v="2"/>
    <x v="2"/>
    <n v="51688"/>
    <n v="3.3"/>
    <n v="3"/>
    <x v="0"/>
    <n v="3.75"/>
    <s v="High"/>
  </r>
  <r>
    <x v="4"/>
    <s v="Cybertruck"/>
    <x v="1"/>
    <s v="Premium"/>
    <n v="154962.64000000001"/>
    <n v="53.2"/>
    <n v="157"/>
    <n v="316.3"/>
    <n v="7.79"/>
    <n v="135"/>
    <n v="1000"/>
    <n v="884"/>
    <s v="AWD"/>
    <n v="5"/>
    <s v="Truck"/>
    <n v="78.2"/>
    <n v="1876"/>
    <n v="5"/>
    <n v="2"/>
    <x v="2"/>
    <x v="0"/>
    <n v="148718"/>
    <n v="3.7"/>
    <n v="6"/>
    <x v="2"/>
    <n v="2.95"/>
    <s v="High"/>
  </r>
  <r>
    <x v="7"/>
    <s v="Yuan Plus"/>
    <x v="0"/>
    <s v="Long Range"/>
    <n v="44084.51"/>
    <n v="94"/>
    <n v="330"/>
    <n v="88.8"/>
    <n v="4.32"/>
    <n v="179"/>
    <n v="505"/>
    <n v="466"/>
    <s v="RWD"/>
    <n v="7"/>
    <s v="Coupe"/>
    <n v="29.7"/>
    <n v="1693"/>
    <n v="4"/>
    <n v="1"/>
    <x v="4"/>
    <x v="1"/>
    <n v="187463"/>
    <n v="3.7"/>
    <n v="3"/>
    <x v="1"/>
    <n v="3.51"/>
    <s v="High"/>
  </r>
  <r>
    <x v="0"/>
    <s v="ID.3"/>
    <x v="2"/>
    <s v="Long Range"/>
    <n v="47038.76"/>
    <n v="86.5"/>
    <n v="330"/>
    <n v="108.8"/>
    <n v="4.24"/>
    <n v="194"/>
    <n v="352"/>
    <n v="368"/>
    <s v="RWD"/>
    <n v="7"/>
    <s v="Truck"/>
    <n v="71.8"/>
    <n v="2639"/>
    <n v="5"/>
    <n v="1"/>
    <x v="0"/>
    <x v="1"/>
    <n v="270498"/>
    <n v="3.4"/>
    <n v="3"/>
    <x v="1"/>
    <n v="3.82"/>
    <s v="High"/>
  </r>
  <r>
    <x v="8"/>
    <s v="Ioniq 5"/>
    <x v="3"/>
    <s v="Long Range"/>
    <n v="50915.71"/>
    <n v="81"/>
    <n v="278"/>
    <n v="99.3"/>
    <n v="4.13"/>
    <n v="183"/>
    <n v="517"/>
    <n v="482"/>
    <s v="FWD"/>
    <n v="5"/>
    <s v="Sedan"/>
    <n v="22.8"/>
    <n v="1672"/>
    <n v="3"/>
    <n v="1"/>
    <x v="3"/>
    <x v="1"/>
    <n v="54316"/>
    <n v="3.5"/>
    <n v="5"/>
    <x v="1"/>
    <n v="3.43"/>
    <s v="High"/>
  </r>
  <r>
    <x v="13"/>
    <s v="R1S"/>
    <x v="1"/>
    <s v="Base"/>
    <n v="64347.55"/>
    <n v="45.6"/>
    <n v="150"/>
    <n v="110.6"/>
    <n v="6.54"/>
    <n v="152"/>
    <n v="150"/>
    <n v="200"/>
    <s v="RWD"/>
    <n v="7"/>
    <s v="SUV"/>
    <n v="46.2"/>
    <n v="2128"/>
    <n v="5"/>
    <n v="1"/>
    <x v="2"/>
    <x v="1"/>
    <n v="3522"/>
    <n v="3.3"/>
    <n v="5"/>
    <x v="1"/>
    <n v="3.29"/>
    <s v="Low"/>
  </r>
  <r>
    <x v="7"/>
    <s v="Atto 3"/>
    <x v="1"/>
    <s v="Base"/>
    <n v="21384.75"/>
    <n v="62.9"/>
    <n v="201"/>
    <n v="67.5"/>
    <n v="6.88"/>
    <n v="146"/>
    <n v="173"/>
    <n v="200"/>
    <s v="RWD"/>
    <n v="5"/>
    <s v="Hatchback"/>
    <n v="37.1"/>
    <n v="1781"/>
    <n v="5"/>
    <n v="0"/>
    <x v="4"/>
    <x v="3"/>
    <n v="233873"/>
    <n v="3.3"/>
    <n v="3"/>
    <x v="1"/>
    <n v="3.2"/>
    <s v="High"/>
  </r>
  <r>
    <x v="7"/>
    <s v="Atto 3"/>
    <x v="3"/>
    <s v="Long Range"/>
    <n v="99107.520000000004"/>
    <n v="98.9"/>
    <n v="347"/>
    <n v="107.3"/>
    <n v="4.5599999999999996"/>
    <n v="177"/>
    <n v="1000"/>
    <n v="894"/>
    <s v="FWD"/>
    <n v="7"/>
    <s v="Hatchback"/>
    <n v="27.1"/>
    <n v="1842"/>
    <n v="5"/>
    <n v="1"/>
    <x v="4"/>
    <x v="2"/>
    <n v="190865"/>
    <n v="3.3"/>
    <n v="3"/>
    <x v="1"/>
    <n v="3.51"/>
    <s v="High"/>
  </r>
  <r>
    <x v="2"/>
    <s v="Bolt EV"/>
    <x v="3"/>
    <s v="Base"/>
    <n v="60512.959999999999"/>
    <n v="58.6"/>
    <n v="258"/>
    <n v="69.400000000000006"/>
    <n v="7.07"/>
    <n v="146"/>
    <n v="780"/>
    <n v="691"/>
    <s v="AWD"/>
    <n v="7"/>
    <s v="Hatchback"/>
    <n v="24.1"/>
    <n v="1720"/>
    <n v="5"/>
    <n v="0"/>
    <x v="2"/>
    <x v="1"/>
    <n v="12934"/>
    <n v="3.4"/>
    <n v="5"/>
    <x v="2"/>
    <n v="4.4000000000000004"/>
    <s v="Medium"/>
  </r>
  <r>
    <x v="0"/>
    <s v="ID.5"/>
    <x v="0"/>
    <s v="Performance"/>
    <n v="64071.199999999997"/>
    <n v="77.7"/>
    <n v="297"/>
    <n v="179.6"/>
    <n v="4.0199999999999996"/>
    <n v="191"/>
    <n v="682"/>
    <n v="641"/>
    <s v="RWD"/>
    <n v="5"/>
    <s v="Coupe"/>
    <n v="38.700000000000003"/>
    <n v="1826"/>
    <n v="3"/>
    <n v="0"/>
    <x v="0"/>
    <x v="1"/>
    <n v="290103"/>
    <n v="3.7"/>
    <n v="5"/>
    <x v="1"/>
    <n v="3.82"/>
    <s v="High"/>
  </r>
  <r>
    <x v="7"/>
    <s v="Atto 3"/>
    <x v="5"/>
    <s v="Performance"/>
    <n v="31933.47"/>
    <n v="119.9"/>
    <n v="430"/>
    <n v="171.3"/>
    <n v="2.71"/>
    <n v="200"/>
    <n v="363"/>
    <n v="329"/>
    <s v="RWD"/>
    <n v="7"/>
    <s v="Coupe"/>
    <n v="20.7"/>
    <n v="1500"/>
    <n v="3"/>
    <n v="0"/>
    <x v="4"/>
    <x v="3"/>
    <n v="219100"/>
    <n v="4.2"/>
    <n v="5"/>
    <x v="0"/>
    <n v="3.59"/>
    <s v="High"/>
  </r>
  <r>
    <x v="0"/>
    <s v="ID.3"/>
    <x v="5"/>
    <s v="Standard"/>
    <n v="33483.919999999998"/>
    <n v="82.6"/>
    <n v="293"/>
    <n v="136.4"/>
    <n v="6.02"/>
    <n v="160"/>
    <n v="201"/>
    <n v="200"/>
    <s v="AWD"/>
    <n v="5"/>
    <s v="Truck"/>
    <n v="53.2"/>
    <n v="2437"/>
    <n v="5"/>
    <n v="0"/>
    <x v="0"/>
    <x v="3"/>
    <n v="207337"/>
    <n v="3.6"/>
    <n v="5"/>
    <x v="1"/>
    <n v="3.55"/>
    <s v="High"/>
  </r>
  <r>
    <x v="4"/>
    <s v="Model S"/>
    <x v="3"/>
    <s v="Performance"/>
    <n v="68593.72"/>
    <n v="107.6"/>
    <n v="361"/>
    <n v="209.3"/>
    <n v="4.22"/>
    <n v="192"/>
    <n v="452"/>
    <n v="389"/>
    <s v="FWD"/>
    <n v="7"/>
    <s v="Coupe"/>
    <n v="33.5"/>
    <n v="1685"/>
    <n v="5"/>
    <n v="3"/>
    <x v="2"/>
    <x v="2"/>
    <n v="245974"/>
    <n v="4.2"/>
    <n v="5"/>
    <x v="1"/>
    <n v="3.36"/>
    <s v="High"/>
  </r>
  <r>
    <x v="4"/>
    <s v="Cybertruck"/>
    <x v="3"/>
    <s v="Standard"/>
    <n v="61013.48"/>
    <n v="45.2"/>
    <n v="156"/>
    <n v="307"/>
    <n v="6.71"/>
    <n v="151"/>
    <n v="429"/>
    <n v="358"/>
    <s v="FWD"/>
    <n v="7"/>
    <s v="Truck"/>
    <n v="52.1"/>
    <n v="2708"/>
    <n v="3"/>
    <n v="2"/>
    <x v="2"/>
    <x v="1"/>
    <n v="132800"/>
    <n v="3.4"/>
    <n v="5"/>
    <x v="1"/>
    <n v="3.45"/>
    <s v="High"/>
  </r>
  <r>
    <x v="8"/>
    <s v="Ioniq 5"/>
    <x v="3"/>
    <s v="Base"/>
    <n v="68602.240000000005"/>
    <n v="75.7"/>
    <n v="260"/>
    <n v="70.099999999999994"/>
    <n v="5.05"/>
    <n v="164"/>
    <n v="815"/>
    <n v="690"/>
    <s v="FWD"/>
    <n v="7"/>
    <s v="SUV"/>
    <n v="60.5"/>
    <n v="2317"/>
    <n v="5"/>
    <n v="0"/>
    <x v="3"/>
    <x v="2"/>
    <n v="109721"/>
    <n v="3.3"/>
    <n v="5"/>
    <x v="1"/>
    <n v="3.43"/>
    <s v="High"/>
  </r>
  <r>
    <x v="0"/>
    <s v="ID. Aero"/>
    <x v="4"/>
    <s v="Long Range"/>
    <n v="76214.899999999994"/>
    <n v="92.3"/>
    <n v="348"/>
    <n v="138.4"/>
    <n v="5.53"/>
    <n v="172"/>
    <n v="859"/>
    <n v="782"/>
    <s v="RWD"/>
    <n v="5"/>
    <s v="Truck"/>
    <n v="71.900000000000006"/>
    <n v="2363"/>
    <n v="5"/>
    <n v="2"/>
    <x v="0"/>
    <x v="2"/>
    <n v="249899"/>
    <n v="3.7"/>
    <n v="4"/>
    <x v="1"/>
    <n v="3.77"/>
    <s v="High"/>
  </r>
  <r>
    <x v="13"/>
    <s v="R1S"/>
    <x v="5"/>
    <s v="Premium"/>
    <n v="110739.07"/>
    <n v="48.4"/>
    <n v="163"/>
    <n v="78.5"/>
    <n v="7.01"/>
    <n v="146"/>
    <n v="1000"/>
    <n v="896"/>
    <s v="RWD"/>
    <n v="5"/>
    <s v="Sedan"/>
    <n v="37.6"/>
    <n v="1664"/>
    <n v="5"/>
    <n v="1"/>
    <x v="2"/>
    <x v="0"/>
    <n v="26386"/>
    <n v="3.2"/>
    <n v="6"/>
    <x v="2"/>
    <n v="3.37"/>
    <s v="High"/>
  </r>
  <r>
    <x v="0"/>
    <s v="ID.4"/>
    <x v="2"/>
    <s v="Performance"/>
    <n v="111511.26"/>
    <n v="74.099999999999994"/>
    <n v="241"/>
    <n v="161.6"/>
    <n v="4.29"/>
    <n v="189"/>
    <n v="1000"/>
    <n v="921"/>
    <s v="AWD"/>
    <n v="7"/>
    <s v="Truck"/>
    <n v="57.8"/>
    <n v="2464"/>
    <n v="5"/>
    <n v="0"/>
    <x v="0"/>
    <x v="0"/>
    <n v="230069"/>
    <n v="3.2"/>
    <n v="4"/>
    <x v="1"/>
    <n v="3.25"/>
    <s v="High"/>
  </r>
  <r>
    <x v="3"/>
    <s v="Niro EV"/>
    <x v="3"/>
    <s v="Premium"/>
    <n v="64726.92"/>
    <n v="52.3"/>
    <n v="203"/>
    <n v="95.6"/>
    <n v="7.54"/>
    <n v="136"/>
    <n v="686"/>
    <n v="608"/>
    <s v="RWD"/>
    <n v="5"/>
    <s v="Truck"/>
    <n v="66.3"/>
    <n v="2102"/>
    <n v="5"/>
    <n v="0"/>
    <x v="3"/>
    <x v="1"/>
    <n v="135916"/>
    <n v="3.1"/>
    <n v="4"/>
    <x v="2"/>
    <n v="3.88"/>
    <s v="High"/>
  </r>
  <r>
    <x v="10"/>
    <s v="i7"/>
    <x v="0"/>
    <s v="Base"/>
    <n v="89651.14"/>
    <n v="73.099999999999994"/>
    <n v="249"/>
    <n v="98.1"/>
    <n v="5.68"/>
    <n v="165"/>
    <n v="711"/>
    <n v="632"/>
    <s v="RWD"/>
    <n v="5"/>
    <s v="Truck"/>
    <n v="78.599999999999994"/>
    <n v="2470"/>
    <n v="4"/>
    <n v="1"/>
    <x v="0"/>
    <x v="2"/>
    <n v="72062"/>
    <n v="3.4"/>
    <n v="6"/>
    <x v="1"/>
    <n v="3.41"/>
    <s v="High"/>
  </r>
  <r>
    <x v="4"/>
    <s v="Model 3"/>
    <x v="0"/>
    <s v="Performance"/>
    <n v="125634.38"/>
    <n v="79.599999999999994"/>
    <n v="268"/>
    <n v="325"/>
    <n v="3.23"/>
    <n v="195"/>
    <n v="906"/>
    <n v="862"/>
    <s v="RWD"/>
    <n v="7"/>
    <s v="Hatchback"/>
    <n v="15.1"/>
    <n v="1567"/>
    <n v="5"/>
    <n v="2"/>
    <x v="2"/>
    <x v="0"/>
    <n v="223587"/>
    <n v="3.9"/>
    <n v="4"/>
    <x v="0"/>
    <n v="3.37"/>
    <s v="High"/>
  </r>
  <r>
    <x v="10"/>
    <s v="i3"/>
    <x v="3"/>
    <s v="Base"/>
    <n v="93156.19"/>
    <n v="74.599999999999994"/>
    <n v="254"/>
    <n v="78.5"/>
    <n v="7.38"/>
    <n v="143"/>
    <n v="683"/>
    <n v="632"/>
    <s v="FWD"/>
    <n v="5"/>
    <s v="Van"/>
    <n v="60.1"/>
    <n v="1564"/>
    <n v="4"/>
    <n v="2"/>
    <x v="0"/>
    <x v="2"/>
    <n v="71204"/>
    <n v="3.6"/>
    <n v="7"/>
    <x v="2"/>
    <n v="3.4"/>
    <s v="High"/>
  </r>
  <r>
    <x v="4"/>
    <s v="Cybertruck"/>
    <x v="1"/>
    <s v="Long Range"/>
    <n v="93999.45"/>
    <n v="88.3"/>
    <n v="333"/>
    <n v="289.10000000000002"/>
    <n v="5.84"/>
    <n v="167"/>
    <n v="703"/>
    <n v="641"/>
    <s v="FWD"/>
    <n v="5"/>
    <s v="Truck"/>
    <n v="66"/>
    <n v="2476"/>
    <n v="5"/>
    <n v="2"/>
    <x v="2"/>
    <x v="2"/>
    <n v="124977"/>
    <n v="4"/>
    <n v="5"/>
    <x v="1"/>
    <n v="3.77"/>
    <s v="High"/>
  </r>
  <r>
    <x v="1"/>
    <s v="bZ Compact SUV"/>
    <x v="0"/>
    <s v="Premium"/>
    <n v="52160.99"/>
    <n v="69.400000000000006"/>
    <n v="234"/>
    <n v="77.8"/>
    <n v="6.21"/>
    <n v="169"/>
    <n v="511"/>
    <n v="481"/>
    <s v="RWD"/>
    <n v="7"/>
    <s v="SUV"/>
    <n v="40"/>
    <n v="2088"/>
    <n v="5"/>
    <n v="0"/>
    <x v="1"/>
    <x v="1"/>
    <n v="7110"/>
    <n v="3.6"/>
    <n v="4"/>
    <x v="1"/>
    <n v="3.37"/>
    <s v="Medium"/>
  </r>
  <r>
    <x v="4"/>
    <s v="Model S"/>
    <x v="2"/>
    <s v="Performance"/>
    <n v="77897.86"/>
    <n v="71.2"/>
    <n v="254"/>
    <n v="322.3"/>
    <n v="4.29"/>
    <n v="186"/>
    <n v="542"/>
    <n v="558"/>
    <s v="RWD"/>
    <n v="5"/>
    <s v="Sedan"/>
    <n v="35.799999999999997"/>
    <n v="1500"/>
    <n v="4"/>
    <n v="3"/>
    <x v="2"/>
    <x v="2"/>
    <n v="153891"/>
    <n v="3.7"/>
    <n v="4"/>
    <x v="1"/>
    <n v="3.57"/>
    <s v="High"/>
  </r>
  <r>
    <x v="0"/>
    <s v="ID.4"/>
    <x v="3"/>
    <s v="Base"/>
    <n v="78698.7"/>
    <n v="67.400000000000006"/>
    <n v="200"/>
    <n v="139.9"/>
    <n v="5.73"/>
    <n v="164"/>
    <n v="839"/>
    <n v="744"/>
    <s v="RWD"/>
    <n v="5"/>
    <s v="Coupe"/>
    <n v="26"/>
    <n v="1649"/>
    <n v="5"/>
    <n v="0"/>
    <x v="0"/>
    <x v="2"/>
    <n v="200182"/>
    <n v="3.4"/>
    <n v="4"/>
    <x v="1"/>
    <n v="2.97"/>
    <s v="High"/>
  </r>
  <r>
    <x v="4"/>
    <s v="Model S"/>
    <x v="4"/>
    <s v="Base"/>
    <n v="109935.85"/>
    <n v="84.2"/>
    <n v="288"/>
    <n v="209.4"/>
    <n v="7.62"/>
    <n v="127"/>
    <n v="738"/>
    <n v="699"/>
    <s v="AWD"/>
    <n v="7"/>
    <s v="Truck"/>
    <n v="78.2"/>
    <n v="2219"/>
    <n v="4"/>
    <n v="3"/>
    <x v="2"/>
    <x v="0"/>
    <n v="117148"/>
    <n v="4"/>
    <n v="5"/>
    <x v="2"/>
    <n v="3.42"/>
    <s v="High"/>
  </r>
  <r>
    <x v="18"/>
    <s v="SU7"/>
    <x v="2"/>
    <s v="Performance"/>
    <n v="115672.77"/>
    <n v="85.2"/>
    <n v="304"/>
    <n v="243.6"/>
    <n v="3.52"/>
    <n v="194"/>
    <n v="1000"/>
    <n v="872"/>
    <s v="RWD"/>
    <n v="5"/>
    <s v="SUV"/>
    <n v="50.9"/>
    <n v="2328"/>
    <n v="3"/>
    <n v="0"/>
    <x v="4"/>
    <x v="0"/>
    <n v="8357"/>
    <n v="3.7"/>
    <n v="5"/>
    <x v="0"/>
    <n v="3.57"/>
    <s v="Medium"/>
  </r>
  <r>
    <x v="8"/>
    <s v="Kona Electric"/>
    <x v="2"/>
    <s v="Performance"/>
    <n v="43667.25"/>
    <n v="83.3"/>
    <n v="299"/>
    <n v="234.7"/>
    <n v="3.13"/>
    <n v="198"/>
    <n v="465"/>
    <n v="435"/>
    <s v="AWD"/>
    <n v="5"/>
    <s v="Van"/>
    <n v="77.7"/>
    <n v="1707"/>
    <n v="4"/>
    <n v="1"/>
    <x v="3"/>
    <x v="1"/>
    <n v="71109"/>
    <n v="3.5"/>
    <n v="5"/>
    <x v="0"/>
    <n v="3.59"/>
    <s v="High"/>
  </r>
  <r>
    <x v="3"/>
    <s v="EV6"/>
    <x v="3"/>
    <s v="Base"/>
    <n v="60524.160000000003"/>
    <n v="58.8"/>
    <n v="217"/>
    <n v="110.8"/>
    <n v="6.5"/>
    <n v="148"/>
    <n v="613"/>
    <n v="568"/>
    <s v="RWD"/>
    <n v="7"/>
    <s v="Coupe"/>
    <n v="25.8"/>
    <n v="1638"/>
    <n v="4"/>
    <n v="1"/>
    <x v="3"/>
    <x v="1"/>
    <n v="105178"/>
    <n v="3.4"/>
    <n v="4"/>
    <x v="1"/>
    <n v="3.69"/>
    <s v="High"/>
  </r>
  <r>
    <x v="4"/>
    <s v="Model 3"/>
    <x v="4"/>
    <s v="Standard"/>
    <n v="24979.98"/>
    <n v="81.099999999999994"/>
    <n v="271"/>
    <n v="326.8"/>
    <n v="6.83"/>
    <n v="135"/>
    <n v="150"/>
    <n v="200"/>
    <s v="RWD"/>
    <n v="5"/>
    <s v="Hatchback"/>
    <n v="27.6"/>
    <n v="1500"/>
    <n v="5"/>
    <n v="3"/>
    <x v="2"/>
    <x v="3"/>
    <n v="132068"/>
    <n v="3.7"/>
    <n v="4"/>
    <x v="1"/>
    <n v="3.34"/>
    <s v="High"/>
  </r>
  <r>
    <x v="2"/>
    <s v="Blazer EV"/>
    <x v="2"/>
    <s v="Base"/>
    <n v="58716.57"/>
    <n v="83.6"/>
    <n v="313"/>
    <n v="112.5"/>
    <n v="6.87"/>
    <n v="153"/>
    <n v="744"/>
    <n v="635"/>
    <s v="FWD"/>
    <n v="5"/>
    <s v="Sedan"/>
    <n v="22.4"/>
    <n v="1754"/>
    <n v="5"/>
    <n v="1"/>
    <x v="2"/>
    <x v="1"/>
    <n v="22110"/>
    <n v="3.6"/>
    <n v="3"/>
    <x v="1"/>
    <n v="3.74"/>
    <s v="High"/>
  </r>
  <r>
    <x v="7"/>
    <s v="Qin"/>
    <x v="2"/>
    <s v="Base"/>
    <n v="17777.32"/>
    <n v="78"/>
    <n v="280"/>
    <n v="108.1"/>
    <n v="7.53"/>
    <n v="142"/>
    <n v="175"/>
    <n v="200"/>
    <s v="FWD"/>
    <n v="7"/>
    <s v="Hatchback"/>
    <n v="36.4"/>
    <n v="1788"/>
    <n v="4"/>
    <n v="0"/>
    <x v="4"/>
    <x v="3"/>
    <n v="212740"/>
    <n v="3.5"/>
    <n v="4"/>
    <x v="2"/>
    <n v="3.59"/>
    <s v="High"/>
  </r>
  <r>
    <x v="11"/>
    <s v="Q4 e-tron"/>
    <x v="5"/>
    <s v="Performance"/>
    <n v="163470.92000000001"/>
    <n v="73.400000000000006"/>
    <n v="267"/>
    <n v="163.1"/>
    <n v="3.82"/>
    <n v="196"/>
    <n v="1000"/>
    <n v="897"/>
    <s v="RWD"/>
    <n v="7"/>
    <s v="Sedan"/>
    <n v="16.600000000000001"/>
    <n v="1500"/>
    <n v="5"/>
    <n v="2"/>
    <x v="0"/>
    <x v="0"/>
    <n v="31112"/>
    <n v="3.4"/>
    <n v="6"/>
    <x v="0"/>
    <n v="3.64"/>
    <s v="High"/>
  </r>
  <r>
    <x v="7"/>
    <s v="Seagull"/>
    <x v="4"/>
    <s v="Base"/>
    <n v="53782.86"/>
    <n v="84.7"/>
    <n v="314"/>
    <n v="91"/>
    <n v="5.94"/>
    <n v="169"/>
    <n v="521"/>
    <n v="468"/>
    <s v="RWD"/>
    <n v="5"/>
    <s v="Van"/>
    <n v="62.5"/>
    <n v="1599"/>
    <n v="4"/>
    <n v="1"/>
    <x v="4"/>
    <x v="1"/>
    <n v="162990"/>
    <n v="3.8"/>
    <n v="3"/>
    <x v="1"/>
    <n v="3.71"/>
    <s v="High"/>
  </r>
  <r>
    <x v="4"/>
    <s v="Model Y"/>
    <x v="1"/>
    <s v="Long Range"/>
    <n v="38805.29"/>
    <n v="86.7"/>
    <n v="295"/>
    <n v="344.7"/>
    <n v="4.05"/>
    <n v="190"/>
    <n v="297"/>
    <n v="281"/>
    <s v="RWD"/>
    <n v="5"/>
    <s v="Truck"/>
    <n v="71.8"/>
    <n v="2329"/>
    <n v="5"/>
    <n v="3"/>
    <x v="2"/>
    <x v="1"/>
    <n v="424786"/>
    <n v="4.0999999999999996"/>
    <n v="4"/>
    <x v="1"/>
    <n v="3.4"/>
    <s v="High"/>
  </r>
  <r>
    <x v="4"/>
    <s v="Model X"/>
    <x v="2"/>
    <s v="Performance"/>
    <n v="90519.74"/>
    <n v="119.4"/>
    <n v="405"/>
    <n v="222.4"/>
    <n v="3.68"/>
    <n v="200"/>
    <n v="666"/>
    <n v="591"/>
    <s v="AWD"/>
    <n v="5"/>
    <s v="Coupe"/>
    <n v="24"/>
    <n v="1771"/>
    <n v="4"/>
    <n v="2"/>
    <x v="2"/>
    <x v="2"/>
    <n v="189429"/>
    <n v="4"/>
    <n v="6"/>
    <x v="0"/>
    <n v="3.39"/>
    <s v="High"/>
  </r>
  <r>
    <x v="8"/>
    <s v="Ioniq 5"/>
    <x v="3"/>
    <s v="Base"/>
    <n v="46385.14"/>
    <n v="84.1"/>
    <n v="301"/>
    <n v="90.2"/>
    <n v="6.54"/>
    <n v="148"/>
    <n v="445"/>
    <n v="414"/>
    <s v="RWD"/>
    <n v="5"/>
    <s v="Truck"/>
    <n v="65.5"/>
    <n v="2726"/>
    <n v="4"/>
    <n v="1"/>
    <x v="3"/>
    <x v="1"/>
    <n v="58564"/>
    <n v="3.6"/>
    <n v="3"/>
    <x v="1"/>
    <n v="3.58"/>
    <s v="High"/>
  </r>
  <r>
    <x v="3"/>
    <s v="Niro EV"/>
    <x v="5"/>
    <s v="Performance"/>
    <n v="110515.91"/>
    <n v="78.099999999999994"/>
    <n v="283"/>
    <n v="217.4"/>
    <n v="2.89"/>
    <n v="200"/>
    <n v="1000"/>
    <n v="881"/>
    <s v="AWD"/>
    <n v="5"/>
    <s v="Coupe"/>
    <n v="24.1"/>
    <n v="1738"/>
    <n v="5"/>
    <n v="0"/>
    <x v="3"/>
    <x v="0"/>
    <n v="62032"/>
    <n v="3.6"/>
    <n v="3"/>
    <x v="0"/>
    <n v="3.62"/>
    <s v="High"/>
  </r>
  <r>
    <x v="4"/>
    <s v="Cybertruck"/>
    <x v="0"/>
    <s v="Standard"/>
    <n v="35071.56"/>
    <n v="52.4"/>
    <n v="192"/>
    <n v="340"/>
    <n v="5.24"/>
    <n v="168"/>
    <n v="249"/>
    <n v="217"/>
    <s v="FWD"/>
    <n v="7"/>
    <s v="Truck"/>
    <n v="53"/>
    <n v="2535"/>
    <n v="5"/>
    <n v="2"/>
    <x v="2"/>
    <x v="1"/>
    <n v="139628"/>
    <n v="3.2"/>
    <n v="5"/>
    <x v="1"/>
    <n v="3.66"/>
    <s v="High"/>
  </r>
  <r>
    <x v="9"/>
    <s v="Explorer EV"/>
    <x v="3"/>
    <s v="Performance"/>
    <n v="106247.4"/>
    <n v="72.900000000000006"/>
    <n v="277"/>
    <n v="158.19999999999999"/>
    <n v="2.58"/>
    <n v="200"/>
    <n v="1000"/>
    <n v="873"/>
    <s v="FWD"/>
    <n v="5"/>
    <s v="Coupe"/>
    <n v="24.4"/>
    <n v="1701"/>
    <n v="5"/>
    <n v="0"/>
    <x v="2"/>
    <x v="0"/>
    <n v="49209"/>
    <n v="3.4"/>
    <n v="3"/>
    <x v="0"/>
    <n v="3.8"/>
    <s v="High"/>
  </r>
  <r>
    <x v="0"/>
    <s v="ID.3"/>
    <x v="5"/>
    <s v="Base"/>
    <n v="56734.76"/>
    <n v="49.7"/>
    <n v="207"/>
    <n v="87.7"/>
    <n v="5.23"/>
    <n v="168"/>
    <n v="586"/>
    <n v="478"/>
    <s v="AWD"/>
    <n v="7"/>
    <s v="Hatchback"/>
    <n v="16.600000000000001"/>
    <n v="1500"/>
    <n v="4"/>
    <n v="0"/>
    <x v="0"/>
    <x v="1"/>
    <n v="257294"/>
    <n v="3.1"/>
    <n v="4"/>
    <x v="1"/>
    <n v="4.16"/>
    <s v="High"/>
  </r>
  <r>
    <x v="8"/>
    <s v="Ioniq"/>
    <x v="3"/>
    <s v="Long Range"/>
    <n v="74693.36"/>
    <n v="95.4"/>
    <n v="340"/>
    <n v="66.599999999999994"/>
    <n v="4.63"/>
    <n v="186"/>
    <n v="972"/>
    <n v="902"/>
    <s v="RWD"/>
    <n v="7"/>
    <s v="Hatchback"/>
    <n v="24.5"/>
    <n v="1739"/>
    <n v="5"/>
    <n v="1"/>
    <x v="3"/>
    <x v="2"/>
    <n v="138161"/>
    <n v="3.5"/>
    <n v="4"/>
    <x v="1"/>
    <n v="3.56"/>
    <s v="High"/>
  </r>
  <r>
    <x v="0"/>
    <s v="ID.5"/>
    <x v="1"/>
    <s v="Premium"/>
    <n v="70140.570000000007"/>
    <n v="83.5"/>
    <n v="319"/>
    <n v="79.8"/>
    <n v="6.63"/>
    <n v="142"/>
    <n v="731"/>
    <n v="665"/>
    <s v="AWD"/>
    <n v="5"/>
    <s v="Hatchback"/>
    <n v="26.7"/>
    <n v="1533"/>
    <n v="5"/>
    <n v="0"/>
    <x v="0"/>
    <x v="2"/>
    <n v="203826"/>
    <n v="3.8"/>
    <n v="5"/>
    <x v="1"/>
    <n v="3.82"/>
    <s v="High"/>
  </r>
  <r>
    <x v="0"/>
    <s v="ID.5"/>
    <x v="3"/>
    <s v="Standard"/>
    <n v="60218.55"/>
    <n v="82.8"/>
    <n v="240"/>
    <n v="94.9"/>
    <n v="6"/>
    <n v="163"/>
    <n v="518"/>
    <n v="517"/>
    <s v="AWD"/>
    <n v="5"/>
    <s v="Van"/>
    <n v="60.3"/>
    <n v="1739"/>
    <n v="5"/>
    <n v="2"/>
    <x v="0"/>
    <x v="1"/>
    <n v="290126"/>
    <n v="3.6"/>
    <n v="4"/>
    <x v="1"/>
    <n v="2.9"/>
    <s v="High"/>
  </r>
  <r>
    <x v="3"/>
    <s v="Picanto EV"/>
    <x v="6"/>
    <s v="Base"/>
    <n v="44609.33"/>
    <n v="80.3"/>
    <n v="255"/>
    <n v="124.3"/>
    <n v="6.52"/>
    <n v="155"/>
    <n v="414"/>
    <n v="337"/>
    <s v="RWD"/>
    <n v="7"/>
    <s v="Sedan"/>
    <n v="22.4"/>
    <n v="1545"/>
    <n v="4"/>
    <n v="0"/>
    <x v="3"/>
    <x v="1"/>
    <n v="62067"/>
    <n v="3.6"/>
    <n v="5"/>
    <x v="1"/>
    <n v="3.18"/>
    <s v="High"/>
  </r>
  <r>
    <x v="4"/>
    <s v="Model 3"/>
    <x v="3"/>
    <s v="Performance"/>
    <n v="58452.94"/>
    <n v="77.2"/>
    <n v="274"/>
    <n v="217.3"/>
    <n v="4.1900000000000004"/>
    <n v="183"/>
    <n v="458"/>
    <n v="401"/>
    <s v="RWD"/>
    <n v="7"/>
    <s v="Van"/>
    <n v="64.2"/>
    <n v="1813"/>
    <n v="3"/>
    <n v="2"/>
    <x v="2"/>
    <x v="1"/>
    <n v="216013"/>
    <n v="3.9"/>
    <n v="4"/>
    <x v="1"/>
    <n v="3.55"/>
    <s v="High"/>
  </r>
  <r>
    <x v="4"/>
    <s v="Cybertruck"/>
    <x v="0"/>
    <s v="Premium"/>
    <n v="118800.8"/>
    <n v="54.2"/>
    <n v="203"/>
    <n v="340.1"/>
    <n v="6.1"/>
    <n v="162"/>
    <n v="891"/>
    <n v="851"/>
    <s v="FWD"/>
    <n v="7"/>
    <s v="Truck"/>
    <n v="50.1"/>
    <n v="2562"/>
    <n v="4"/>
    <n v="3"/>
    <x v="2"/>
    <x v="0"/>
    <n v="197139"/>
    <n v="3.4"/>
    <n v="5"/>
    <x v="1"/>
    <n v="3.75"/>
    <s v="High"/>
  </r>
  <r>
    <x v="5"/>
    <s v="EQC"/>
    <x v="2"/>
    <s v="Performance"/>
    <n v="87690.32"/>
    <n v="88.6"/>
    <n v="321"/>
    <n v="224.6"/>
    <n v="2.67"/>
    <n v="200"/>
    <n v="422"/>
    <n v="414"/>
    <s v="AWD"/>
    <n v="5"/>
    <s v="Hatchback"/>
    <n v="36.6"/>
    <n v="1957"/>
    <n v="4"/>
    <n v="2"/>
    <x v="0"/>
    <x v="2"/>
    <n v="36911"/>
    <n v="4"/>
    <n v="7"/>
    <x v="0"/>
    <n v="3.62"/>
    <s v="High"/>
  </r>
  <r>
    <x v="1"/>
    <s v="bZ4X"/>
    <x v="1"/>
    <s v="Standard"/>
    <n v="55775.75"/>
    <n v="84.6"/>
    <n v="281"/>
    <n v="90.6"/>
    <n v="6"/>
    <n v="163"/>
    <n v="602"/>
    <n v="520"/>
    <s v="FWD"/>
    <n v="5"/>
    <s v="Coupe"/>
    <n v="22.4"/>
    <n v="1626"/>
    <n v="4"/>
    <n v="0"/>
    <x v="1"/>
    <x v="1"/>
    <n v="18523"/>
    <n v="3.3"/>
    <n v="3"/>
    <x v="1"/>
    <n v="3.32"/>
    <s v="Medium"/>
  </r>
  <r>
    <x v="0"/>
    <s v="ID. Aero"/>
    <x v="0"/>
    <s v="Standard"/>
    <n v="51298.81"/>
    <n v="63.2"/>
    <n v="237"/>
    <n v="118.9"/>
    <n v="5.83"/>
    <n v="162"/>
    <n v="397"/>
    <n v="310"/>
    <s v="RWD"/>
    <n v="5"/>
    <s v="Coupe"/>
    <n v="26.9"/>
    <n v="1555"/>
    <n v="5"/>
    <n v="1"/>
    <x v="0"/>
    <x v="1"/>
    <n v="222298"/>
    <n v="3.5"/>
    <n v="3"/>
    <x v="1"/>
    <n v="3.75"/>
    <s v="High"/>
  </r>
  <r>
    <x v="7"/>
    <s v="Dolphin"/>
    <x v="3"/>
    <s v="Standard"/>
    <n v="82759.69"/>
    <n v="73.3"/>
    <n v="235"/>
    <n v="119"/>
    <n v="6.27"/>
    <n v="151"/>
    <n v="912"/>
    <n v="776"/>
    <s v="RWD"/>
    <n v="5"/>
    <s v="SUV"/>
    <n v="68.7"/>
    <n v="1789"/>
    <n v="3"/>
    <n v="0"/>
    <x v="4"/>
    <x v="2"/>
    <n v="125776"/>
    <n v="3.4"/>
    <n v="3"/>
    <x v="1"/>
    <n v="3.21"/>
    <s v="High"/>
  </r>
  <r>
    <x v="10"/>
    <s v="i4"/>
    <x v="0"/>
    <s v="Performance"/>
    <n v="130983.67"/>
    <n v="110.9"/>
    <n v="390"/>
    <n v="244.7"/>
    <n v="2.5099999999999998"/>
    <n v="200"/>
    <n v="1000"/>
    <n v="878"/>
    <s v="RWD"/>
    <n v="7"/>
    <s v="Van"/>
    <n v="73.099999999999994"/>
    <n v="1500"/>
    <n v="5"/>
    <n v="2"/>
    <x v="0"/>
    <x v="0"/>
    <n v="64205"/>
    <n v="3.8"/>
    <n v="5"/>
    <x v="0"/>
    <n v="3.52"/>
    <s v="High"/>
  </r>
  <r>
    <x v="0"/>
    <s v="ID.4"/>
    <x v="3"/>
    <s v="Base"/>
    <n v="65061.9"/>
    <n v="65.099999999999994"/>
    <n v="212"/>
    <n v="82.2"/>
    <n v="7.77"/>
    <n v="137"/>
    <n v="653"/>
    <n v="616"/>
    <s v="AWD"/>
    <n v="5"/>
    <s v="Coupe"/>
    <n v="37.799999999999997"/>
    <n v="1613"/>
    <n v="5"/>
    <n v="1"/>
    <x v="0"/>
    <x v="2"/>
    <n v="282957"/>
    <n v="3.7"/>
    <n v="3"/>
    <x v="2"/>
    <n v="3.26"/>
    <s v="High"/>
  </r>
  <r>
    <x v="4"/>
    <s v="Model S"/>
    <x v="1"/>
    <s v="Premium"/>
    <n v="163492.79999999999"/>
    <n v="65.400000000000006"/>
    <n v="193"/>
    <n v="288.89999999999998"/>
    <n v="6.55"/>
    <n v="154"/>
    <n v="1000"/>
    <n v="907"/>
    <s v="RWD"/>
    <n v="7"/>
    <s v="Hatchback"/>
    <n v="34.9"/>
    <n v="1653"/>
    <n v="5"/>
    <n v="2"/>
    <x v="2"/>
    <x v="0"/>
    <n v="241709"/>
    <n v="4"/>
    <n v="5"/>
    <x v="1"/>
    <n v="2.95"/>
    <s v="High"/>
  </r>
  <r>
    <x v="4"/>
    <s v="Model X"/>
    <x v="0"/>
    <s v="Premium"/>
    <n v="53973.57"/>
    <n v="82.6"/>
    <n v="301"/>
    <n v="250.5"/>
    <n v="7.15"/>
    <n v="143"/>
    <n v="440"/>
    <n v="387"/>
    <s v="FWD"/>
    <n v="7"/>
    <s v="Sedan"/>
    <n v="15.8"/>
    <n v="1500"/>
    <n v="5"/>
    <n v="2"/>
    <x v="2"/>
    <x v="1"/>
    <n v="206669"/>
    <n v="3.9"/>
    <n v="5"/>
    <x v="2"/>
    <n v="3.64"/>
    <s v="High"/>
  </r>
  <r>
    <x v="2"/>
    <s v="Bolt EV"/>
    <x v="3"/>
    <s v="Performance"/>
    <n v="60210.65"/>
    <n v="70.400000000000006"/>
    <n v="258"/>
    <n v="173.9"/>
    <n v="3.71"/>
    <n v="200"/>
    <n v="778"/>
    <n v="765"/>
    <s v="FWD"/>
    <n v="5"/>
    <s v="Coupe"/>
    <n v="18.8"/>
    <n v="1519"/>
    <n v="4"/>
    <n v="0"/>
    <x v="2"/>
    <x v="1"/>
    <n v="23288"/>
    <n v="3.6"/>
    <n v="4"/>
    <x v="0"/>
    <n v="3.66"/>
    <s v="High"/>
  </r>
  <r>
    <x v="10"/>
    <s v="i3"/>
    <x v="0"/>
    <s v="Premium"/>
    <n v="81481.72"/>
    <n v="64.8"/>
    <n v="209"/>
    <n v="132.6"/>
    <n v="5.22"/>
    <n v="180"/>
    <n v="551"/>
    <n v="468"/>
    <s v="RWD"/>
    <n v="7"/>
    <s v="Sedan"/>
    <n v="32.9"/>
    <n v="1755"/>
    <n v="4"/>
    <n v="1"/>
    <x v="0"/>
    <x v="2"/>
    <n v="60859"/>
    <n v="3.3"/>
    <n v="8"/>
    <x v="1"/>
    <n v="3.23"/>
    <s v="High"/>
  </r>
  <r>
    <x v="4"/>
    <s v="Model S"/>
    <x v="3"/>
    <s v="Performance"/>
    <n v="140244.92000000001"/>
    <n v="75.7"/>
    <n v="265"/>
    <n v="295.8"/>
    <n v="4.25"/>
    <n v="187"/>
    <n v="986"/>
    <n v="851"/>
    <s v="AWD"/>
    <n v="7"/>
    <s v="Sedan"/>
    <n v="15.6"/>
    <n v="1500"/>
    <n v="5"/>
    <n v="2"/>
    <x v="2"/>
    <x v="0"/>
    <n v="186365"/>
    <n v="3.8"/>
    <n v="5"/>
    <x v="1"/>
    <n v="3.5"/>
    <s v="High"/>
  </r>
  <r>
    <x v="7"/>
    <s v="Dolphin"/>
    <x v="2"/>
    <s v="Performance"/>
    <n v="108909.03"/>
    <n v="86"/>
    <n v="283"/>
    <n v="177.9"/>
    <n v="3.26"/>
    <n v="188"/>
    <n v="1000"/>
    <n v="954"/>
    <s v="RWD"/>
    <n v="5"/>
    <s v="Truck"/>
    <n v="68.3"/>
    <n v="2422"/>
    <n v="3"/>
    <n v="0"/>
    <x v="4"/>
    <x v="0"/>
    <n v="136507"/>
    <n v="3.5"/>
    <n v="3"/>
    <x v="0"/>
    <n v="3.29"/>
    <s v="High"/>
  </r>
  <r>
    <x v="7"/>
    <s v="Seagull"/>
    <x v="3"/>
    <s v="Base"/>
    <n v="31665.46"/>
    <n v="68.3"/>
    <n v="217"/>
    <n v="133.69999999999999"/>
    <n v="5.49"/>
    <n v="171"/>
    <n v="291"/>
    <n v="266"/>
    <s v="FWD"/>
    <n v="5"/>
    <s v="Van"/>
    <n v="69.400000000000006"/>
    <n v="1935"/>
    <n v="5"/>
    <n v="0"/>
    <x v="4"/>
    <x v="3"/>
    <n v="162790"/>
    <n v="3.3"/>
    <n v="4"/>
    <x v="1"/>
    <n v="3.18"/>
    <s v="High"/>
  </r>
  <r>
    <x v="10"/>
    <s v="i7"/>
    <x v="5"/>
    <s v="Premium"/>
    <n v="125746.52"/>
    <n v="63.5"/>
    <n v="224"/>
    <n v="141.30000000000001"/>
    <n v="5.05"/>
    <n v="168"/>
    <n v="1000"/>
    <n v="906"/>
    <s v="AWD"/>
    <n v="5"/>
    <s v="Hatchback"/>
    <n v="22.1"/>
    <n v="1500"/>
    <n v="3"/>
    <n v="2"/>
    <x v="0"/>
    <x v="0"/>
    <n v="62950"/>
    <n v="3.5"/>
    <n v="6"/>
    <x v="1"/>
    <n v="3.53"/>
    <s v="High"/>
  </r>
  <r>
    <x v="4"/>
    <s v="Model S"/>
    <x v="2"/>
    <s v="Long Range"/>
    <n v="75201.320000000007"/>
    <n v="102.8"/>
    <n v="370"/>
    <n v="342.3"/>
    <n v="4.03"/>
    <n v="185"/>
    <n v="592"/>
    <n v="509"/>
    <s v="RWD"/>
    <n v="5"/>
    <s v="Truck"/>
    <n v="62.1"/>
    <n v="2460"/>
    <n v="5"/>
    <n v="2"/>
    <x v="2"/>
    <x v="2"/>
    <n v="105880"/>
    <n v="4.0999999999999996"/>
    <n v="4"/>
    <x v="1"/>
    <n v="3.6"/>
    <s v="High"/>
  </r>
  <r>
    <x v="4"/>
    <s v="Model 3"/>
    <x v="3"/>
    <s v="Long Range"/>
    <n v="91388.05"/>
    <n v="100.1"/>
    <n v="350"/>
    <n v="249.9"/>
    <n v="5.26"/>
    <n v="168"/>
    <n v="695"/>
    <n v="616"/>
    <s v="FWD"/>
    <n v="5"/>
    <s v="Sedan"/>
    <n v="39.9"/>
    <n v="1624"/>
    <n v="4"/>
    <n v="2"/>
    <x v="2"/>
    <x v="2"/>
    <n v="148700"/>
    <n v="4"/>
    <n v="5"/>
    <x v="1"/>
    <n v="3.5"/>
    <s v="High"/>
  </r>
  <r>
    <x v="9"/>
    <s v="F-150 Lightning"/>
    <x v="2"/>
    <s v="Standard"/>
    <n v="60849.51"/>
    <n v="82.5"/>
    <n v="274"/>
    <n v="67.099999999999994"/>
    <n v="7.97"/>
    <n v="131"/>
    <n v="622"/>
    <n v="610"/>
    <s v="FWD"/>
    <n v="2"/>
    <s v="Truck"/>
    <n v="71.3"/>
    <n v="2747"/>
    <n v="4"/>
    <n v="2"/>
    <x v="2"/>
    <x v="1"/>
    <n v="58206"/>
    <n v="3.5"/>
    <n v="4"/>
    <x v="2"/>
    <n v="3.32"/>
    <s v="High"/>
  </r>
  <r>
    <x v="4"/>
    <s v="Cybertruck"/>
    <x v="2"/>
    <s v="Long Range"/>
    <n v="131729.26"/>
    <n v="84.6"/>
    <n v="307"/>
    <n v="224.3"/>
    <n v="4.28"/>
    <n v="187"/>
    <n v="943"/>
    <n v="852"/>
    <s v="FWD"/>
    <n v="5"/>
    <s v="Truck"/>
    <n v="53.6"/>
    <n v="2319"/>
    <n v="4"/>
    <n v="2"/>
    <x v="2"/>
    <x v="0"/>
    <n v="162108"/>
    <n v="3.6"/>
    <n v="5"/>
    <x v="1"/>
    <n v="3.63"/>
    <s v="High"/>
  </r>
  <r>
    <x v="10"/>
    <s v="iX"/>
    <x v="4"/>
    <s v="Standard"/>
    <n v="82329.27"/>
    <n v="71.8"/>
    <n v="258"/>
    <n v="61.1"/>
    <n v="7.05"/>
    <n v="150"/>
    <n v="569"/>
    <n v="534"/>
    <s v="RWD"/>
    <n v="7"/>
    <s v="Hatchback"/>
    <n v="15.7"/>
    <n v="1723"/>
    <n v="4"/>
    <n v="1"/>
    <x v="0"/>
    <x v="2"/>
    <n v="59553"/>
    <n v="3.7"/>
    <n v="6"/>
    <x v="2"/>
    <n v="3.59"/>
    <s v="High"/>
  </r>
  <r>
    <x v="7"/>
    <s v="Atto 3"/>
    <x v="4"/>
    <s v="Performance"/>
    <n v="91712.12"/>
    <n v="80.099999999999994"/>
    <n v="268"/>
    <n v="233.5"/>
    <n v="3.28"/>
    <n v="193"/>
    <n v="1000"/>
    <n v="900"/>
    <s v="RWD"/>
    <n v="5"/>
    <s v="Hatchback"/>
    <n v="19.5"/>
    <n v="1550"/>
    <n v="5"/>
    <n v="1"/>
    <x v="4"/>
    <x v="2"/>
    <n v="177248"/>
    <n v="3.6"/>
    <n v="3"/>
    <x v="0"/>
    <n v="3.35"/>
    <s v="High"/>
  </r>
  <r>
    <x v="4"/>
    <s v="Model 3"/>
    <x v="2"/>
    <s v="Standard"/>
    <n v="106609.89"/>
    <n v="75.599999999999994"/>
    <n v="299"/>
    <n v="296.3"/>
    <n v="6.51"/>
    <n v="151"/>
    <n v="784"/>
    <n v="688"/>
    <s v="FWD"/>
    <n v="5"/>
    <s v="Hatchback"/>
    <n v="27.5"/>
    <n v="1673"/>
    <n v="5"/>
    <n v="2"/>
    <x v="2"/>
    <x v="0"/>
    <n v="103912"/>
    <n v="3.7"/>
    <n v="5"/>
    <x v="1"/>
    <n v="3.96"/>
    <s v="High"/>
  </r>
  <r>
    <x v="7"/>
    <s v="Qin"/>
    <x v="6"/>
    <s v="Long Range"/>
    <n v="36752.050000000003"/>
    <n v="84.7"/>
    <n v="308"/>
    <n v="134.6"/>
    <n v="4.59"/>
    <n v="189"/>
    <n v="380"/>
    <n v="353"/>
    <s v="FWD"/>
    <n v="5"/>
    <s v="Sedan"/>
    <n v="22.8"/>
    <n v="1500"/>
    <n v="4"/>
    <n v="1"/>
    <x v="4"/>
    <x v="1"/>
    <n v="178041"/>
    <n v="3.6"/>
    <n v="4"/>
    <x v="1"/>
    <n v="3.64"/>
    <s v="High"/>
  </r>
  <r>
    <x v="2"/>
    <s v="Equinox EV"/>
    <x v="2"/>
    <s v="Long Range"/>
    <n v="55502.07"/>
    <n v="92.6"/>
    <n v="331"/>
    <n v="129.80000000000001"/>
    <n v="4.2"/>
    <n v="189"/>
    <n v="672"/>
    <n v="611"/>
    <s v="AWD"/>
    <n v="7"/>
    <s v="SUV"/>
    <n v="63.7"/>
    <n v="2188"/>
    <n v="5"/>
    <n v="1"/>
    <x v="2"/>
    <x v="1"/>
    <n v="18580"/>
    <n v="3.7"/>
    <n v="4"/>
    <x v="1"/>
    <n v="3.57"/>
    <s v="Medium"/>
  </r>
  <r>
    <x v="5"/>
    <s v="EQS"/>
    <x v="3"/>
    <s v="Base"/>
    <n v="136918.85"/>
    <n v="55.5"/>
    <n v="195"/>
    <n v="96.2"/>
    <n v="6.97"/>
    <n v="148"/>
    <n v="822"/>
    <n v="776"/>
    <s v="AWD"/>
    <n v="7"/>
    <s v="Coupe"/>
    <n v="25.1"/>
    <n v="1500"/>
    <n v="5"/>
    <n v="1"/>
    <x v="0"/>
    <x v="0"/>
    <n v="59537"/>
    <n v="3.5"/>
    <n v="7"/>
    <x v="1"/>
    <n v="3.51"/>
    <s v="High"/>
  </r>
  <r>
    <x v="5"/>
    <s v="EQE"/>
    <x v="0"/>
    <s v="Long Range"/>
    <n v="142535.28"/>
    <n v="94.3"/>
    <n v="305"/>
    <n v="114"/>
    <n v="5.66"/>
    <n v="169"/>
    <n v="843"/>
    <n v="766"/>
    <s v="FWD"/>
    <n v="7"/>
    <s v="Sedan"/>
    <n v="30.1"/>
    <n v="1500"/>
    <n v="4"/>
    <n v="1"/>
    <x v="0"/>
    <x v="0"/>
    <n v="32410"/>
    <n v="3.9"/>
    <n v="8"/>
    <x v="1"/>
    <n v="3.23"/>
    <s v="High"/>
  </r>
  <r>
    <x v="0"/>
    <s v="ID. Aero"/>
    <x v="3"/>
    <s v="Performance"/>
    <n v="68256.27"/>
    <n v="92.8"/>
    <n v="334"/>
    <n v="227.4"/>
    <n v="3.85"/>
    <n v="182"/>
    <n v="714"/>
    <n v="587"/>
    <s v="RWD"/>
    <n v="5"/>
    <s v="Sedan"/>
    <n v="22.1"/>
    <n v="1589"/>
    <n v="5"/>
    <n v="0"/>
    <x v="0"/>
    <x v="2"/>
    <n v="215601"/>
    <n v="3.8"/>
    <n v="5"/>
    <x v="0"/>
    <n v="3.6"/>
    <s v="High"/>
  </r>
  <r>
    <x v="10"/>
    <s v="i3"/>
    <x v="3"/>
    <s v="Premium"/>
    <n v="127970.02"/>
    <n v="52.7"/>
    <n v="181"/>
    <n v="97.5"/>
    <n v="5.26"/>
    <n v="171"/>
    <n v="1000"/>
    <n v="895"/>
    <s v="RWD"/>
    <n v="5"/>
    <s v="Coupe"/>
    <n v="18.8"/>
    <n v="1671"/>
    <n v="5"/>
    <n v="2"/>
    <x v="0"/>
    <x v="0"/>
    <n v="25659"/>
    <n v="3.4"/>
    <n v="7"/>
    <x v="1"/>
    <n v="3.43"/>
    <s v="High"/>
  </r>
  <r>
    <x v="7"/>
    <s v="Yuan Plus"/>
    <x v="5"/>
    <s v="Base"/>
    <n v="71806.41"/>
    <n v="73"/>
    <n v="253"/>
    <n v="140.1"/>
    <n v="5.98"/>
    <n v="163"/>
    <n v="820"/>
    <n v="765"/>
    <s v="AWD"/>
    <n v="5"/>
    <s v="Sedan"/>
    <n v="18.5"/>
    <n v="1702"/>
    <n v="4"/>
    <n v="0"/>
    <x v="4"/>
    <x v="2"/>
    <n v="163682"/>
    <n v="3.4"/>
    <n v="3"/>
    <x v="1"/>
    <n v="3.47"/>
    <s v="High"/>
  </r>
  <r>
    <x v="7"/>
    <s v="Qin"/>
    <x v="0"/>
    <s v="Performance"/>
    <n v="54457.48"/>
    <n v="80.599999999999994"/>
    <n v="251"/>
    <n v="242"/>
    <n v="4.26"/>
    <n v="193"/>
    <n v="518"/>
    <n v="459"/>
    <s v="AWD"/>
    <n v="5"/>
    <s v="Truck"/>
    <n v="74.099999999999994"/>
    <n v="2307"/>
    <n v="4"/>
    <n v="0"/>
    <x v="4"/>
    <x v="1"/>
    <n v="205191"/>
    <n v="3.4"/>
    <n v="4"/>
    <x v="1"/>
    <n v="3.11"/>
    <s v="High"/>
  </r>
  <r>
    <x v="11"/>
    <s v="Q4 e-tron"/>
    <x v="5"/>
    <s v="Long Range"/>
    <n v="145965.35999999999"/>
    <n v="78.2"/>
    <n v="269"/>
    <n v="138.1"/>
    <n v="5.46"/>
    <n v="173"/>
    <n v="1000"/>
    <n v="872"/>
    <s v="FWD"/>
    <n v="7"/>
    <s v="Coupe"/>
    <n v="31.5"/>
    <n v="1663"/>
    <n v="4"/>
    <n v="2"/>
    <x v="0"/>
    <x v="0"/>
    <n v="21092"/>
    <n v="3.7"/>
    <n v="6"/>
    <x v="1"/>
    <n v="3.44"/>
    <s v="High"/>
  </r>
  <r>
    <x v="4"/>
    <s v="Model X"/>
    <x v="3"/>
    <s v="Performance"/>
    <n v="40997.300000000003"/>
    <n v="73.3"/>
    <n v="261"/>
    <n v="282.8"/>
    <n v="3.51"/>
    <n v="198"/>
    <n v="238"/>
    <n v="200"/>
    <s v="AWD"/>
    <n v="5"/>
    <s v="Sedan"/>
    <n v="19.899999999999999"/>
    <n v="1637"/>
    <n v="5"/>
    <n v="3"/>
    <x v="2"/>
    <x v="1"/>
    <n v="192699"/>
    <n v="3.7"/>
    <n v="4"/>
    <x v="0"/>
    <n v="3.56"/>
    <s v="High"/>
  </r>
  <r>
    <x v="4"/>
    <s v="Model 3"/>
    <x v="5"/>
    <s v="Performance"/>
    <n v="147080.28"/>
    <n v="107.7"/>
    <n v="395"/>
    <n v="234.9"/>
    <n v="3.36"/>
    <n v="195"/>
    <n v="1000"/>
    <n v="883"/>
    <s v="AWD"/>
    <n v="7"/>
    <s v="Sedan"/>
    <n v="15.1"/>
    <n v="1521"/>
    <n v="5"/>
    <n v="2"/>
    <x v="2"/>
    <x v="0"/>
    <n v="199927"/>
    <n v="4.3"/>
    <n v="5"/>
    <x v="0"/>
    <n v="3.67"/>
    <s v="High"/>
  </r>
  <r>
    <x v="7"/>
    <s v="Max"/>
    <x v="0"/>
    <s v="Long Range"/>
    <n v="35900.230000000003"/>
    <n v="88"/>
    <n v="302"/>
    <n v="69.900000000000006"/>
    <n v="4.28"/>
    <n v="198"/>
    <n v="358"/>
    <n v="318"/>
    <s v="FWD"/>
    <n v="5"/>
    <s v="SUV"/>
    <n v="42.3"/>
    <n v="2227"/>
    <n v="5"/>
    <n v="2"/>
    <x v="4"/>
    <x v="1"/>
    <n v="176515"/>
    <n v="3.8"/>
    <n v="4"/>
    <x v="1"/>
    <n v="3.43"/>
    <s v="High"/>
  </r>
  <r>
    <x v="4"/>
    <s v="Model X"/>
    <x v="3"/>
    <s v="Base"/>
    <n v="76806.22"/>
    <n v="41.8"/>
    <n v="166"/>
    <n v="308.89999999999998"/>
    <n v="6.47"/>
    <n v="152"/>
    <n v="571"/>
    <n v="531"/>
    <s v="FWD"/>
    <n v="7"/>
    <s v="Sedan"/>
    <n v="24.3"/>
    <n v="1675"/>
    <n v="5"/>
    <n v="3"/>
    <x v="2"/>
    <x v="2"/>
    <n v="136111"/>
    <n v="3.6"/>
    <n v="6"/>
    <x v="1"/>
    <n v="3.97"/>
    <s v="High"/>
  </r>
  <r>
    <x v="4"/>
    <s v="Cybertruck"/>
    <x v="3"/>
    <s v="Base"/>
    <n v="96810.26"/>
    <n v="47.9"/>
    <n v="153"/>
    <n v="220.8"/>
    <n v="6.85"/>
    <n v="146"/>
    <n v="658"/>
    <n v="607"/>
    <s v="FWD"/>
    <n v="7"/>
    <s v="Truck"/>
    <n v="55.2"/>
    <n v="2373"/>
    <n v="4"/>
    <n v="2"/>
    <x v="2"/>
    <x v="2"/>
    <n v="113593"/>
    <n v="3.9"/>
    <n v="6"/>
    <x v="1"/>
    <n v="3.19"/>
    <s v="High"/>
  </r>
  <r>
    <x v="3"/>
    <s v="EV9"/>
    <x v="5"/>
    <s v="Performance"/>
    <n v="78041.17"/>
    <n v="113.5"/>
    <n v="407"/>
    <n v="168.5"/>
    <n v="4.13"/>
    <n v="185"/>
    <n v="895"/>
    <n v="813"/>
    <s v="RWD"/>
    <n v="5"/>
    <s v="SUV"/>
    <n v="58"/>
    <n v="2121"/>
    <n v="5"/>
    <n v="0"/>
    <x v="3"/>
    <x v="2"/>
    <n v="103428"/>
    <n v="3.8"/>
    <n v="4"/>
    <x v="1"/>
    <n v="3.59"/>
    <s v="High"/>
  </r>
  <r>
    <x v="0"/>
    <s v="ID.3"/>
    <x v="3"/>
    <s v="Base"/>
    <n v="47861.91"/>
    <n v="65.3"/>
    <n v="231"/>
    <n v="89"/>
    <n v="6.01"/>
    <n v="161"/>
    <n v="443"/>
    <n v="400"/>
    <s v="AWD"/>
    <n v="7"/>
    <s v="Sedan"/>
    <n v="34.799999999999997"/>
    <n v="1500"/>
    <n v="3"/>
    <n v="0"/>
    <x v="0"/>
    <x v="1"/>
    <n v="247700"/>
    <n v="3.2"/>
    <n v="3"/>
    <x v="1"/>
    <n v="3.54"/>
    <s v="High"/>
  </r>
  <r>
    <x v="11"/>
    <s v="Q4 e-tron"/>
    <x v="3"/>
    <s v="Base"/>
    <n v="84123.81"/>
    <n v="68.5"/>
    <n v="247"/>
    <n v="136.80000000000001"/>
    <n v="6.57"/>
    <n v="149"/>
    <n v="568"/>
    <n v="538"/>
    <s v="AWD"/>
    <n v="5"/>
    <s v="Hatchback"/>
    <n v="39.200000000000003"/>
    <n v="1666"/>
    <n v="4"/>
    <n v="1"/>
    <x v="0"/>
    <x v="2"/>
    <n v="60155"/>
    <n v="3.3"/>
    <n v="8"/>
    <x v="1"/>
    <n v="3.61"/>
    <s v="High"/>
  </r>
  <r>
    <x v="9"/>
    <s v="Mustang Mach-E"/>
    <x v="2"/>
    <s v="Premium"/>
    <n v="62057.63"/>
    <n v="57.6"/>
    <n v="207"/>
    <n v="109.6"/>
    <n v="6.33"/>
    <n v="150"/>
    <n v="732"/>
    <n v="646"/>
    <s v="FWD"/>
    <n v="5"/>
    <s v="Van"/>
    <n v="69.8"/>
    <n v="1502"/>
    <n v="4"/>
    <n v="0"/>
    <x v="2"/>
    <x v="1"/>
    <n v="65997"/>
    <n v="3.4"/>
    <n v="3"/>
    <x v="1"/>
    <n v="3.59"/>
    <s v="High"/>
  </r>
  <r>
    <x v="7"/>
    <s v="Seagull"/>
    <x v="5"/>
    <s v="Performance"/>
    <n v="95761.12"/>
    <n v="80.599999999999994"/>
    <n v="277"/>
    <n v="210.5"/>
    <n v="3.84"/>
    <n v="181"/>
    <n v="1000"/>
    <n v="922"/>
    <s v="RWD"/>
    <n v="5"/>
    <s v="Coupe"/>
    <n v="21.7"/>
    <n v="1789"/>
    <n v="4"/>
    <n v="1"/>
    <x v="4"/>
    <x v="2"/>
    <n v="171938"/>
    <n v="3.6"/>
    <n v="3"/>
    <x v="0"/>
    <n v="3.44"/>
    <s v="High"/>
  </r>
  <r>
    <x v="7"/>
    <s v="Qin"/>
    <x v="2"/>
    <s v="Base"/>
    <n v="75732.88"/>
    <n v="69.3"/>
    <n v="249"/>
    <n v="124.1"/>
    <n v="5.85"/>
    <n v="161"/>
    <n v="803"/>
    <n v="708"/>
    <s v="RWD"/>
    <n v="5"/>
    <s v="Truck"/>
    <n v="72.7"/>
    <n v="2335"/>
    <n v="5"/>
    <n v="0"/>
    <x v="4"/>
    <x v="2"/>
    <n v="228964"/>
    <n v="3.4"/>
    <n v="4"/>
    <x v="1"/>
    <n v="3.59"/>
    <s v="High"/>
  </r>
  <r>
    <x v="0"/>
    <s v="ID. Buzz"/>
    <x v="2"/>
    <s v="Premium"/>
    <n v="74047.12"/>
    <n v="72.599999999999994"/>
    <n v="248"/>
    <n v="77.400000000000006"/>
    <n v="6.4"/>
    <n v="154"/>
    <n v="808"/>
    <n v="703"/>
    <s v="RWD"/>
    <n v="5"/>
    <s v="Coupe"/>
    <n v="19.399999999999999"/>
    <n v="1522"/>
    <n v="5"/>
    <n v="1"/>
    <x v="0"/>
    <x v="2"/>
    <n v="290963"/>
    <n v="3.7"/>
    <n v="4"/>
    <x v="1"/>
    <n v="3.42"/>
    <s v="High"/>
  </r>
  <r>
    <x v="3"/>
    <s v="Niro EV"/>
    <x v="5"/>
    <s v="Performance"/>
    <n v="91033.29"/>
    <n v="72.5"/>
    <n v="267"/>
    <n v="207"/>
    <n v="3.44"/>
    <n v="194"/>
    <n v="1000"/>
    <n v="949"/>
    <s v="AWD"/>
    <n v="5"/>
    <s v="Van"/>
    <n v="71"/>
    <n v="1525"/>
    <n v="4"/>
    <n v="0"/>
    <x v="3"/>
    <x v="2"/>
    <n v="54833"/>
    <n v="3.3"/>
    <n v="4"/>
    <x v="0"/>
    <n v="3.68"/>
    <s v="High"/>
  </r>
  <r>
    <x v="7"/>
    <s v="Atto 3"/>
    <x v="2"/>
    <s v="Standard"/>
    <n v="30843.09"/>
    <n v="49"/>
    <n v="171"/>
    <n v="81.099999999999994"/>
    <n v="6.63"/>
    <n v="151"/>
    <n v="309"/>
    <n v="285"/>
    <s v="AWD"/>
    <n v="7"/>
    <s v="Hatchback"/>
    <n v="39.5"/>
    <n v="1578"/>
    <n v="4"/>
    <n v="2"/>
    <x v="4"/>
    <x v="3"/>
    <n v="206164"/>
    <n v="3"/>
    <n v="4"/>
    <x v="1"/>
    <n v="3.49"/>
    <s v="High"/>
  </r>
  <r>
    <x v="10"/>
    <s v="i5"/>
    <x v="4"/>
    <s v="Premium"/>
    <n v="139020.51"/>
    <n v="63.5"/>
    <n v="232"/>
    <n v="149.69999999999999"/>
    <n v="7.84"/>
    <n v="131"/>
    <n v="1000"/>
    <n v="950"/>
    <s v="FWD"/>
    <n v="5"/>
    <s v="Truck"/>
    <n v="58.7"/>
    <n v="2464"/>
    <n v="5"/>
    <n v="1"/>
    <x v="0"/>
    <x v="0"/>
    <n v="48199"/>
    <n v="3.4"/>
    <n v="5"/>
    <x v="2"/>
    <n v="3.65"/>
    <s v="High"/>
  </r>
  <r>
    <x v="0"/>
    <s v="ID. Aero"/>
    <x v="4"/>
    <s v="Standard"/>
    <n v="60392.45"/>
    <n v="68"/>
    <n v="225"/>
    <n v="133"/>
    <n v="7.28"/>
    <n v="137"/>
    <n v="628"/>
    <n v="523"/>
    <s v="RWD"/>
    <n v="7"/>
    <s v="Truck"/>
    <n v="54.4"/>
    <n v="2360"/>
    <n v="3"/>
    <n v="1"/>
    <x v="0"/>
    <x v="1"/>
    <n v="256880"/>
    <n v="3.2"/>
    <n v="3"/>
    <x v="2"/>
    <n v="3.31"/>
    <s v="High"/>
  </r>
  <r>
    <x v="3"/>
    <s v="Sportage EV"/>
    <x v="6"/>
    <s v="Standard"/>
    <n v="26731.95"/>
    <n v="75.8"/>
    <n v="257"/>
    <n v="79.599999999999994"/>
    <n v="5.97"/>
    <n v="160"/>
    <n v="193"/>
    <n v="200"/>
    <s v="RWD"/>
    <n v="5"/>
    <s v="SUV"/>
    <n v="46.3"/>
    <n v="1818"/>
    <n v="5"/>
    <n v="1"/>
    <x v="3"/>
    <x v="3"/>
    <n v="147499"/>
    <n v="3.3"/>
    <n v="4"/>
    <x v="1"/>
    <n v="3.39"/>
    <s v="High"/>
  </r>
  <r>
    <x v="0"/>
    <s v="ID. Buzz"/>
    <x v="2"/>
    <s v="Long Range"/>
    <n v="70634.98"/>
    <n v="89.6"/>
    <n v="312"/>
    <n v="79.599999999999994"/>
    <n v="5.55"/>
    <n v="173"/>
    <n v="734"/>
    <n v="693"/>
    <s v="FWD"/>
    <n v="5"/>
    <s v="Hatchback"/>
    <n v="16.100000000000001"/>
    <n v="1613"/>
    <n v="4"/>
    <n v="1"/>
    <x v="0"/>
    <x v="2"/>
    <n v="289608"/>
    <n v="3.6"/>
    <n v="3"/>
    <x v="1"/>
    <n v="3.48"/>
    <s v="High"/>
  </r>
  <r>
    <x v="7"/>
    <s v="Dolphin"/>
    <x v="0"/>
    <s v="Premium"/>
    <n v="25794.27"/>
    <n v="50.1"/>
    <n v="188"/>
    <n v="63.3"/>
    <n v="7.75"/>
    <n v="135"/>
    <n v="216"/>
    <n v="200"/>
    <s v="AWD"/>
    <n v="5"/>
    <s v="Truck"/>
    <n v="67.900000000000006"/>
    <n v="2438"/>
    <n v="3"/>
    <n v="0"/>
    <x v="4"/>
    <x v="3"/>
    <n v="112218"/>
    <n v="3.6"/>
    <n v="4"/>
    <x v="2"/>
    <n v="3.75"/>
    <s v="High"/>
  </r>
  <r>
    <x v="1"/>
    <s v="bZ4X"/>
    <x v="2"/>
    <s v="Performance"/>
    <n v="94209.78"/>
    <n v="108.8"/>
    <n v="381"/>
    <n v="202.8"/>
    <n v="2.58"/>
    <n v="200"/>
    <n v="1000"/>
    <n v="897"/>
    <s v="AWD"/>
    <n v="5"/>
    <s v="Coupe"/>
    <n v="38.799999999999997"/>
    <n v="1660"/>
    <n v="5"/>
    <n v="0"/>
    <x v="1"/>
    <x v="2"/>
    <n v="1723"/>
    <n v="4"/>
    <n v="3"/>
    <x v="0"/>
    <n v="3.5"/>
    <s v="Low"/>
  </r>
  <r>
    <x v="9"/>
    <s v="Mustang Mach-E"/>
    <x v="3"/>
    <s v="Performance"/>
    <n v="60546.720000000001"/>
    <n v="113"/>
    <n v="423"/>
    <n v="215.3"/>
    <n v="3.14"/>
    <n v="200"/>
    <n v="616"/>
    <n v="518"/>
    <s v="RWD"/>
    <n v="5"/>
    <s v="Coupe"/>
    <n v="21.1"/>
    <n v="1500"/>
    <n v="3"/>
    <n v="1"/>
    <x v="2"/>
    <x v="1"/>
    <n v="27560"/>
    <n v="3.8"/>
    <n v="5"/>
    <x v="0"/>
    <n v="3.74"/>
    <s v="High"/>
  </r>
  <r>
    <x v="4"/>
    <s v="Cybertruck"/>
    <x v="3"/>
    <s v="Premium"/>
    <n v="170547.81"/>
    <n v="44.5"/>
    <n v="153"/>
    <n v="226.9"/>
    <n v="7.93"/>
    <n v="132"/>
    <n v="1000"/>
    <n v="886"/>
    <s v="AWD"/>
    <n v="7"/>
    <s v="Truck"/>
    <n v="64.3"/>
    <n v="2453"/>
    <n v="4"/>
    <n v="2"/>
    <x v="2"/>
    <x v="0"/>
    <n v="192321"/>
    <n v="3.6"/>
    <n v="5"/>
    <x v="2"/>
    <n v="3.44"/>
    <s v="High"/>
  </r>
  <r>
    <x v="5"/>
    <s v="EQG"/>
    <x v="0"/>
    <s v="Base"/>
    <n v="82191.199999999997"/>
    <n v="71.099999999999994"/>
    <n v="281"/>
    <n v="116.5"/>
    <n v="6.68"/>
    <n v="154"/>
    <n v="357"/>
    <n v="352"/>
    <s v="RWD"/>
    <n v="5"/>
    <s v="Sedan"/>
    <n v="32.200000000000003"/>
    <n v="1500"/>
    <n v="4"/>
    <n v="1"/>
    <x v="0"/>
    <x v="2"/>
    <n v="59566"/>
    <n v="3.9"/>
    <n v="8"/>
    <x v="1"/>
    <n v="3.95"/>
    <s v="High"/>
  </r>
  <r>
    <x v="8"/>
    <s v="Ioniq 6"/>
    <x v="3"/>
    <s v="Premium"/>
    <n v="100947.83"/>
    <n v="60.5"/>
    <n v="195"/>
    <n v="110.8"/>
    <n v="7.91"/>
    <n v="135"/>
    <n v="1000"/>
    <n v="907"/>
    <s v="AWD"/>
    <n v="7"/>
    <s v="Hatchback"/>
    <n v="36.1"/>
    <n v="1597"/>
    <n v="5"/>
    <n v="0"/>
    <x v="3"/>
    <x v="0"/>
    <n v="101360"/>
    <n v="3.4"/>
    <n v="4"/>
    <x v="2"/>
    <n v="3.22"/>
    <s v="High"/>
  </r>
  <r>
    <x v="11"/>
    <s v="e-tron GT"/>
    <x v="2"/>
    <s v="Base"/>
    <n v="106732.12"/>
    <n v="80"/>
    <n v="268"/>
    <n v="74.2"/>
    <n v="7.52"/>
    <n v="142"/>
    <n v="810"/>
    <n v="693"/>
    <s v="FWD"/>
    <n v="5"/>
    <s v="Truck"/>
    <n v="72.900000000000006"/>
    <n v="2498"/>
    <n v="5"/>
    <n v="2"/>
    <x v="0"/>
    <x v="0"/>
    <n v="48443"/>
    <n v="3.5"/>
    <n v="7"/>
    <x v="2"/>
    <n v="3.35"/>
    <s v="High"/>
  </r>
  <r>
    <x v="9"/>
    <s v="Explorer EV"/>
    <x v="5"/>
    <s v="Premium"/>
    <n v="97985.03"/>
    <n v="84.1"/>
    <n v="304"/>
    <n v="53.7"/>
    <n v="6.12"/>
    <n v="167"/>
    <n v="1000"/>
    <n v="909"/>
    <s v="AWD"/>
    <n v="7"/>
    <s v="Sedan"/>
    <n v="39"/>
    <n v="1744"/>
    <n v="5"/>
    <n v="1"/>
    <x v="2"/>
    <x v="2"/>
    <n v="45069"/>
    <n v="3.5"/>
    <n v="3"/>
    <x v="1"/>
    <n v="3.61"/>
    <s v="High"/>
  </r>
  <r>
    <x v="0"/>
    <s v="ID.3"/>
    <x v="2"/>
    <s v="Base"/>
    <n v="38794.79"/>
    <n v="77.8"/>
    <n v="290"/>
    <n v="97.4"/>
    <n v="6.67"/>
    <n v="150"/>
    <n v="297"/>
    <n v="256"/>
    <s v="FWD"/>
    <n v="5"/>
    <s v="Coupe"/>
    <n v="30.9"/>
    <n v="1516"/>
    <n v="5"/>
    <n v="0"/>
    <x v="0"/>
    <x v="1"/>
    <n v="216258"/>
    <n v="3.8"/>
    <n v="3"/>
    <x v="1"/>
    <n v="3.73"/>
    <s v="High"/>
  </r>
  <r>
    <x v="4"/>
    <s v="Model Y"/>
    <x v="2"/>
    <s v="Standard"/>
    <n v="111996.5"/>
    <n v="50.5"/>
    <n v="190"/>
    <n v="287.89999999999998"/>
    <n v="5.63"/>
    <n v="165"/>
    <n v="825"/>
    <n v="736"/>
    <s v="FWD"/>
    <n v="5"/>
    <s v="Van"/>
    <n v="69.3"/>
    <n v="1500"/>
    <n v="4"/>
    <n v="3"/>
    <x v="2"/>
    <x v="0"/>
    <n v="445661"/>
    <n v="3.6"/>
    <n v="5"/>
    <x v="1"/>
    <n v="3.76"/>
    <s v="High"/>
  </r>
  <r>
    <x v="7"/>
    <s v="Dolphin"/>
    <x v="5"/>
    <s v="Long Range"/>
    <n v="49411.4"/>
    <n v="105.1"/>
    <n v="362"/>
    <n v="91.4"/>
    <n v="4.8899999999999997"/>
    <n v="181"/>
    <n v="512"/>
    <n v="489"/>
    <s v="RWD"/>
    <n v="7"/>
    <s v="SUV"/>
    <n v="38.700000000000003"/>
    <n v="1819"/>
    <n v="4"/>
    <n v="1"/>
    <x v="4"/>
    <x v="1"/>
    <n v="124104"/>
    <n v="3.7"/>
    <n v="4"/>
    <x v="1"/>
    <n v="3.44"/>
    <s v="High"/>
  </r>
  <r>
    <x v="3"/>
    <s v="EV6"/>
    <x v="0"/>
    <s v="Base"/>
    <n v="37474.58"/>
    <n v="58.6"/>
    <n v="209"/>
    <n v="135.69999999999999"/>
    <n v="7.4"/>
    <n v="141"/>
    <n v="306"/>
    <n v="230"/>
    <s v="FWD"/>
    <n v="5"/>
    <s v="Truck"/>
    <n v="52.5"/>
    <n v="2381"/>
    <n v="5"/>
    <n v="1"/>
    <x v="3"/>
    <x v="1"/>
    <n v="67143"/>
    <n v="3.3"/>
    <n v="4"/>
    <x v="2"/>
    <n v="3.57"/>
    <s v="High"/>
  </r>
  <r>
    <x v="10"/>
    <s v="i3"/>
    <x v="5"/>
    <s v="Performance"/>
    <n v="148406.75"/>
    <n v="116.4"/>
    <n v="409"/>
    <n v="231.2"/>
    <n v="4.17"/>
    <n v="187"/>
    <n v="1000"/>
    <n v="922"/>
    <s v="AWD"/>
    <n v="5"/>
    <s v="Hatchback"/>
    <n v="25.9"/>
    <n v="1500"/>
    <n v="4"/>
    <n v="2"/>
    <x v="0"/>
    <x v="0"/>
    <n v="27898"/>
    <n v="3.8"/>
    <n v="6"/>
    <x v="1"/>
    <n v="3.51"/>
    <s v="High"/>
  </r>
  <r>
    <x v="7"/>
    <s v="Qin"/>
    <x v="2"/>
    <s v="Standard"/>
    <n v="46656.51"/>
    <n v="45.6"/>
    <n v="150"/>
    <n v="62.6"/>
    <n v="6.11"/>
    <n v="167"/>
    <n v="542"/>
    <n v="509"/>
    <s v="AWD"/>
    <n v="5"/>
    <s v="SUV"/>
    <n v="50.9"/>
    <n v="2255"/>
    <n v="5"/>
    <n v="0"/>
    <x v="4"/>
    <x v="1"/>
    <n v="249607"/>
    <n v="3.3"/>
    <n v="4"/>
    <x v="1"/>
    <n v="3.29"/>
    <s v="High"/>
  </r>
  <r>
    <x v="4"/>
    <s v="Model X"/>
    <x v="4"/>
    <s v="Premium"/>
    <n v="97027.76"/>
    <n v="71.400000000000006"/>
    <n v="235"/>
    <n v="273.3"/>
    <n v="6.57"/>
    <n v="150"/>
    <n v="685"/>
    <n v="574"/>
    <s v="AWD"/>
    <n v="5"/>
    <s v="Van"/>
    <n v="69.8"/>
    <n v="1693"/>
    <n v="4"/>
    <n v="2"/>
    <x v="2"/>
    <x v="2"/>
    <n v="229836"/>
    <n v="3.9"/>
    <n v="4"/>
    <x v="1"/>
    <n v="3.29"/>
    <s v="High"/>
  </r>
  <r>
    <x v="5"/>
    <s v="EQG"/>
    <x v="5"/>
    <s v="Base"/>
    <n v="129546.31"/>
    <n v="72"/>
    <n v="248"/>
    <n v="143.1"/>
    <n v="5.2"/>
    <n v="174"/>
    <n v="759"/>
    <n v="725"/>
    <s v="AWD"/>
    <n v="5"/>
    <s v="Truck"/>
    <n v="57.9"/>
    <n v="2639"/>
    <n v="4"/>
    <n v="1"/>
    <x v="0"/>
    <x v="0"/>
    <n v="57503"/>
    <n v="3.6"/>
    <n v="6"/>
    <x v="1"/>
    <n v="3.44"/>
    <s v="High"/>
  </r>
  <r>
    <x v="19"/>
    <n v="2"/>
    <x v="3"/>
    <s v="Performance"/>
    <n v="93833.94"/>
    <n v="111.8"/>
    <n v="383"/>
    <n v="189.1"/>
    <n v="3.06"/>
    <n v="200"/>
    <n v="651"/>
    <n v="663"/>
    <s v="AWD"/>
    <n v="5"/>
    <s v="Coupe"/>
    <n v="23.1"/>
    <n v="1500"/>
    <n v="5"/>
    <n v="0"/>
    <x v="5"/>
    <x v="2"/>
    <n v="6307"/>
    <n v="3.4"/>
    <n v="4"/>
    <x v="0"/>
    <n v="3.43"/>
    <s v="Medium"/>
  </r>
  <r>
    <x v="8"/>
    <s v="i30"/>
    <x v="0"/>
    <s v="Base"/>
    <n v="37474.79"/>
    <n v="56.5"/>
    <n v="218"/>
    <n v="51.4"/>
    <n v="7.69"/>
    <n v="134"/>
    <n v="268"/>
    <n v="228"/>
    <s v="FWD"/>
    <n v="7"/>
    <s v="Van"/>
    <n v="74.3"/>
    <n v="1504"/>
    <n v="4"/>
    <n v="0"/>
    <x v="3"/>
    <x v="1"/>
    <n v="129662"/>
    <n v="3.5"/>
    <n v="3"/>
    <x v="2"/>
    <n v="3.86"/>
    <s v="High"/>
  </r>
  <r>
    <x v="4"/>
    <s v="Cybertruck"/>
    <x v="3"/>
    <s v="Standard"/>
    <n v="127335.12"/>
    <n v="71.900000000000006"/>
    <n v="270"/>
    <n v="329.2"/>
    <n v="5.09"/>
    <n v="175"/>
    <n v="976"/>
    <n v="906"/>
    <s v="AWD"/>
    <n v="5"/>
    <s v="Truck"/>
    <n v="73.5"/>
    <n v="2328"/>
    <n v="5"/>
    <n v="3"/>
    <x v="2"/>
    <x v="0"/>
    <n v="188107"/>
    <n v="3.8"/>
    <n v="4"/>
    <x v="1"/>
    <n v="3.76"/>
    <s v="High"/>
  </r>
  <r>
    <x v="7"/>
    <s v="Atto 3"/>
    <x v="2"/>
    <s v="Base"/>
    <n v="50360.89"/>
    <n v="69.3"/>
    <n v="238"/>
    <n v="62.5"/>
    <n v="7.82"/>
    <n v="139"/>
    <n v="602"/>
    <n v="568"/>
    <s v="RWD"/>
    <n v="7"/>
    <s v="Sedan"/>
    <n v="22.9"/>
    <n v="1615"/>
    <n v="5"/>
    <n v="1"/>
    <x v="4"/>
    <x v="1"/>
    <n v="209468"/>
    <n v="3.2"/>
    <n v="4"/>
    <x v="2"/>
    <n v="3.43"/>
    <s v="High"/>
  </r>
  <r>
    <x v="4"/>
    <s v="Model 3"/>
    <x v="2"/>
    <s v="Premium"/>
    <n v="152844.99"/>
    <n v="77.099999999999994"/>
    <n v="281"/>
    <n v="258.10000000000002"/>
    <n v="5.34"/>
    <n v="172"/>
    <n v="1000"/>
    <n v="937"/>
    <s v="AWD"/>
    <n v="5"/>
    <s v="Truck"/>
    <n v="59.8"/>
    <n v="2696"/>
    <n v="4"/>
    <n v="3"/>
    <x v="2"/>
    <x v="0"/>
    <n v="153103"/>
    <n v="4.0999999999999996"/>
    <n v="5"/>
    <x v="1"/>
    <n v="3.64"/>
    <s v="High"/>
  </r>
  <r>
    <x v="13"/>
    <s v="R2"/>
    <x v="3"/>
    <s v="Performance"/>
    <n v="117871.06"/>
    <n v="81.900000000000006"/>
    <n v="280"/>
    <n v="195.9"/>
    <n v="3.79"/>
    <n v="199"/>
    <n v="1000"/>
    <n v="922"/>
    <s v="RWD"/>
    <n v="7"/>
    <s v="Truck"/>
    <n v="57.1"/>
    <n v="2401"/>
    <n v="5"/>
    <n v="0"/>
    <x v="2"/>
    <x v="0"/>
    <n v="14378"/>
    <n v="3.8"/>
    <n v="6"/>
    <x v="0"/>
    <n v="3.42"/>
    <s v="Medium"/>
  </r>
  <r>
    <x v="4"/>
    <s v="Model X"/>
    <x v="3"/>
    <s v="Performance"/>
    <n v="126875.08"/>
    <n v="98.3"/>
    <n v="345"/>
    <n v="202.5"/>
    <n v="4.3"/>
    <n v="198"/>
    <n v="914"/>
    <n v="835"/>
    <s v="AWD"/>
    <n v="7"/>
    <s v="Van"/>
    <n v="65.400000000000006"/>
    <n v="1500"/>
    <n v="5"/>
    <n v="2"/>
    <x v="2"/>
    <x v="0"/>
    <n v="158417"/>
    <n v="3.7"/>
    <n v="5"/>
    <x v="1"/>
    <n v="3.51"/>
    <s v="High"/>
  </r>
  <r>
    <x v="3"/>
    <s v="Picanto EV"/>
    <x v="2"/>
    <s v="Long Range"/>
    <n v="57850.5"/>
    <n v="101.6"/>
    <n v="350"/>
    <n v="134.1"/>
    <n v="5.74"/>
    <n v="162"/>
    <n v="632"/>
    <n v="525"/>
    <s v="AWD"/>
    <n v="5"/>
    <s v="Coupe"/>
    <n v="39.700000000000003"/>
    <n v="1735"/>
    <n v="5"/>
    <n v="2"/>
    <x v="3"/>
    <x v="1"/>
    <n v="125554"/>
    <n v="3.5"/>
    <n v="4"/>
    <x v="1"/>
    <n v="3.44"/>
    <s v="High"/>
  </r>
  <r>
    <x v="7"/>
    <s v="Max"/>
    <x v="2"/>
    <s v="Base"/>
    <n v="70890.539999999994"/>
    <n v="64.5"/>
    <n v="242"/>
    <n v="135.69999999999999"/>
    <n v="7.45"/>
    <n v="138"/>
    <n v="713"/>
    <n v="594"/>
    <s v="AWD"/>
    <n v="7"/>
    <s v="Truck"/>
    <n v="77.400000000000006"/>
    <n v="2252"/>
    <n v="5"/>
    <n v="1"/>
    <x v="4"/>
    <x v="2"/>
    <n v="119629"/>
    <n v="3.4"/>
    <n v="4"/>
    <x v="2"/>
    <n v="3.75"/>
    <s v="High"/>
  </r>
  <r>
    <x v="3"/>
    <s v="Picanto EV"/>
    <x v="2"/>
    <s v="Performance"/>
    <n v="105759.07"/>
    <n v="79.7"/>
    <n v="278"/>
    <n v="170.3"/>
    <n v="3.07"/>
    <n v="200"/>
    <n v="1000"/>
    <n v="892"/>
    <s v="AWD"/>
    <n v="7"/>
    <s v="Hatchback"/>
    <n v="16.899999999999999"/>
    <n v="1819"/>
    <n v="3"/>
    <n v="2"/>
    <x v="3"/>
    <x v="0"/>
    <n v="107830"/>
    <n v="3.6"/>
    <n v="5"/>
    <x v="0"/>
    <n v="3.49"/>
    <s v="High"/>
  </r>
  <r>
    <x v="10"/>
    <s v="i5"/>
    <x v="3"/>
    <s v="Performance"/>
    <n v="83830.66"/>
    <n v="91.7"/>
    <n v="316"/>
    <n v="249.1"/>
    <n v="3.65"/>
    <n v="188"/>
    <n v="634"/>
    <n v="606"/>
    <s v="RWD"/>
    <n v="7"/>
    <s v="Truck"/>
    <n v="64.3"/>
    <n v="2285"/>
    <n v="4"/>
    <n v="1"/>
    <x v="0"/>
    <x v="2"/>
    <n v="61677"/>
    <n v="3.4"/>
    <n v="7"/>
    <x v="0"/>
    <n v="3.45"/>
    <s v="High"/>
  </r>
  <r>
    <x v="5"/>
    <s v="EQE"/>
    <x v="5"/>
    <s v="Performance"/>
    <n v="148924.89000000001"/>
    <n v="98.3"/>
    <n v="357"/>
    <n v="181.1"/>
    <n v="4.0999999999999996"/>
    <n v="196"/>
    <n v="945"/>
    <n v="822"/>
    <s v="AWD"/>
    <n v="7"/>
    <s v="SUV"/>
    <n v="61.2"/>
    <n v="1889"/>
    <n v="4"/>
    <n v="2"/>
    <x v="0"/>
    <x v="0"/>
    <n v="66282"/>
    <n v="3.8"/>
    <n v="7"/>
    <x v="1"/>
    <n v="3.63"/>
    <s v="High"/>
  </r>
  <r>
    <x v="7"/>
    <s v="Atto 3"/>
    <x v="1"/>
    <s v="Base"/>
    <n v="49226.29"/>
    <n v="46.7"/>
    <n v="177"/>
    <n v="51.6"/>
    <n v="5.54"/>
    <n v="160"/>
    <n v="529"/>
    <n v="492"/>
    <s v="FWD"/>
    <n v="5"/>
    <s v="Coupe"/>
    <n v="20.6"/>
    <n v="1609"/>
    <n v="5"/>
    <n v="1"/>
    <x v="4"/>
    <x v="1"/>
    <n v="172454"/>
    <n v="3.3"/>
    <n v="4"/>
    <x v="1"/>
    <n v="3.79"/>
    <s v="High"/>
  </r>
  <r>
    <x v="4"/>
    <s v="Model S"/>
    <x v="3"/>
    <s v="Base"/>
    <n v="29411.54"/>
    <n v="61.2"/>
    <n v="220"/>
    <n v="302.10000000000002"/>
    <n v="7.98"/>
    <n v="127"/>
    <n v="220"/>
    <n v="213"/>
    <s v="AWD"/>
    <n v="5"/>
    <s v="Hatchback"/>
    <n v="31.9"/>
    <n v="1705"/>
    <n v="5"/>
    <n v="2"/>
    <x v="2"/>
    <x v="3"/>
    <n v="206579"/>
    <n v="3.6"/>
    <n v="6"/>
    <x v="2"/>
    <n v="3.59"/>
    <s v="High"/>
  </r>
  <r>
    <x v="4"/>
    <s v="Cybertruck"/>
    <x v="2"/>
    <s v="Standard"/>
    <n v="107897.62"/>
    <n v="47.5"/>
    <n v="178"/>
    <n v="311.3"/>
    <n v="5.76"/>
    <n v="160"/>
    <n v="752"/>
    <n v="668"/>
    <s v="FWD"/>
    <n v="5"/>
    <s v="Truck"/>
    <n v="68.7"/>
    <n v="2227"/>
    <n v="5"/>
    <n v="2"/>
    <x v="2"/>
    <x v="0"/>
    <n v="188033"/>
    <n v="3.4"/>
    <n v="4"/>
    <x v="1"/>
    <n v="3.75"/>
    <s v="High"/>
  </r>
  <r>
    <x v="11"/>
    <s v="e-tron GT"/>
    <x v="1"/>
    <s v="Premium"/>
    <n v="137631.97"/>
    <n v="43.1"/>
    <n v="150"/>
    <n v="69.099999999999994"/>
    <n v="5.31"/>
    <n v="168"/>
    <n v="1000"/>
    <n v="941"/>
    <s v="RWD"/>
    <n v="5"/>
    <s v="Truck"/>
    <n v="68.3"/>
    <n v="2791"/>
    <n v="4"/>
    <n v="2"/>
    <x v="0"/>
    <x v="0"/>
    <n v="74974"/>
    <n v="3.3"/>
    <n v="5"/>
    <x v="1"/>
    <n v="3.48"/>
    <s v="High"/>
  </r>
  <r>
    <x v="11"/>
    <s v="e-tron GT"/>
    <x v="2"/>
    <s v="Base"/>
    <n v="65798.710000000006"/>
    <n v="76.8"/>
    <n v="250"/>
    <n v="129.69999999999999"/>
    <n v="6.28"/>
    <n v="160"/>
    <n v="369"/>
    <n v="263"/>
    <s v="RWD"/>
    <n v="7"/>
    <s v="Truck"/>
    <n v="50.6"/>
    <n v="2305"/>
    <n v="4"/>
    <n v="2"/>
    <x v="0"/>
    <x v="2"/>
    <n v="52856"/>
    <n v="3.8"/>
    <n v="8"/>
    <x v="1"/>
    <n v="3.26"/>
    <s v="High"/>
  </r>
  <r>
    <x v="3"/>
    <s v="Niro EV"/>
    <x v="1"/>
    <s v="Premium"/>
    <n v="93773.43"/>
    <n v="61.9"/>
    <n v="194"/>
    <n v="129.30000000000001"/>
    <n v="6.81"/>
    <n v="152"/>
    <n v="1000"/>
    <n v="944"/>
    <s v="AWD"/>
    <n v="5"/>
    <s v="Truck"/>
    <n v="60.1"/>
    <n v="2450"/>
    <n v="5"/>
    <n v="1"/>
    <x v="3"/>
    <x v="2"/>
    <n v="126881"/>
    <n v="3.6"/>
    <n v="3"/>
    <x v="1"/>
    <n v="3.13"/>
    <s v="High"/>
  </r>
  <r>
    <x v="3"/>
    <s v="Picanto EV"/>
    <x v="2"/>
    <s v="Base"/>
    <n v="57643.94"/>
    <n v="54.7"/>
    <n v="170"/>
    <n v="147.9"/>
    <n v="6.49"/>
    <n v="150"/>
    <n v="606"/>
    <n v="551"/>
    <s v="AWD"/>
    <n v="5"/>
    <s v="Sedan"/>
    <n v="37.6"/>
    <n v="1686"/>
    <n v="5"/>
    <n v="1"/>
    <x v="3"/>
    <x v="1"/>
    <n v="149672"/>
    <n v="3.4"/>
    <n v="3"/>
    <x v="1"/>
    <n v="3.11"/>
    <s v="High"/>
  </r>
  <r>
    <x v="10"/>
    <s v="i5"/>
    <x v="1"/>
    <s v="Performance"/>
    <n v="102440.51"/>
    <n v="94.7"/>
    <n v="337"/>
    <n v="226.8"/>
    <n v="3.87"/>
    <n v="184"/>
    <n v="790"/>
    <n v="750"/>
    <s v="RWD"/>
    <n v="5"/>
    <s v="Hatchback"/>
    <n v="32.299999999999997"/>
    <n v="1545"/>
    <n v="3"/>
    <n v="2"/>
    <x v="0"/>
    <x v="0"/>
    <n v="23392"/>
    <n v="3.7"/>
    <n v="7"/>
    <x v="0"/>
    <n v="3.56"/>
    <s v="High"/>
  </r>
  <r>
    <x v="4"/>
    <s v="Cybertruck"/>
    <x v="2"/>
    <s v="Base"/>
    <n v="49296.66"/>
    <n v="41.7"/>
    <n v="153"/>
    <n v="274.8"/>
    <n v="7.39"/>
    <n v="134"/>
    <n v="302"/>
    <n v="303"/>
    <s v="FWD"/>
    <n v="5"/>
    <s v="Truck"/>
    <n v="60.8"/>
    <n v="2643"/>
    <n v="5"/>
    <n v="3"/>
    <x v="2"/>
    <x v="1"/>
    <n v="241001"/>
    <n v="3.7"/>
    <n v="6"/>
    <x v="2"/>
    <n v="3.67"/>
    <s v="High"/>
  </r>
  <r>
    <x v="13"/>
    <s v="R1S"/>
    <x v="2"/>
    <s v="Performance"/>
    <n v="118076.47"/>
    <n v="74"/>
    <n v="249"/>
    <n v="161.6"/>
    <n v="3.41"/>
    <n v="194"/>
    <n v="1000"/>
    <n v="911"/>
    <s v="RWD"/>
    <n v="7"/>
    <s v="Hatchback"/>
    <n v="35.5"/>
    <n v="1514"/>
    <n v="5"/>
    <n v="1"/>
    <x v="2"/>
    <x v="0"/>
    <n v="656"/>
    <n v="3.5"/>
    <n v="5"/>
    <x v="0"/>
    <n v="3.36"/>
    <s v="Low"/>
  </r>
  <r>
    <x v="0"/>
    <s v="ID.4"/>
    <x v="0"/>
    <s v="Premium"/>
    <n v="69215.27"/>
    <n v="62"/>
    <n v="197"/>
    <n v="117.5"/>
    <n v="7.34"/>
    <n v="136"/>
    <n v="704"/>
    <n v="655"/>
    <s v="AWD"/>
    <n v="7"/>
    <s v="Truck"/>
    <n v="74.3"/>
    <n v="2586"/>
    <n v="5"/>
    <n v="1"/>
    <x v="0"/>
    <x v="2"/>
    <n v="211559"/>
    <n v="3.6"/>
    <n v="4"/>
    <x v="2"/>
    <n v="3.18"/>
    <s v="High"/>
  </r>
  <r>
    <x v="0"/>
    <s v="ID. Aero"/>
    <x v="5"/>
    <s v="Standard"/>
    <n v="86339.6"/>
    <n v="57.8"/>
    <n v="217"/>
    <n v="149.69999999999999"/>
    <n v="7.31"/>
    <n v="145"/>
    <n v="1000"/>
    <n v="837"/>
    <s v="FWD"/>
    <n v="5"/>
    <s v="Sedan"/>
    <n v="35"/>
    <n v="1882"/>
    <n v="5"/>
    <n v="0"/>
    <x v="0"/>
    <x v="2"/>
    <n v="279621"/>
    <n v="3.4"/>
    <n v="3"/>
    <x v="2"/>
    <n v="3.75"/>
    <s v="High"/>
  </r>
  <r>
    <x v="8"/>
    <s v="Ioniq 6"/>
    <x v="0"/>
    <s v="Base"/>
    <n v="41678.26"/>
    <n v="66.400000000000006"/>
    <n v="252"/>
    <n v="83.9"/>
    <n v="7.12"/>
    <n v="155"/>
    <n v="368"/>
    <n v="362"/>
    <s v="AWD"/>
    <n v="5"/>
    <s v="Van"/>
    <n v="69.3"/>
    <n v="1580"/>
    <n v="4"/>
    <n v="1"/>
    <x v="3"/>
    <x v="1"/>
    <n v="52756"/>
    <n v="3.3"/>
    <n v="4"/>
    <x v="2"/>
    <n v="3.8"/>
    <s v="High"/>
  </r>
  <r>
    <x v="4"/>
    <s v="Cybertruck"/>
    <x v="3"/>
    <s v="Premium"/>
    <n v="131326.82"/>
    <n v="44.5"/>
    <n v="172"/>
    <n v="271"/>
    <n v="6.26"/>
    <n v="164"/>
    <n v="951"/>
    <n v="870"/>
    <s v="AWD"/>
    <n v="5"/>
    <s v="Truck"/>
    <n v="73.099999999999994"/>
    <n v="2711"/>
    <n v="5"/>
    <n v="2"/>
    <x v="2"/>
    <x v="0"/>
    <n v="195107"/>
    <n v="3.7"/>
    <n v="5"/>
    <x v="1"/>
    <n v="3.87"/>
    <s v="High"/>
  </r>
  <r>
    <x v="4"/>
    <s v="Model X"/>
    <x v="3"/>
    <s v="Base"/>
    <n v="106034.49"/>
    <n v="82.6"/>
    <n v="286"/>
    <n v="201.7"/>
    <n v="6.63"/>
    <n v="151"/>
    <n v="719"/>
    <n v="582"/>
    <s v="FWD"/>
    <n v="7"/>
    <s v="Van"/>
    <n v="75.5"/>
    <n v="1771"/>
    <n v="5"/>
    <n v="2"/>
    <x v="2"/>
    <x v="0"/>
    <n v="136623"/>
    <n v="3.7"/>
    <n v="6"/>
    <x v="1"/>
    <n v="3.46"/>
    <s v="High"/>
  </r>
  <r>
    <x v="2"/>
    <s v="Blazer EV"/>
    <x v="0"/>
    <s v="Performance"/>
    <n v="60380.4"/>
    <n v="91.2"/>
    <n v="308"/>
    <n v="182.4"/>
    <n v="3.99"/>
    <n v="199"/>
    <n v="753"/>
    <n v="660"/>
    <s v="RWD"/>
    <n v="7"/>
    <s v="Van"/>
    <n v="76.900000000000006"/>
    <n v="1584"/>
    <n v="3"/>
    <n v="1"/>
    <x v="2"/>
    <x v="1"/>
    <n v="8909"/>
    <n v="3.8"/>
    <n v="3"/>
    <x v="0"/>
    <n v="3.38"/>
    <s v="Medium"/>
  </r>
  <r>
    <x v="4"/>
    <s v="Model Y"/>
    <x v="2"/>
    <s v="Performance"/>
    <n v="141348.91"/>
    <n v="115.7"/>
    <n v="409"/>
    <n v="243.6"/>
    <n v="3.11"/>
    <n v="200"/>
    <n v="1000"/>
    <n v="942"/>
    <s v="AWD"/>
    <n v="5"/>
    <s v="Coupe"/>
    <n v="26.6"/>
    <n v="1540"/>
    <n v="4"/>
    <n v="2"/>
    <x v="2"/>
    <x v="0"/>
    <n v="490678"/>
    <n v="4.5"/>
    <n v="4"/>
    <x v="0"/>
    <n v="3.54"/>
    <s v="High"/>
  </r>
  <r>
    <x v="3"/>
    <s v="Picanto EV"/>
    <x v="3"/>
    <s v="Base"/>
    <n v="33502.19"/>
    <n v="82.4"/>
    <n v="304"/>
    <n v="74.7"/>
    <n v="7.22"/>
    <n v="144"/>
    <n v="220"/>
    <n v="238"/>
    <s v="FWD"/>
    <n v="7"/>
    <s v="Van"/>
    <n v="76.5"/>
    <n v="1588"/>
    <n v="4"/>
    <n v="0"/>
    <x v="3"/>
    <x v="3"/>
    <n v="70571"/>
    <n v="3.5"/>
    <n v="4"/>
    <x v="2"/>
    <n v="3.69"/>
    <s v="High"/>
  </r>
  <r>
    <x v="7"/>
    <s v="Seagull"/>
    <x v="3"/>
    <s v="Premium"/>
    <n v="98579.06"/>
    <n v="64.3"/>
    <n v="224"/>
    <n v="56.8"/>
    <n v="6.74"/>
    <n v="143"/>
    <n v="1000"/>
    <n v="891"/>
    <s v="AWD"/>
    <n v="5"/>
    <s v="Coupe"/>
    <n v="19.3"/>
    <n v="1606"/>
    <n v="5"/>
    <n v="0"/>
    <x v="4"/>
    <x v="2"/>
    <n v="142672"/>
    <n v="3.3"/>
    <n v="3"/>
    <x v="1"/>
    <n v="3.48"/>
    <s v="High"/>
  </r>
  <r>
    <x v="0"/>
    <s v="ID. Aero"/>
    <x v="2"/>
    <s v="Base"/>
    <n v="29413.61"/>
    <n v="69.3"/>
    <n v="264"/>
    <n v="107.2"/>
    <n v="7.54"/>
    <n v="131"/>
    <n v="186"/>
    <n v="208"/>
    <s v="AWD"/>
    <n v="5"/>
    <s v="SUV"/>
    <n v="38.299999999999997"/>
    <n v="2196"/>
    <n v="5"/>
    <n v="1"/>
    <x v="0"/>
    <x v="3"/>
    <n v="268683"/>
    <n v="3.6"/>
    <n v="4"/>
    <x v="2"/>
    <n v="3.81"/>
    <s v="High"/>
  </r>
  <r>
    <x v="7"/>
    <s v="Atto 3"/>
    <x v="3"/>
    <s v="Long Range"/>
    <n v="32535.18"/>
    <n v="92"/>
    <n v="307"/>
    <n v="138.69999999999999"/>
    <n v="5.28"/>
    <n v="175"/>
    <n v="341"/>
    <n v="309"/>
    <s v="RWD"/>
    <n v="5"/>
    <s v="Sedan"/>
    <n v="39.200000000000003"/>
    <n v="1704"/>
    <n v="4"/>
    <n v="2"/>
    <x v="4"/>
    <x v="3"/>
    <n v="218123"/>
    <n v="3.5"/>
    <n v="3"/>
    <x v="1"/>
    <n v="3.34"/>
    <s v="High"/>
  </r>
  <r>
    <x v="0"/>
    <s v="ID.5"/>
    <x v="2"/>
    <s v="Performance"/>
    <n v="106703.67"/>
    <n v="90.5"/>
    <n v="330"/>
    <n v="247.6"/>
    <n v="4.38"/>
    <n v="192"/>
    <n v="1000"/>
    <n v="884"/>
    <s v="RWD"/>
    <n v="7"/>
    <s v="Van"/>
    <n v="61.7"/>
    <n v="1614"/>
    <n v="5"/>
    <n v="0"/>
    <x v="0"/>
    <x v="0"/>
    <n v="282713"/>
    <n v="3.5"/>
    <n v="3"/>
    <x v="1"/>
    <n v="3.65"/>
    <s v="High"/>
  </r>
  <r>
    <x v="2"/>
    <s v="Bolt EUV"/>
    <x v="3"/>
    <s v="Premium"/>
    <n v="61871.83"/>
    <n v="57.9"/>
    <n v="176"/>
    <n v="120.9"/>
    <n v="5.75"/>
    <n v="168"/>
    <n v="782"/>
    <n v="728"/>
    <s v="RWD"/>
    <n v="5"/>
    <s v="Hatchback"/>
    <n v="24.9"/>
    <n v="1500"/>
    <n v="5"/>
    <n v="0"/>
    <x v="2"/>
    <x v="1"/>
    <n v="10487"/>
    <n v="3.2"/>
    <n v="3"/>
    <x v="1"/>
    <n v="3.04"/>
    <s v="Medium"/>
  </r>
  <r>
    <x v="7"/>
    <s v="Yuan Plus"/>
    <x v="2"/>
    <s v="Base"/>
    <n v="31743.27"/>
    <n v="82.5"/>
    <n v="285"/>
    <n v="136.5"/>
    <n v="5.75"/>
    <n v="166"/>
    <n v="292"/>
    <n v="292"/>
    <s v="AWD"/>
    <n v="5"/>
    <s v="SUV"/>
    <n v="63.5"/>
    <n v="1787"/>
    <n v="4"/>
    <n v="1"/>
    <x v="4"/>
    <x v="3"/>
    <n v="226541"/>
    <n v="3.6"/>
    <n v="3"/>
    <x v="1"/>
    <n v="3.45"/>
    <s v="High"/>
  </r>
  <r>
    <x v="3"/>
    <s v="Sportage EV"/>
    <x v="3"/>
    <s v="Performance"/>
    <n v="72347.59"/>
    <n v="112"/>
    <n v="369"/>
    <n v="204.8"/>
    <n v="4.18"/>
    <n v="185"/>
    <n v="800"/>
    <n v="714"/>
    <s v="AWD"/>
    <n v="7"/>
    <s v="SUV"/>
    <n v="37.5"/>
    <n v="2315"/>
    <n v="3"/>
    <n v="0"/>
    <x v="3"/>
    <x v="2"/>
    <n v="144057"/>
    <n v="3.6"/>
    <n v="3"/>
    <x v="1"/>
    <n v="3.29"/>
    <s v="High"/>
  </r>
  <r>
    <x v="8"/>
    <s v="Ioniq 6"/>
    <x v="3"/>
    <s v="Performance"/>
    <n v="47415.02"/>
    <n v="112.3"/>
    <n v="399"/>
    <n v="174.2"/>
    <n v="3.55"/>
    <n v="200"/>
    <n v="463"/>
    <n v="391"/>
    <s v="FWD"/>
    <n v="7"/>
    <s v="Hatchback"/>
    <n v="22.4"/>
    <n v="1581"/>
    <n v="5"/>
    <n v="2"/>
    <x v="3"/>
    <x v="1"/>
    <n v="102665"/>
    <n v="4"/>
    <n v="3"/>
    <x v="0"/>
    <n v="3.55"/>
    <s v="High"/>
  </r>
  <r>
    <x v="10"/>
    <s v="i4"/>
    <x v="0"/>
    <s v="Standard"/>
    <n v="101992.19"/>
    <n v="49.3"/>
    <n v="168"/>
    <n v="109.7"/>
    <n v="5.58"/>
    <n v="165"/>
    <n v="804"/>
    <n v="703"/>
    <s v="FWD"/>
    <n v="7"/>
    <s v="Sedan"/>
    <n v="32.1"/>
    <n v="1856"/>
    <n v="5"/>
    <n v="2"/>
    <x v="0"/>
    <x v="0"/>
    <n v="24913"/>
    <n v="3.3"/>
    <n v="6"/>
    <x v="1"/>
    <n v="3.41"/>
    <s v="High"/>
  </r>
  <r>
    <x v="12"/>
    <s v="EC6"/>
    <x v="3"/>
    <s v="Premium"/>
    <n v="83405.89"/>
    <n v="75.400000000000006"/>
    <n v="277"/>
    <n v="62"/>
    <n v="5.21"/>
    <n v="164"/>
    <n v="723"/>
    <n v="689"/>
    <s v="RWD"/>
    <n v="7"/>
    <s v="Van"/>
    <n v="74.900000000000006"/>
    <n v="1673"/>
    <n v="5"/>
    <n v="0"/>
    <x v="4"/>
    <x v="2"/>
    <n v="11073"/>
    <n v="3.3"/>
    <n v="5"/>
    <x v="1"/>
    <n v="3.67"/>
    <s v="Medium"/>
  </r>
  <r>
    <x v="2"/>
    <s v="Blazer EV"/>
    <x v="0"/>
    <s v="Performance"/>
    <n v="77802.210000000006"/>
    <n v="81.5"/>
    <n v="300"/>
    <n v="152.9"/>
    <n v="3.57"/>
    <n v="195"/>
    <n v="1000"/>
    <n v="925"/>
    <s v="AWD"/>
    <n v="5"/>
    <s v="Truck"/>
    <n v="65"/>
    <n v="2508"/>
    <n v="5"/>
    <n v="1"/>
    <x v="2"/>
    <x v="2"/>
    <n v="18415"/>
    <n v="3.9"/>
    <n v="4"/>
    <x v="0"/>
    <n v="3.68"/>
    <s v="Medium"/>
  </r>
  <r>
    <x v="7"/>
    <s v="Atto 3"/>
    <x v="2"/>
    <s v="Performance"/>
    <n v="53801.14"/>
    <n v="101.6"/>
    <n v="365"/>
    <n v="242.3"/>
    <n v="2.5099999999999998"/>
    <n v="200"/>
    <n v="595"/>
    <n v="572"/>
    <s v="AWD"/>
    <n v="7"/>
    <s v="Van"/>
    <n v="64.5"/>
    <n v="1590"/>
    <n v="5"/>
    <n v="0"/>
    <x v="4"/>
    <x v="1"/>
    <n v="168996"/>
    <n v="3.7"/>
    <n v="4"/>
    <x v="0"/>
    <n v="3.59"/>
    <s v="High"/>
  </r>
  <r>
    <x v="4"/>
    <s v="Model 3"/>
    <x v="3"/>
    <s v="Long Range"/>
    <n v="84190.57"/>
    <n v="98"/>
    <n v="350"/>
    <n v="308.3"/>
    <n v="4.72"/>
    <n v="182"/>
    <n v="592"/>
    <n v="522"/>
    <s v="RWD"/>
    <n v="7"/>
    <s v="Coupe"/>
    <n v="32"/>
    <n v="1694"/>
    <n v="4"/>
    <n v="2"/>
    <x v="2"/>
    <x v="2"/>
    <n v="181874"/>
    <n v="3.9"/>
    <n v="4"/>
    <x v="1"/>
    <n v="3.57"/>
    <s v="High"/>
  </r>
  <r>
    <x v="7"/>
    <s v="Qin"/>
    <x v="0"/>
    <s v="Base"/>
    <n v="40160.18"/>
    <n v="61.8"/>
    <n v="214"/>
    <n v="142.4"/>
    <n v="5.79"/>
    <n v="164"/>
    <n v="401"/>
    <n v="356"/>
    <s v="FWD"/>
    <n v="7"/>
    <s v="Hatchback"/>
    <n v="39.299999999999997"/>
    <n v="1500"/>
    <n v="5"/>
    <n v="0"/>
    <x v="4"/>
    <x v="1"/>
    <n v="234883"/>
    <n v="3.4"/>
    <n v="3"/>
    <x v="1"/>
    <n v="3.46"/>
    <s v="High"/>
  </r>
  <r>
    <x v="3"/>
    <s v="EV6"/>
    <x v="1"/>
    <s v="Performance"/>
    <n v="48028.480000000003"/>
    <n v="102.7"/>
    <n v="351"/>
    <n v="182"/>
    <n v="3.29"/>
    <n v="200"/>
    <n v="489"/>
    <n v="421"/>
    <s v="AWD"/>
    <n v="5"/>
    <s v="Hatchback"/>
    <n v="27.7"/>
    <n v="1500"/>
    <n v="4"/>
    <n v="2"/>
    <x v="3"/>
    <x v="1"/>
    <n v="81607"/>
    <n v="3.7"/>
    <n v="5"/>
    <x v="0"/>
    <n v="3.42"/>
    <s v="High"/>
  </r>
  <r>
    <x v="4"/>
    <s v="Model S"/>
    <x v="5"/>
    <s v="Performance"/>
    <n v="120990.97"/>
    <n v="76.900000000000006"/>
    <n v="272"/>
    <n v="208.1"/>
    <n v="2.81"/>
    <n v="200"/>
    <n v="841"/>
    <n v="743"/>
    <s v="AWD"/>
    <n v="7"/>
    <s v="Truck"/>
    <n v="77.7"/>
    <n v="2847"/>
    <n v="4"/>
    <n v="2"/>
    <x v="2"/>
    <x v="0"/>
    <n v="177875"/>
    <n v="3.7"/>
    <n v="5"/>
    <x v="0"/>
    <n v="3.54"/>
    <s v="High"/>
  </r>
  <r>
    <x v="8"/>
    <s v="i30"/>
    <x v="1"/>
    <s v="Base"/>
    <n v="52457.02"/>
    <n v="61.6"/>
    <n v="184"/>
    <n v="60.7"/>
    <n v="7.28"/>
    <n v="139"/>
    <n v="503"/>
    <n v="465"/>
    <s v="AWD"/>
    <n v="5"/>
    <s v="Sedan"/>
    <n v="26.9"/>
    <n v="1576"/>
    <n v="5"/>
    <n v="1"/>
    <x v="3"/>
    <x v="1"/>
    <n v="72150"/>
    <n v="3.3"/>
    <n v="5"/>
    <x v="2"/>
    <n v="2.99"/>
    <s v="High"/>
  </r>
  <r>
    <x v="3"/>
    <s v="Picanto EV"/>
    <x v="0"/>
    <s v="Standard"/>
    <n v="66396.28"/>
    <n v="40.4"/>
    <n v="150"/>
    <n v="72.8"/>
    <n v="5.36"/>
    <n v="172"/>
    <n v="763"/>
    <n v="668"/>
    <s v="AWD"/>
    <n v="7"/>
    <s v="Sedan"/>
    <n v="23.5"/>
    <n v="1580"/>
    <n v="4"/>
    <n v="2"/>
    <x v="3"/>
    <x v="2"/>
    <n v="93251"/>
    <n v="3.2"/>
    <n v="3"/>
    <x v="1"/>
    <n v="3.71"/>
    <s v="High"/>
  </r>
  <r>
    <x v="7"/>
    <s v="Dolphin"/>
    <x v="3"/>
    <s v="Base"/>
    <n v="53719.72"/>
    <n v="48.4"/>
    <n v="150"/>
    <n v="130.4"/>
    <n v="5.96"/>
    <n v="160"/>
    <n v="629"/>
    <n v="556"/>
    <s v="FWD"/>
    <n v="7"/>
    <s v="Hatchback"/>
    <n v="38.700000000000003"/>
    <n v="1728"/>
    <n v="3"/>
    <n v="0"/>
    <x v="4"/>
    <x v="1"/>
    <n v="246801"/>
    <n v="3.2"/>
    <n v="5"/>
    <x v="1"/>
    <n v="3.1"/>
    <s v="High"/>
  </r>
  <r>
    <x v="9"/>
    <s v="Mustang Mach-E"/>
    <x v="5"/>
    <s v="Premium"/>
    <n v="56792.12"/>
    <n v="67.2"/>
    <n v="207"/>
    <n v="138.4"/>
    <n v="7.7"/>
    <n v="135"/>
    <n v="555"/>
    <n v="485"/>
    <s v="AWD"/>
    <n v="5"/>
    <s v="SUV"/>
    <n v="51.2"/>
    <n v="2102"/>
    <n v="4"/>
    <n v="0"/>
    <x v="2"/>
    <x v="1"/>
    <n v="31784"/>
    <n v="3.2"/>
    <n v="4"/>
    <x v="2"/>
    <n v="3.08"/>
    <s v="High"/>
  </r>
  <r>
    <x v="4"/>
    <s v="Model S"/>
    <x v="2"/>
    <s v="Standard"/>
    <n v="122807.61"/>
    <n v="51"/>
    <n v="203"/>
    <n v="348.4"/>
    <n v="5.61"/>
    <n v="177"/>
    <n v="905"/>
    <n v="784"/>
    <s v="AWD"/>
    <n v="7"/>
    <s v="Van"/>
    <n v="78"/>
    <n v="1500"/>
    <n v="4"/>
    <n v="3"/>
    <x v="2"/>
    <x v="0"/>
    <n v="162784"/>
    <n v="3.7"/>
    <n v="6"/>
    <x v="1"/>
    <n v="3.98"/>
    <s v="High"/>
  </r>
  <r>
    <x v="4"/>
    <s v="Model X"/>
    <x v="3"/>
    <s v="Long Range"/>
    <n v="153915.44"/>
    <n v="92"/>
    <n v="309"/>
    <n v="214"/>
    <n v="4.5599999999999996"/>
    <n v="177"/>
    <n v="1000"/>
    <n v="955"/>
    <s v="RWD"/>
    <n v="5"/>
    <s v="Van"/>
    <n v="73.2"/>
    <n v="1572"/>
    <n v="5"/>
    <n v="2"/>
    <x v="2"/>
    <x v="0"/>
    <n v="210826"/>
    <n v="3.6"/>
    <n v="5"/>
    <x v="1"/>
    <n v="3.36"/>
    <s v="High"/>
  </r>
  <r>
    <x v="2"/>
    <s v="Equinox EV"/>
    <x v="3"/>
    <s v="Standard"/>
    <n v="28857.9"/>
    <n v="80"/>
    <n v="326"/>
    <n v="78"/>
    <n v="6.63"/>
    <n v="147"/>
    <n v="200"/>
    <n v="200"/>
    <s v="RWD"/>
    <n v="7"/>
    <s v="SUV"/>
    <n v="38.700000000000003"/>
    <n v="2241"/>
    <n v="4"/>
    <n v="0"/>
    <x v="2"/>
    <x v="3"/>
    <n v="24599"/>
    <n v="3.7"/>
    <n v="4"/>
    <x v="1"/>
    <n v="4.08"/>
    <s v="High"/>
  </r>
  <r>
    <x v="8"/>
    <s v="Kona Electric"/>
    <x v="2"/>
    <s v="Standard"/>
    <n v="53616.49"/>
    <n v="57.8"/>
    <n v="161"/>
    <n v="106.9"/>
    <n v="7.18"/>
    <n v="147"/>
    <n v="606"/>
    <n v="581"/>
    <s v="AWD"/>
    <n v="5"/>
    <s v="Coupe"/>
    <n v="22.9"/>
    <n v="1500"/>
    <n v="5"/>
    <n v="0"/>
    <x v="3"/>
    <x v="1"/>
    <n v="78661"/>
    <n v="3.4"/>
    <n v="3"/>
    <x v="2"/>
    <n v="2.79"/>
    <s v="High"/>
  </r>
  <r>
    <x v="10"/>
    <s v="i5"/>
    <x v="6"/>
    <s v="Base"/>
    <n v="93337.36"/>
    <n v="72.7"/>
    <n v="232"/>
    <n v="51.4"/>
    <n v="5.0599999999999996"/>
    <n v="176"/>
    <n v="720"/>
    <n v="650"/>
    <s v="RWD"/>
    <n v="5"/>
    <s v="Truck"/>
    <n v="54.7"/>
    <n v="2335"/>
    <n v="5"/>
    <n v="1"/>
    <x v="0"/>
    <x v="2"/>
    <n v="25170"/>
    <n v="3.4"/>
    <n v="8"/>
    <x v="1"/>
    <n v="3.19"/>
    <s v="High"/>
  </r>
  <r>
    <x v="0"/>
    <s v="ID. Aero"/>
    <x v="5"/>
    <s v="Standard"/>
    <n v="69769.06"/>
    <n v="45"/>
    <n v="150"/>
    <n v="144.80000000000001"/>
    <n v="7.91"/>
    <n v="140"/>
    <n v="724"/>
    <n v="672"/>
    <s v="RWD"/>
    <n v="7"/>
    <s v="Hatchback"/>
    <n v="25"/>
    <n v="1560"/>
    <n v="4"/>
    <n v="0"/>
    <x v="0"/>
    <x v="2"/>
    <n v="251078"/>
    <n v="3"/>
    <n v="4"/>
    <x v="2"/>
    <n v="3.33"/>
    <s v="High"/>
  </r>
  <r>
    <x v="7"/>
    <s v="Yuan Plus"/>
    <x v="5"/>
    <s v="Standard"/>
    <n v="35604.120000000003"/>
    <n v="69.8"/>
    <n v="235"/>
    <n v="114.5"/>
    <n v="5.44"/>
    <n v="174"/>
    <n v="380"/>
    <n v="335"/>
    <s v="RWD"/>
    <n v="5"/>
    <s v="Truck"/>
    <n v="60"/>
    <n v="2708"/>
    <n v="5"/>
    <n v="0"/>
    <x v="4"/>
    <x v="1"/>
    <n v="210674"/>
    <n v="3.6"/>
    <n v="3"/>
    <x v="1"/>
    <n v="3.37"/>
    <s v="High"/>
  </r>
  <r>
    <x v="9"/>
    <s v="F-150 Lightning"/>
    <x v="3"/>
    <s v="Long Range"/>
    <n v="91074.2"/>
    <n v="83.3"/>
    <n v="309"/>
    <n v="123.8"/>
    <n v="5.32"/>
    <n v="165"/>
    <n v="1000"/>
    <n v="875"/>
    <s v="FWD"/>
    <n v="4"/>
    <s v="Truck"/>
    <n v="59.8"/>
    <n v="2537"/>
    <n v="5"/>
    <n v="1"/>
    <x v="2"/>
    <x v="2"/>
    <n v="78477"/>
    <n v="3.5"/>
    <n v="5"/>
    <x v="1"/>
    <n v="3.71"/>
    <s v="High"/>
  </r>
  <r>
    <x v="9"/>
    <s v="E-Transit"/>
    <x v="1"/>
    <s v="Premium"/>
    <n v="72686.399999999994"/>
    <n v="58.3"/>
    <n v="197"/>
    <n v="55.6"/>
    <n v="7.84"/>
    <n v="135"/>
    <n v="806"/>
    <n v="761"/>
    <s v="RWD"/>
    <n v="7"/>
    <s v="Coupe"/>
    <n v="34.299999999999997"/>
    <n v="1507"/>
    <n v="3"/>
    <n v="0"/>
    <x v="2"/>
    <x v="2"/>
    <n v="32038"/>
    <n v="3.4"/>
    <n v="3"/>
    <x v="2"/>
    <n v="3.38"/>
    <s v="High"/>
  </r>
  <r>
    <x v="2"/>
    <s v="Bolt EV"/>
    <x v="2"/>
    <s v="Performance"/>
    <n v="43772.41"/>
    <n v="113.5"/>
    <n v="369"/>
    <n v="244.5"/>
    <n v="3.14"/>
    <n v="192"/>
    <n v="465"/>
    <n v="370"/>
    <s v="FWD"/>
    <n v="7"/>
    <s v="SUV"/>
    <n v="55.5"/>
    <n v="2127"/>
    <n v="4"/>
    <n v="0"/>
    <x v="2"/>
    <x v="1"/>
    <n v="13494"/>
    <n v="3.8"/>
    <n v="4"/>
    <x v="0"/>
    <n v="3.25"/>
    <s v="Medium"/>
  </r>
  <r>
    <x v="7"/>
    <s v="Max"/>
    <x v="3"/>
    <s v="Premium"/>
    <n v="100296.35"/>
    <n v="81.5"/>
    <n v="290"/>
    <n v="71.599999999999994"/>
    <n v="7.14"/>
    <n v="143"/>
    <n v="1000"/>
    <n v="904"/>
    <s v="AWD"/>
    <n v="7"/>
    <s v="Hatchback"/>
    <n v="33.299999999999997"/>
    <n v="1686"/>
    <n v="4"/>
    <n v="0"/>
    <x v="4"/>
    <x v="0"/>
    <n v="155370"/>
    <n v="3.8"/>
    <n v="4"/>
    <x v="2"/>
    <n v="3.56"/>
    <s v="High"/>
  </r>
  <r>
    <x v="3"/>
    <s v="Picanto EV"/>
    <x v="5"/>
    <s v="Long Range"/>
    <n v="70115.710000000006"/>
    <n v="95.5"/>
    <n v="342"/>
    <n v="140"/>
    <n v="4.95"/>
    <n v="168"/>
    <n v="873"/>
    <n v="766"/>
    <s v="FWD"/>
    <n v="5"/>
    <s v="Sedan"/>
    <n v="38.200000000000003"/>
    <n v="1535"/>
    <n v="5"/>
    <n v="0"/>
    <x v="3"/>
    <x v="2"/>
    <n v="82992"/>
    <n v="3.8"/>
    <n v="4"/>
    <x v="1"/>
    <n v="3.58"/>
    <s v="High"/>
  </r>
  <r>
    <x v="0"/>
    <s v="ID. Buzz"/>
    <x v="5"/>
    <s v="Base"/>
    <n v="70180.350000000006"/>
    <n v="48.8"/>
    <n v="170"/>
    <n v="145"/>
    <n v="6.15"/>
    <n v="159"/>
    <n v="702"/>
    <n v="698"/>
    <s v="FWD"/>
    <n v="5"/>
    <s v="Truck"/>
    <n v="63.5"/>
    <n v="2406"/>
    <n v="4"/>
    <n v="0"/>
    <x v="0"/>
    <x v="2"/>
    <n v="220918"/>
    <n v="3.4"/>
    <n v="4"/>
    <x v="1"/>
    <n v="3.48"/>
    <s v="High"/>
  </r>
  <r>
    <x v="4"/>
    <s v="Model 3"/>
    <x v="0"/>
    <s v="Base"/>
    <n v="50661.72"/>
    <n v="45"/>
    <n v="150"/>
    <n v="321.10000000000002"/>
    <n v="7.4"/>
    <n v="132"/>
    <n v="355"/>
    <n v="361"/>
    <s v="FWD"/>
    <n v="5"/>
    <s v="Truck"/>
    <n v="58.9"/>
    <n v="2602"/>
    <n v="5"/>
    <n v="2"/>
    <x v="2"/>
    <x v="1"/>
    <n v="240645"/>
    <n v="3.3"/>
    <n v="6"/>
    <x v="2"/>
    <n v="3.33"/>
    <s v="High"/>
  </r>
  <r>
    <x v="13"/>
    <s v="R1S"/>
    <x v="0"/>
    <s v="Base"/>
    <n v="71764.23"/>
    <n v="63.3"/>
    <n v="216"/>
    <n v="111.8"/>
    <n v="5.26"/>
    <n v="179"/>
    <n v="267"/>
    <n v="240"/>
    <s v="RWD"/>
    <n v="5"/>
    <s v="Coupe"/>
    <n v="25.4"/>
    <n v="1532"/>
    <n v="4"/>
    <n v="1"/>
    <x v="2"/>
    <x v="2"/>
    <n v="16601"/>
    <n v="3.3"/>
    <n v="4"/>
    <x v="1"/>
    <n v="3.41"/>
    <s v="Medium"/>
  </r>
  <r>
    <x v="4"/>
    <s v="Model Y"/>
    <x v="2"/>
    <s v="Standard"/>
    <n v="118291.58"/>
    <n v="82.5"/>
    <n v="290"/>
    <n v="268"/>
    <n v="6.17"/>
    <n v="157"/>
    <n v="828"/>
    <n v="772"/>
    <s v="AWD"/>
    <n v="5"/>
    <s v="Truck"/>
    <n v="51"/>
    <n v="2443"/>
    <n v="5"/>
    <n v="2"/>
    <x v="2"/>
    <x v="0"/>
    <n v="419454"/>
    <n v="3.6"/>
    <n v="4"/>
    <x v="1"/>
    <n v="3.52"/>
    <s v="High"/>
  </r>
  <r>
    <x v="1"/>
    <s v="bZ Compact SUV"/>
    <x v="3"/>
    <s v="Base"/>
    <n v="65608.600000000006"/>
    <n v="60.1"/>
    <n v="208"/>
    <n v="67.8"/>
    <n v="6.65"/>
    <n v="154"/>
    <n v="816"/>
    <n v="769"/>
    <s v="FWD"/>
    <n v="5"/>
    <s v="SUV"/>
    <n v="56.9"/>
    <n v="1949"/>
    <n v="4"/>
    <n v="1"/>
    <x v="1"/>
    <x v="2"/>
    <n v="24977"/>
    <n v="3.4"/>
    <n v="5"/>
    <x v="1"/>
    <n v="3.46"/>
    <s v="High"/>
  </r>
  <r>
    <x v="0"/>
    <s v="ID. Buzz"/>
    <x v="0"/>
    <s v="Premium"/>
    <n v="99863.63"/>
    <n v="66.5"/>
    <n v="227"/>
    <n v="113.9"/>
    <n v="7.86"/>
    <n v="134"/>
    <n v="1000"/>
    <n v="879"/>
    <s v="AWD"/>
    <n v="7"/>
    <s v="Truck"/>
    <n v="63.8"/>
    <n v="2583"/>
    <n v="5"/>
    <n v="0"/>
    <x v="0"/>
    <x v="2"/>
    <n v="237739"/>
    <n v="3.8"/>
    <n v="4"/>
    <x v="2"/>
    <n v="3.41"/>
    <s v="High"/>
  </r>
  <r>
    <x v="4"/>
    <s v="Model 3"/>
    <x v="1"/>
    <s v="Long Range"/>
    <n v="84609.91"/>
    <n v="107.2"/>
    <n v="365"/>
    <n v="286.89999999999998"/>
    <n v="5.82"/>
    <n v="165"/>
    <n v="593"/>
    <n v="574"/>
    <s v="RWD"/>
    <n v="5"/>
    <s v="SUV"/>
    <n v="59.3"/>
    <n v="2001"/>
    <n v="4"/>
    <n v="2"/>
    <x v="2"/>
    <x v="2"/>
    <n v="171529"/>
    <n v="4.0999999999999996"/>
    <n v="6"/>
    <x v="1"/>
    <n v="3.4"/>
    <s v="High"/>
  </r>
  <r>
    <x v="3"/>
    <s v="Sportage EV"/>
    <x v="3"/>
    <s v="Premium"/>
    <n v="81244.23"/>
    <n v="54.9"/>
    <n v="181"/>
    <n v="55"/>
    <n v="6.43"/>
    <n v="149"/>
    <n v="972"/>
    <n v="869"/>
    <s v="AWD"/>
    <n v="5"/>
    <s v="SUV"/>
    <n v="54.1"/>
    <n v="2277"/>
    <n v="5"/>
    <n v="2"/>
    <x v="3"/>
    <x v="2"/>
    <n v="70466"/>
    <n v="3.3"/>
    <n v="5"/>
    <x v="1"/>
    <n v="3.3"/>
    <s v="High"/>
  </r>
  <r>
    <x v="5"/>
    <s v="EQC"/>
    <x v="2"/>
    <s v="Premium"/>
    <n v="167460.91"/>
    <n v="69.900000000000006"/>
    <n v="243"/>
    <n v="76.8"/>
    <n v="5.18"/>
    <n v="175"/>
    <n v="1000"/>
    <n v="943"/>
    <s v="RWD"/>
    <n v="7"/>
    <s v="Hatchback"/>
    <n v="39.799999999999997"/>
    <n v="1500"/>
    <n v="4"/>
    <n v="1"/>
    <x v="0"/>
    <x v="0"/>
    <n v="50533"/>
    <n v="3.7"/>
    <n v="5"/>
    <x v="1"/>
    <n v="3.48"/>
    <s v="High"/>
  </r>
  <r>
    <x v="2"/>
    <s v="Equinox EV"/>
    <x v="0"/>
    <s v="Long Range"/>
    <n v="33127.160000000003"/>
    <n v="87.4"/>
    <n v="303"/>
    <n v="69.7"/>
    <n v="5.64"/>
    <n v="160"/>
    <n v="228"/>
    <n v="275"/>
    <s v="FWD"/>
    <n v="5"/>
    <s v="SUV"/>
    <n v="39.5"/>
    <n v="2025"/>
    <n v="4"/>
    <n v="0"/>
    <x v="2"/>
    <x v="3"/>
    <n v="19880"/>
    <n v="3.7"/>
    <n v="5"/>
    <x v="1"/>
    <n v="3.47"/>
    <s v="Medium"/>
  </r>
  <r>
    <x v="9"/>
    <s v="Explorer EV"/>
    <x v="0"/>
    <s v="Performance"/>
    <n v="66131.67"/>
    <n v="96.5"/>
    <n v="322"/>
    <n v="171.9"/>
    <n v="2.66"/>
    <n v="200"/>
    <n v="729"/>
    <n v="712"/>
    <s v="FWD"/>
    <n v="5"/>
    <s v="Truck"/>
    <n v="51.8"/>
    <n v="2343"/>
    <n v="5"/>
    <n v="0"/>
    <x v="2"/>
    <x v="2"/>
    <n v="34351"/>
    <n v="3.5"/>
    <n v="4"/>
    <x v="0"/>
    <n v="3.34"/>
    <s v="High"/>
  </r>
  <r>
    <x v="10"/>
    <s v="i7"/>
    <x v="2"/>
    <s v="Base"/>
    <n v="58695"/>
    <n v="50"/>
    <n v="177"/>
    <n v="105.7"/>
    <n v="6.25"/>
    <n v="155"/>
    <n v="314"/>
    <n v="298"/>
    <s v="AWD"/>
    <n v="5"/>
    <s v="Coupe"/>
    <n v="21"/>
    <n v="1677"/>
    <n v="4"/>
    <n v="2"/>
    <x v="0"/>
    <x v="1"/>
    <n v="59887"/>
    <n v="3.4"/>
    <n v="6"/>
    <x v="1"/>
    <n v="3.54"/>
    <s v="High"/>
  </r>
  <r>
    <x v="2"/>
    <s v="Silverado EV"/>
    <x v="3"/>
    <s v="Premium"/>
    <n v="46867.37"/>
    <n v="59.3"/>
    <n v="232"/>
    <n v="69.2"/>
    <n v="7.47"/>
    <n v="135"/>
    <n v="501"/>
    <n v="394"/>
    <s v="RWD"/>
    <n v="7"/>
    <s v="Sedan"/>
    <n v="37.1"/>
    <n v="1579"/>
    <n v="5"/>
    <n v="0"/>
    <x v="2"/>
    <x v="1"/>
    <n v="24354"/>
    <n v="3.3"/>
    <n v="3"/>
    <x v="2"/>
    <n v="3.91"/>
    <s v="High"/>
  </r>
  <r>
    <x v="5"/>
    <s v="EQS"/>
    <x v="2"/>
    <s v="Performance"/>
    <n v="183949.91"/>
    <n v="87"/>
    <n v="328"/>
    <n v="226.2"/>
    <n v="3.1"/>
    <n v="200"/>
    <n v="1000"/>
    <n v="941"/>
    <s v="AWD"/>
    <n v="5"/>
    <s v="Coupe"/>
    <n v="15.9"/>
    <n v="1676"/>
    <n v="5"/>
    <n v="2"/>
    <x v="0"/>
    <x v="0"/>
    <n v="78765"/>
    <n v="4.0999999999999996"/>
    <n v="6"/>
    <x v="0"/>
    <n v="3.77"/>
    <s v="High"/>
  </r>
  <r>
    <x v="7"/>
    <s v="Max"/>
    <x v="3"/>
    <s v="Long Range"/>
    <n v="26705.48"/>
    <n v="85.3"/>
    <n v="273"/>
    <n v="118.5"/>
    <n v="5.64"/>
    <n v="169"/>
    <n v="280"/>
    <n v="247"/>
    <s v="AWD"/>
    <n v="7"/>
    <s v="Truck"/>
    <n v="51.9"/>
    <n v="2625"/>
    <n v="4"/>
    <n v="1"/>
    <x v="4"/>
    <x v="3"/>
    <n v="188547"/>
    <n v="3.4"/>
    <n v="3"/>
    <x v="1"/>
    <n v="3.2"/>
    <s v="High"/>
  </r>
  <r>
    <x v="8"/>
    <s v="Ioniq 5"/>
    <x v="2"/>
    <s v="Standard"/>
    <n v="37623.67"/>
    <n v="63.5"/>
    <n v="214"/>
    <n v="107.8"/>
    <n v="5.74"/>
    <n v="165"/>
    <n v="344"/>
    <n v="327"/>
    <s v="RWD"/>
    <n v="5"/>
    <s v="Van"/>
    <n v="75.8"/>
    <n v="1500"/>
    <n v="4"/>
    <n v="0"/>
    <x v="3"/>
    <x v="1"/>
    <n v="76324"/>
    <n v="3.3"/>
    <n v="4"/>
    <x v="1"/>
    <n v="3.37"/>
    <s v="High"/>
  </r>
  <r>
    <x v="7"/>
    <s v="Dolphin"/>
    <x v="3"/>
    <s v="Performance"/>
    <n v="98821.6"/>
    <n v="98.4"/>
    <n v="363"/>
    <n v="218.3"/>
    <n v="3.74"/>
    <n v="189"/>
    <n v="1000"/>
    <n v="930"/>
    <s v="AWD"/>
    <n v="7"/>
    <s v="Hatchback"/>
    <n v="21.5"/>
    <n v="1500"/>
    <n v="4"/>
    <n v="1"/>
    <x v="4"/>
    <x v="2"/>
    <n v="172137"/>
    <n v="3.9"/>
    <n v="4"/>
    <x v="0"/>
    <n v="3.69"/>
    <s v="High"/>
  </r>
  <r>
    <x v="14"/>
    <s v="Macan Electric"/>
    <x v="3"/>
    <s v="Standard"/>
    <n v="186969.89"/>
    <n v="80.5"/>
    <n v="291"/>
    <n v="313.10000000000002"/>
    <n v="7.79"/>
    <n v="132"/>
    <n v="1000"/>
    <n v="936"/>
    <s v="AWD"/>
    <n v="5"/>
    <s v="Hatchback"/>
    <n v="18.399999999999999"/>
    <n v="1894"/>
    <n v="5"/>
    <n v="1"/>
    <x v="0"/>
    <x v="0"/>
    <n v="29154"/>
    <n v="4.3"/>
    <n v="8"/>
    <x v="2"/>
    <n v="3.61"/>
    <s v="High"/>
  </r>
  <r>
    <x v="12"/>
    <s v="EL8"/>
    <x v="2"/>
    <s v="Premium"/>
    <n v="68322.210000000006"/>
    <n v="64.5"/>
    <n v="203"/>
    <n v="121.2"/>
    <n v="7.2"/>
    <n v="143"/>
    <n v="526"/>
    <n v="465"/>
    <s v="RWD"/>
    <n v="5"/>
    <s v="Coupe"/>
    <n v="32.5"/>
    <n v="1745"/>
    <n v="5"/>
    <n v="0"/>
    <x v="4"/>
    <x v="2"/>
    <n v="2458"/>
    <n v="3.5"/>
    <n v="4"/>
    <x v="2"/>
    <n v="3.15"/>
    <s v="Low"/>
  </r>
  <r>
    <x v="4"/>
    <s v="Model Y"/>
    <x v="2"/>
    <s v="Premium"/>
    <n v="91805.32"/>
    <n v="52.7"/>
    <n v="197"/>
    <n v="346.1"/>
    <n v="6.04"/>
    <n v="156"/>
    <n v="668"/>
    <n v="649"/>
    <s v="RWD"/>
    <n v="7"/>
    <s v="Hatchback"/>
    <n v="23.6"/>
    <n v="1500"/>
    <n v="4"/>
    <n v="2"/>
    <x v="2"/>
    <x v="2"/>
    <n v="462587"/>
    <n v="3.5"/>
    <n v="5"/>
    <x v="1"/>
    <n v="3.74"/>
    <s v="High"/>
  </r>
  <r>
    <x v="2"/>
    <s v="Bolt EV"/>
    <x v="2"/>
    <s v="Base"/>
    <n v="34244.160000000003"/>
    <n v="59.5"/>
    <n v="214"/>
    <n v="98.8"/>
    <n v="5.67"/>
    <n v="163"/>
    <n v="288"/>
    <n v="251"/>
    <s v="AWD"/>
    <n v="7"/>
    <s v="SUV"/>
    <n v="45.1"/>
    <n v="1772"/>
    <n v="5"/>
    <n v="0"/>
    <x v="2"/>
    <x v="3"/>
    <n v="29653"/>
    <n v="3.5"/>
    <n v="4"/>
    <x v="1"/>
    <n v="3.6"/>
    <s v="High"/>
  </r>
  <r>
    <x v="13"/>
    <s v="R3"/>
    <x v="5"/>
    <s v="Performance"/>
    <n v="113739.43"/>
    <n v="106.9"/>
    <n v="358"/>
    <n v="185.6"/>
    <n v="3.03"/>
    <n v="200"/>
    <n v="1000"/>
    <n v="935"/>
    <s v="AWD"/>
    <n v="5"/>
    <s v="Coupe"/>
    <n v="36.5"/>
    <n v="1500"/>
    <n v="4"/>
    <n v="1"/>
    <x v="2"/>
    <x v="0"/>
    <n v="22439"/>
    <n v="3.8"/>
    <n v="6"/>
    <x v="0"/>
    <n v="3.35"/>
    <s v="High"/>
  </r>
  <r>
    <x v="4"/>
    <s v="Cybertruck"/>
    <x v="3"/>
    <s v="Standard"/>
    <n v="98006.33"/>
    <n v="50.5"/>
    <n v="177"/>
    <n v="336"/>
    <n v="7.58"/>
    <n v="138"/>
    <n v="719"/>
    <n v="587"/>
    <s v="FWD"/>
    <n v="7"/>
    <s v="Truck"/>
    <n v="67.599999999999994"/>
    <n v="2276"/>
    <n v="4"/>
    <n v="3"/>
    <x v="2"/>
    <x v="2"/>
    <n v="113383"/>
    <n v="3.8"/>
    <n v="4"/>
    <x v="2"/>
    <n v="3.5"/>
    <s v="High"/>
  </r>
  <r>
    <x v="3"/>
    <s v="EV9"/>
    <x v="2"/>
    <s v="Standard"/>
    <n v="67166.429999999993"/>
    <n v="71.5"/>
    <n v="240"/>
    <n v="70.8"/>
    <n v="7.01"/>
    <n v="135"/>
    <n v="723"/>
    <n v="642"/>
    <s v="AWD"/>
    <n v="5"/>
    <s v="SUV"/>
    <n v="61.2"/>
    <n v="1821"/>
    <n v="4"/>
    <n v="2"/>
    <x v="3"/>
    <x v="2"/>
    <n v="69022"/>
    <n v="3.6"/>
    <n v="5"/>
    <x v="2"/>
    <n v="3.36"/>
    <s v="High"/>
  </r>
  <r>
    <x v="13"/>
    <s v="R1S"/>
    <x v="2"/>
    <s v="Base"/>
    <n v="73774.27"/>
    <n v="67.400000000000006"/>
    <n v="263"/>
    <n v="131.80000000000001"/>
    <n v="6.54"/>
    <n v="148"/>
    <n v="325"/>
    <n v="272"/>
    <s v="AWD"/>
    <n v="7"/>
    <s v="Truck"/>
    <n v="70.8"/>
    <n v="2508"/>
    <n v="5"/>
    <n v="1"/>
    <x v="2"/>
    <x v="2"/>
    <n v="22100"/>
    <n v="3.5"/>
    <n v="4"/>
    <x v="1"/>
    <n v="3.9"/>
    <s v="High"/>
  </r>
  <r>
    <x v="4"/>
    <s v="Model Y"/>
    <x v="2"/>
    <s v="Long Range"/>
    <n v="98420.53"/>
    <n v="75.3"/>
    <n v="267"/>
    <n v="260"/>
    <n v="5.57"/>
    <n v="165"/>
    <n v="739"/>
    <n v="720"/>
    <s v="RWD"/>
    <n v="5"/>
    <s v="Hatchback"/>
    <n v="30.6"/>
    <n v="1628"/>
    <n v="5"/>
    <n v="3"/>
    <x v="2"/>
    <x v="2"/>
    <n v="459091"/>
    <n v="3.7"/>
    <n v="6"/>
    <x v="1"/>
    <n v="3.55"/>
    <s v="High"/>
  </r>
  <r>
    <x v="2"/>
    <s v="Silverado EV"/>
    <x v="2"/>
    <s v="Standard"/>
    <n v="42545.39"/>
    <n v="40"/>
    <n v="150"/>
    <n v="115.3"/>
    <n v="5.39"/>
    <n v="171"/>
    <n v="460"/>
    <n v="408"/>
    <s v="FWD"/>
    <n v="7"/>
    <s v="Sedan"/>
    <n v="21"/>
    <n v="1830"/>
    <n v="3"/>
    <n v="1"/>
    <x v="2"/>
    <x v="1"/>
    <n v="11545"/>
    <n v="3.4"/>
    <n v="4"/>
    <x v="1"/>
    <n v="3.75"/>
    <s v="Medium"/>
  </r>
  <r>
    <x v="7"/>
    <s v="Leaf 50X"/>
    <x v="0"/>
    <s v="Performance"/>
    <n v="25921.47"/>
    <n v="101.8"/>
    <n v="344"/>
    <n v="196.5"/>
    <n v="4.43"/>
    <n v="188"/>
    <n v="215"/>
    <n v="200"/>
    <s v="AWD"/>
    <n v="5"/>
    <s v="Truck"/>
    <n v="74.599999999999994"/>
    <n v="2544"/>
    <n v="5"/>
    <n v="0"/>
    <x v="4"/>
    <x v="3"/>
    <n v="110847"/>
    <n v="3.9"/>
    <n v="4"/>
    <x v="1"/>
    <n v="3.38"/>
    <s v="High"/>
  </r>
  <r>
    <x v="13"/>
    <s v="R1S"/>
    <x v="2"/>
    <s v="Standard"/>
    <n v="86119.94"/>
    <n v="52.4"/>
    <n v="172"/>
    <n v="92.5"/>
    <n v="5.38"/>
    <n v="170"/>
    <n v="1000"/>
    <n v="929"/>
    <s v="AWD"/>
    <n v="7"/>
    <s v="Van"/>
    <n v="69"/>
    <n v="1514"/>
    <n v="4"/>
    <n v="1"/>
    <x v="2"/>
    <x v="2"/>
    <n v="1755"/>
    <n v="3.2"/>
    <n v="4"/>
    <x v="1"/>
    <n v="3.28"/>
    <s v="Low"/>
  </r>
  <r>
    <x v="6"/>
    <s v="Ronin"/>
    <x v="2"/>
    <s v="Performance"/>
    <n v="77587.25"/>
    <n v="78.3"/>
    <n v="296"/>
    <n v="183.2"/>
    <n v="3.66"/>
    <n v="198"/>
    <n v="605"/>
    <n v="533"/>
    <s v="AWD"/>
    <n v="7"/>
    <s v="Sedan"/>
    <n v="34.4"/>
    <n v="1691"/>
    <n v="4"/>
    <n v="1"/>
    <x v="2"/>
    <x v="2"/>
    <n v="24352"/>
    <n v="3.5"/>
    <n v="5"/>
    <x v="0"/>
    <n v="3.78"/>
    <s v="High"/>
  </r>
  <r>
    <x v="1"/>
    <s v="bZ4X"/>
    <x v="5"/>
    <s v="Long Range"/>
    <n v="89238.61"/>
    <n v="105.2"/>
    <n v="336"/>
    <n v="114"/>
    <n v="4.8899999999999997"/>
    <n v="178"/>
    <n v="1000"/>
    <n v="879"/>
    <s v="RWD"/>
    <n v="5"/>
    <s v="Hatchback"/>
    <n v="36"/>
    <n v="1734"/>
    <n v="5"/>
    <n v="0"/>
    <x v="1"/>
    <x v="2"/>
    <n v="3195"/>
    <n v="4"/>
    <n v="5"/>
    <x v="1"/>
    <n v="3.19"/>
    <s v="Low"/>
  </r>
  <r>
    <x v="8"/>
    <s v="Ioniq 6"/>
    <x v="0"/>
    <s v="Standard"/>
    <n v="53342.39"/>
    <n v="42.5"/>
    <n v="150"/>
    <n v="111.1"/>
    <n v="5.32"/>
    <n v="179"/>
    <n v="558"/>
    <n v="506"/>
    <s v="FWD"/>
    <n v="5"/>
    <s v="Sedan"/>
    <n v="15.5"/>
    <n v="1500"/>
    <n v="4"/>
    <n v="0"/>
    <x v="3"/>
    <x v="1"/>
    <n v="142003"/>
    <n v="3.2"/>
    <n v="4"/>
    <x v="1"/>
    <n v="3.53"/>
    <s v="High"/>
  </r>
  <r>
    <x v="5"/>
    <s v="EQS"/>
    <x v="5"/>
    <s v="Premium"/>
    <n v="108752.82"/>
    <n v="76.2"/>
    <n v="250"/>
    <n v="137"/>
    <n v="6.68"/>
    <n v="144"/>
    <n v="577"/>
    <n v="547"/>
    <s v="AWD"/>
    <n v="5"/>
    <s v="SUV"/>
    <n v="49"/>
    <n v="1922"/>
    <n v="4"/>
    <n v="2"/>
    <x v="0"/>
    <x v="0"/>
    <n v="65854"/>
    <n v="3.7"/>
    <n v="6"/>
    <x v="1"/>
    <n v="3.28"/>
    <s v="High"/>
  </r>
  <r>
    <x v="5"/>
    <s v="GLE EV"/>
    <x v="1"/>
    <s v="Base"/>
    <n v="94570.880000000005"/>
    <n v="72.7"/>
    <n v="257"/>
    <n v="91.1"/>
    <n v="5.86"/>
    <n v="162"/>
    <n v="421"/>
    <n v="339"/>
    <s v="AWD"/>
    <n v="7"/>
    <s v="Truck"/>
    <n v="78.900000000000006"/>
    <n v="2664"/>
    <n v="5"/>
    <n v="2"/>
    <x v="0"/>
    <x v="2"/>
    <n v="59270"/>
    <n v="3.8"/>
    <n v="5"/>
    <x v="1"/>
    <n v="3.54"/>
    <s v="High"/>
  </r>
  <r>
    <x v="7"/>
    <s v="Dolphin"/>
    <x v="3"/>
    <s v="Base"/>
    <n v="52113.75"/>
    <n v="54.9"/>
    <n v="221"/>
    <n v="140.9"/>
    <n v="6.37"/>
    <n v="148"/>
    <n v="558"/>
    <n v="507"/>
    <s v="AWD"/>
    <n v="5"/>
    <s v="Coupe"/>
    <n v="19.8"/>
    <n v="1539"/>
    <n v="4"/>
    <n v="2"/>
    <x v="4"/>
    <x v="1"/>
    <n v="186712"/>
    <n v="3.4"/>
    <n v="5"/>
    <x v="1"/>
    <n v="4.03"/>
    <s v="High"/>
  </r>
  <r>
    <x v="5"/>
    <s v="EQC"/>
    <x v="3"/>
    <s v="Premium"/>
    <n v="91108.2"/>
    <n v="66.3"/>
    <n v="223"/>
    <n v="90.2"/>
    <n v="6.24"/>
    <n v="157"/>
    <n v="447"/>
    <n v="344"/>
    <s v="AWD"/>
    <n v="5"/>
    <s v="Van"/>
    <n v="71.3"/>
    <n v="1793"/>
    <n v="5"/>
    <n v="1"/>
    <x v="0"/>
    <x v="2"/>
    <n v="58124"/>
    <n v="3.6"/>
    <n v="6"/>
    <x v="1"/>
    <n v="3.36"/>
    <s v="High"/>
  </r>
  <r>
    <x v="4"/>
    <s v="Cybertruck"/>
    <x v="2"/>
    <s v="Premium"/>
    <n v="49738.35"/>
    <n v="47"/>
    <n v="150"/>
    <n v="329.8"/>
    <n v="5.85"/>
    <n v="165"/>
    <n v="378"/>
    <n v="292"/>
    <s v="RWD"/>
    <n v="7"/>
    <s v="Truck"/>
    <n v="57.9"/>
    <n v="2606"/>
    <n v="5"/>
    <n v="3"/>
    <x v="2"/>
    <x v="1"/>
    <n v="179970"/>
    <n v="3.6"/>
    <n v="5"/>
    <x v="1"/>
    <n v="3.19"/>
    <s v="High"/>
  </r>
  <r>
    <x v="3"/>
    <s v="EV9"/>
    <x v="0"/>
    <s v="Standard"/>
    <n v="33510.99"/>
    <n v="40.1"/>
    <n v="152"/>
    <n v="144.80000000000001"/>
    <n v="7.1"/>
    <n v="135"/>
    <n v="241"/>
    <n v="214"/>
    <s v="AWD"/>
    <n v="7"/>
    <s v="SUV"/>
    <n v="37.1"/>
    <n v="2106"/>
    <n v="4"/>
    <n v="2"/>
    <x v="3"/>
    <x v="3"/>
    <n v="137108"/>
    <n v="3.4"/>
    <n v="4"/>
    <x v="2"/>
    <n v="3.79"/>
    <s v="High"/>
  </r>
  <r>
    <x v="7"/>
    <s v="Seagull"/>
    <x v="0"/>
    <s v="Standard"/>
    <n v="84139.98"/>
    <n v="72.3"/>
    <n v="261"/>
    <n v="103.4"/>
    <n v="7.53"/>
    <n v="130"/>
    <n v="963"/>
    <n v="882"/>
    <s v="AWD"/>
    <n v="7"/>
    <s v="Truck"/>
    <n v="67.7"/>
    <n v="2278"/>
    <n v="5"/>
    <n v="0"/>
    <x v="4"/>
    <x v="2"/>
    <n v="236926"/>
    <n v="3.4"/>
    <n v="3"/>
    <x v="2"/>
    <n v="3.61"/>
    <s v="High"/>
  </r>
  <r>
    <x v="4"/>
    <s v="Model 3"/>
    <x v="3"/>
    <s v="Premium"/>
    <n v="137916.62"/>
    <n v="66"/>
    <n v="216"/>
    <n v="328.7"/>
    <n v="6.4"/>
    <n v="158"/>
    <n v="1000"/>
    <n v="906"/>
    <s v="RWD"/>
    <n v="7"/>
    <s v="SUV"/>
    <n v="40.200000000000003"/>
    <n v="2111"/>
    <n v="5"/>
    <n v="2"/>
    <x v="2"/>
    <x v="0"/>
    <n v="132643"/>
    <n v="3.7"/>
    <n v="5"/>
    <x v="1"/>
    <n v="3.27"/>
    <s v="High"/>
  </r>
  <r>
    <x v="4"/>
    <s v="Model 3"/>
    <x v="2"/>
    <s v="Long Range"/>
    <n v="148635.93"/>
    <n v="103.2"/>
    <n v="360"/>
    <n v="322.89999999999998"/>
    <n v="5.61"/>
    <n v="165"/>
    <n v="1000"/>
    <n v="910"/>
    <s v="AWD"/>
    <n v="7"/>
    <s v="Van"/>
    <n v="74.3"/>
    <n v="1690"/>
    <n v="3"/>
    <n v="2"/>
    <x v="2"/>
    <x v="0"/>
    <n v="108335"/>
    <n v="4"/>
    <n v="4"/>
    <x v="1"/>
    <n v="3.49"/>
    <s v="High"/>
  </r>
  <r>
    <x v="2"/>
    <s v="Bolt EUV"/>
    <x v="3"/>
    <s v="Performance"/>
    <n v="62330.93"/>
    <n v="108"/>
    <n v="376"/>
    <n v="168.5"/>
    <n v="2.88"/>
    <n v="200"/>
    <n v="803"/>
    <n v="695"/>
    <s v="AWD"/>
    <n v="7"/>
    <s v="Truck"/>
    <n v="75.2"/>
    <n v="2393"/>
    <n v="4"/>
    <n v="1"/>
    <x v="2"/>
    <x v="1"/>
    <n v="27154"/>
    <n v="3.9"/>
    <n v="5"/>
    <x v="0"/>
    <n v="3.48"/>
    <s v="High"/>
  </r>
  <r>
    <x v="7"/>
    <s v="Qin"/>
    <x v="3"/>
    <s v="Standard"/>
    <n v="29108.23"/>
    <n v="44.5"/>
    <n v="170"/>
    <n v="86.4"/>
    <n v="5.48"/>
    <n v="165"/>
    <n v="319"/>
    <n v="224"/>
    <s v="AWD"/>
    <n v="7"/>
    <s v="Hatchback"/>
    <n v="15.2"/>
    <n v="1780"/>
    <n v="5"/>
    <n v="0"/>
    <x v="4"/>
    <x v="3"/>
    <n v="179440"/>
    <n v="3.4"/>
    <n v="4"/>
    <x v="1"/>
    <n v="3.82"/>
    <s v="High"/>
  </r>
  <r>
    <x v="2"/>
    <s v="Bolt EUV"/>
    <x v="3"/>
    <s v="Performance"/>
    <n v="81159.740000000005"/>
    <n v="104.4"/>
    <n v="379"/>
    <n v="234.3"/>
    <n v="2.85"/>
    <n v="200"/>
    <n v="1000"/>
    <n v="927"/>
    <s v="RWD"/>
    <n v="7"/>
    <s v="Truck"/>
    <n v="66.2"/>
    <n v="2789"/>
    <n v="4"/>
    <n v="2"/>
    <x v="2"/>
    <x v="2"/>
    <n v="28393"/>
    <n v="3.8"/>
    <n v="3"/>
    <x v="0"/>
    <n v="3.63"/>
    <s v="High"/>
  </r>
  <r>
    <x v="4"/>
    <s v="Model 3"/>
    <x v="3"/>
    <s v="Base"/>
    <n v="80586.23"/>
    <n v="77.900000000000006"/>
    <n v="274"/>
    <n v="227.2"/>
    <n v="6.92"/>
    <n v="149"/>
    <n v="580"/>
    <n v="502"/>
    <s v="RWD"/>
    <n v="5"/>
    <s v="Van"/>
    <n v="73.900000000000006"/>
    <n v="1645"/>
    <n v="5"/>
    <n v="3"/>
    <x v="2"/>
    <x v="2"/>
    <n v="243472"/>
    <n v="3.8"/>
    <n v="4"/>
    <x v="1"/>
    <n v="3.52"/>
    <s v="High"/>
  </r>
  <r>
    <x v="7"/>
    <s v="Qin"/>
    <x v="3"/>
    <s v="Standard"/>
    <n v="79451.820000000007"/>
    <n v="66.3"/>
    <n v="253"/>
    <n v="80.599999999999994"/>
    <n v="5.72"/>
    <n v="158"/>
    <n v="839"/>
    <n v="753"/>
    <s v="FWD"/>
    <n v="7"/>
    <s v="Hatchback"/>
    <n v="30.7"/>
    <n v="1610"/>
    <n v="5"/>
    <n v="0"/>
    <x v="4"/>
    <x v="2"/>
    <n v="216726"/>
    <n v="3.4"/>
    <n v="3"/>
    <x v="1"/>
    <n v="3.82"/>
    <s v="High"/>
  </r>
  <r>
    <x v="3"/>
    <s v="Niro EV"/>
    <x v="4"/>
    <s v="Performance"/>
    <n v="51783.96"/>
    <n v="99.9"/>
    <n v="345"/>
    <n v="221"/>
    <n v="3.85"/>
    <n v="197"/>
    <n v="525"/>
    <n v="467"/>
    <s v="FWD"/>
    <n v="5"/>
    <s v="SUV"/>
    <n v="51.6"/>
    <n v="2137"/>
    <n v="5"/>
    <n v="1"/>
    <x v="3"/>
    <x v="1"/>
    <n v="94100"/>
    <n v="3.9"/>
    <n v="4"/>
    <x v="0"/>
    <n v="3.45"/>
    <s v="High"/>
  </r>
  <r>
    <x v="9"/>
    <s v="E-Transit"/>
    <x v="3"/>
    <s v="Base"/>
    <n v="47442.7"/>
    <n v="70.8"/>
    <n v="237"/>
    <n v="126.8"/>
    <n v="6.31"/>
    <n v="153"/>
    <n v="445"/>
    <n v="381"/>
    <s v="RWD"/>
    <n v="7"/>
    <s v="Van"/>
    <n v="69.599999999999994"/>
    <n v="1750"/>
    <n v="4"/>
    <n v="1"/>
    <x v="2"/>
    <x v="1"/>
    <n v="71700"/>
    <n v="3.5"/>
    <n v="3"/>
    <x v="1"/>
    <n v="3.35"/>
    <s v="High"/>
  </r>
  <r>
    <x v="7"/>
    <s v="Max"/>
    <x v="2"/>
    <s v="Premium"/>
    <n v="113232.12"/>
    <n v="50"/>
    <n v="173"/>
    <n v="89.8"/>
    <n v="6.32"/>
    <n v="154"/>
    <n v="1000"/>
    <n v="907"/>
    <s v="AWD"/>
    <n v="7"/>
    <s v="Coupe"/>
    <n v="24.6"/>
    <n v="1576"/>
    <n v="4"/>
    <n v="0"/>
    <x v="4"/>
    <x v="0"/>
    <n v="184045"/>
    <n v="3.2"/>
    <n v="5"/>
    <x v="1"/>
    <n v="3.46"/>
    <s v="High"/>
  </r>
  <r>
    <x v="10"/>
    <s v="i3"/>
    <x v="4"/>
    <s v="Long Range"/>
    <n v="102095.14"/>
    <n v="106.5"/>
    <n v="364"/>
    <n v="123.3"/>
    <n v="5"/>
    <n v="178"/>
    <n v="843"/>
    <n v="810"/>
    <s v="AWD"/>
    <n v="5"/>
    <s v="Coupe"/>
    <n v="23.3"/>
    <n v="1503"/>
    <n v="4"/>
    <n v="1"/>
    <x v="0"/>
    <x v="0"/>
    <n v="29444"/>
    <n v="3.4"/>
    <n v="5"/>
    <x v="1"/>
    <n v="3.42"/>
    <s v="High"/>
  </r>
  <r>
    <x v="11"/>
    <s v="e-tron"/>
    <x v="5"/>
    <s v="Performance"/>
    <n v="104966.05"/>
    <n v="96.6"/>
    <n v="360"/>
    <n v="208.5"/>
    <n v="2.86"/>
    <n v="200"/>
    <n v="776"/>
    <n v="692"/>
    <s v="AWD"/>
    <n v="5"/>
    <s v="Sedan"/>
    <n v="23.6"/>
    <n v="1596"/>
    <n v="4"/>
    <n v="2"/>
    <x v="0"/>
    <x v="0"/>
    <n v="20618"/>
    <n v="3.7"/>
    <n v="6"/>
    <x v="0"/>
    <n v="3.73"/>
    <s v="High"/>
  </r>
  <r>
    <x v="3"/>
    <s v="Niro EV"/>
    <x v="2"/>
    <s v="Long Range"/>
    <n v="40789.370000000003"/>
    <n v="85.6"/>
    <n v="279"/>
    <n v="96.7"/>
    <n v="5.67"/>
    <n v="165"/>
    <n v="332"/>
    <n v="276"/>
    <s v="FWD"/>
    <n v="5"/>
    <s v="Coupe"/>
    <n v="33.5"/>
    <n v="1580"/>
    <n v="5"/>
    <n v="1"/>
    <x v="3"/>
    <x v="1"/>
    <n v="63756"/>
    <n v="3.6"/>
    <n v="4"/>
    <x v="1"/>
    <n v="3.26"/>
    <s v="High"/>
  </r>
  <r>
    <x v="7"/>
    <s v="Leaf 50X"/>
    <x v="3"/>
    <s v="Standard"/>
    <n v="32451.41"/>
    <n v="72.900000000000006"/>
    <n v="268"/>
    <n v="118.3"/>
    <n v="6.57"/>
    <n v="148"/>
    <n v="348"/>
    <n v="323"/>
    <s v="FWD"/>
    <n v="7"/>
    <s v="Coupe"/>
    <n v="25.9"/>
    <n v="1889"/>
    <n v="4"/>
    <n v="2"/>
    <x v="4"/>
    <x v="3"/>
    <n v="104392"/>
    <n v="3.5"/>
    <n v="4"/>
    <x v="1"/>
    <n v="3.68"/>
    <s v="High"/>
  </r>
  <r>
    <x v="4"/>
    <s v="Model 3"/>
    <x v="1"/>
    <s v="Standard"/>
    <n v="112086.56"/>
    <n v="61.2"/>
    <n v="215"/>
    <n v="347.4"/>
    <n v="6.6"/>
    <n v="152"/>
    <n v="806"/>
    <n v="684"/>
    <s v="RWD"/>
    <n v="5"/>
    <s v="Sedan"/>
    <n v="22.9"/>
    <n v="1775"/>
    <n v="5"/>
    <n v="3"/>
    <x v="2"/>
    <x v="0"/>
    <n v="140793"/>
    <n v="3.7"/>
    <n v="5"/>
    <x v="1"/>
    <n v="3.51"/>
    <s v="High"/>
  </r>
  <r>
    <x v="5"/>
    <s v="EQG"/>
    <x v="1"/>
    <s v="Base"/>
    <n v="64416.89"/>
    <n v="70"/>
    <n v="262"/>
    <n v="64"/>
    <n v="7.35"/>
    <n v="142"/>
    <n v="213"/>
    <n v="227"/>
    <s v="FWD"/>
    <n v="7"/>
    <s v="SUV"/>
    <n v="54"/>
    <n v="2149"/>
    <n v="5"/>
    <n v="1"/>
    <x v="0"/>
    <x v="1"/>
    <n v="31870"/>
    <n v="3.9"/>
    <n v="6"/>
    <x v="2"/>
    <n v="3.74"/>
    <s v="High"/>
  </r>
  <r>
    <x v="4"/>
    <s v="Model 3"/>
    <x v="3"/>
    <s v="Base"/>
    <n v="108727.13"/>
    <n v="41.1"/>
    <n v="150"/>
    <n v="345.3"/>
    <n v="7.92"/>
    <n v="131"/>
    <n v="743"/>
    <n v="715"/>
    <s v="FWD"/>
    <n v="7"/>
    <s v="Truck"/>
    <n v="78.8"/>
    <n v="2525"/>
    <n v="3"/>
    <n v="2"/>
    <x v="2"/>
    <x v="0"/>
    <n v="118818"/>
    <n v="3.3"/>
    <n v="6"/>
    <x v="2"/>
    <n v="3.65"/>
    <s v="High"/>
  </r>
  <r>
    <x v="11"/>
    <s v="e-tron"/>
    <x v="4"/>
    <s v="Performance"/>
    <n v="119078.45"/>
    <n v="118.6"/>
    <n v="396"/>
    <n v="174.1"/>
    <n v="2.76"/>
    <n v="200"/>
    <n v="963"/>
    <n v="899"/>
    <s v="RWD"/>
    <n v="5"/>
    <s v="Coupe"/>
    <n v="22.5"/>
    <n v="1617"/>
    <n v="5"/>
    <n v="1"/>
    <x v="0"/>
    <x v="0"/>
    <n v="62009"/>
    <n v="3.8"/>
    <n v="8"/>
    <x v="0"/>
    <n v="3.34"/>
    <s v="High"/>
  </r>
  <r>
    <x v="8"/>
    <s v="Ioniq 5"/>
    <x v="3"/>
    <s v="Base"/>
    <n v="34994.42"/>
    <n v="79.099999999999994"/>
    <n v="269"/>
    <n v="104.4"/>
    <n v="6.86"/>
    <n v="142"/>
    <n v="258"/>
    <n v="270"/>
    <s v="FWD"/>
    <n v="7"/>
    <s v="Hatchback"/>
    <n v="32.200000000000003"/>
    <n v="1500"/>
    <n v="3"/>
    <n v="1"/>
    <x v="3"/>
    <x v="3"/>
    <n v="123225"/>
    <n v="3.5"/>
    <n v="4"/>
    <x v="1"/>
    <n v="3.4"/>
    <s v="High"/>
  </r>
  <r>
    <x v="12"/>
    <s v="ET5"/>
    <x v="0"/>
    <s v="Premium"/>
    <n v="114240.51"/>
    <n v="65.599999999999994"/>
    <n v="218"/>
    <n v="54"/>
    <n v="5.99"/>
    <n v="162"/>
    <n v="1000"/>
    <n v="939"/>
    <s v="AWD"/>
    <n v="7"/>
    <s v="Truck"/>
    <n v="56.4"/>
    <n v="2456"/>
    <n v="5"/>
    <n v="0"/>
    <x v="4"/>
    <x v="0"/>
    <n v="26747"/>
    <n v="3.6"/>
    <n v="5"/>
    <x v="1"/>
    <n v="3.32"/>
    <s v="High"/>
  </r>
  <r>
    <x v="9"/>
    <s v="Mustang Mach-E"/>
    <x v="3"/>
    <s v="Long Range"/>
    <n v="70076.78"/>
    <n v="107.7"/>
    <n v="396"/>
    <n v="104.3"/>
    <n v="4.5199999999999996"/>
    <n v="185"/>
    <n v="815"/>
    <n v="725"/>
    <s v="AWD"/>
    <n v="5"/>
    <s v="Truck"/>
    <n v="76.599999999999994"/>
    <n v="2211"/>
    <n v="3"/>
    <n v="1"/>
    <x v="2"/>
    <x v="2"/>
    <n v="52702"/>
    <n v="3.9"/>
    <n v="4"/>
    <x v="1"/>
    <n v="3.68"/>
    <s v="High"/>
  </r>
  <r>
    <x v="18"/>
    <s v="SU7"/>
    <x v="2"/>
    <s v="Long Range"/>
    <n v="95394.53"/>
    <n v="76.400000000000006"/>
    <n v="243"/>
    <n v="119.6"/>
    <n v="4.7"/>
    <n v="168"/>
    <n v="1000"/>
    <n v="931"/>
    <s v="FWD"/>
    <n v="5"/>
    <s v="SUV"/>
    <n v="39.9"/>
    <n v="2215"/>
    <n v="5"/>
    <n v="2"/>
    <x v="4"/>
    <x v="2"/>
    <n v="8671"/>
    <n v="3.6"/>
    <n v="3"/>
    <x v="1"/>
    <n v="3.18"/>
    <s v="Medium"/>
  </r>
  <r>
    <x v="7"/>
    <s v="Seagull"/>
    <x v="2"/>
    <s v="Base"/>
    <n v="16613.009999999998"/>
    <n v="55.9"/>
    <n v="237"/>
    <n v="83.2"/>
    <n v="5.73"/>
    <n v="169"/>
    <n v="202"/>
    <n v="200"/>
    <s v="AWD"/>
    <n v="5"/>
    <s v="Sedan"/>
    <n v="18.399999999999999"/>
    <n v="1578"/>
    <n v="3"/>
    <n v="2"/>
    <x v="4"/>
    <x v="3"/>
    <n v="205452"/>
    <n v="3.4"/>
    <n v="5"/>
    <x v="1"/>
    <n v="4.24"/>
    <s v="High"/>
  </r>
  <r>
    <x v="9"/>
    <s v="F-150 Lightning"/>
    <x v="1"/>
    <s v="Premium"/>
    <n v="39147.79"/>
    <n v="52.5"/>
    <n v="215"/>
    <n v="72.900000000000006"/>
    <n v="5.42"/>
    <n v="170"/>
    <n v="280"/>
    <n v="217"/>
    <s v="AWD"/>
    <n v="4"/>
    <s v="Truck"/>
    <n v="60.1"/>
    <n v="2430"/>
    <n v="4"/>
    <n v="0"/>
    <x v="2"/>
    <x v="1"/>
    <n v="78104"/>
    <n v="3.4"/>
    <n v="4"/>
    <x v="1"/>
    <n v="4.0999999999999996"/>
    <s v="High"/>
  </r>
  <r>
    <x v="0"/>
    <s v="ID.3"/>
    <x v="3"/>
    <s v="Performance"/>
    <n v="52326.27"/>
    <n v="115.4"/>
    <n v="383"/>
    <n v="192"/>
    <n v="3.21"/>
    <n v="200"/>
    <n v="500"/>
    <n v="497"/>
    <s v="AWD"/>
    <n v="5"/>
    <s v="SUV"/>
    <n v="39.5"/>
    <n v="2045"/>
    <n v="5"/>
    <n v="0"/>
    <x v="0"/>
    <x v="1"/>
    <n v="248780"/>
    <n v="3.9"/>
    <n v="3"/>
    <x v="0"/>
    <n v="3.32"/>
    <s v="High"/>
  </r>
  <r>
    <x v="8"/>
    <s v="Ioniq 6"/>
    <x v="5"/>
    <s v="Premium"/>
    <n v="43930.22"/>
    <n v="71.2"/>
    <n v="285"/>
    <n v="137.9"/>
    <n v="7.22"/>
    <n v="141"/>
    <n v="431"/>
    <n v="387"/>
    <s v="AWD"/>
    <n v="5"/>
    <s v="SUV"/>
    <n v="65.3"/>
    <n v="1932"/>
    <n v="4"/>
    <n v="1"/>
    <x v="3"/>
    <x v="1"/>
    <n v="60140"/>
    <n v="3.6"/>
    <n v="4"/>
    <x v="2"/>
    <n v="4"/>
    <s v="High"/>
  </r>
  <r>
    <x v="10"/>
    <s v="i5"/>
    <x v="3"/>
    <s v="Base"/>
    <n v="68260.210000000006"/>
    <n v="52.1"/>
    <n v="191"/>
    <n v="137.1"/>
    <n v="5.51"/>
    <n v="171"/>
    <n v="397"/>
    <n v="320"/>
    <s v="RWD"/>
    <n v="5"/>
    <s v="SUV"/>
    <n v="36.299999999999997"/>
    <n v="1984"/>
    <n v="4"/>
    <n v="2"/>
    <x v="0"/>
    <x v="2"/>
    <n v="78488"/>
    <n v="3"/>
    <n v="7"/>
    <x v="1"/>
    <n v="3.67"/>
    <s v="High"/>
  </r>
  <r>
    <x v="11"/>
    <s v="e-tron GT"/>
    <x v="2"/>
    <s v="Base"/>
    <n v="86243.23"/>
    <n v="60.4"/>
    <n v="208"/>
    <n v="117.9"/>
    <n v="5.68"/>
    <n v="169"/>
    <n v="543"/>
    <n v="447"/>
    <s v="FWD"/>
    <n v="5"/>
    <s v="Sedan"/>
    <n v="36.5"/>
    <n v="1500"/>
    <n v="4"/>
    <n v="1"/>
    <x v="0"/>
    <x v="2"/>
    <n v="24433"/>
    <n v="3.5"/>
    <n v="6"/>
    <x v="1"/>
    <n v="3.44"/>
    <s v="High"/>
  </r>
  <r>
    <x v="19"/>
    <n v="2"/>
    <x v="3"/>
    <s v="Base"/>
    <n v="91715.74"/>
    <n v="62.6"/>
    <n v="234"/>
    <n v="122.8"/>
    <n v="6.18"/>
    <n v="155"/>
    <n v="558"/>
    <n v="508"/>
    <s v="RWD"/>
    <n v="5"/>
    <s v="Hatchback"/>
    <n v="33.200000000000003"/>
    <n v="1632"/>
    <n v="5"/>
    <n v="0"/>
    <x v="5"/>
    <x v="2"/>
    <n v="2292"/>
    <n v="3.5"/>
    <n v="4"/>
    <x v="1"/>
    <n v="3.74"/>
    <s v="Low"/>
  </r>
  <r>
    <x v="9"/>
    <s v="Explorer EV"/>
    <x v="3"/>
    <s v="Base"/>
    <n v="55304.32"/>
    <n v="58.4"/>
    <n v="191"/>
    <n v="57.8"/>
    <n v="6.03"/>
    <n v="164"/>
    <n v="586"/>
    <n v="492"/>
    <s v="FWD"/>
    <n v="5"/>
    <s v="SUV"/>
    <n v="66.099999999999994"/>
    <n v="2189"/>
    <n v="5"/>
    <n v="0"/>
    <x v="2"/>
    <x v="1"/>
    <n v="32117"/>
    <n v="3.3"/>
    <n v="4"/>
    <x v="1"/>
    <n v="3.27"/>
    <s v="High"/>
  </r>
  <r>
    <x v="0"/>
    <s v="ID.4"/>
    <x v="2"/>
    <s v="Long Range"/>
    <n v="67671.59"/>
    <n v="106.9"/>
    <n v="369"/>
    <n v="103.8"/>
    <n v="5.4"/>
    <n v="166"/>
    <n v="714"/>
    <n v="648"/>
    <s v="RWD"/>
    <n v="5"/>
    <s v="SUV"/>
    <n v="39.1"/>
    <n v="1988"/>
    <n v="4"/>
    <n v="1"/>
    <x v="0"/>
    <x v="2"/>
    <n v="268234"/>
    <n v="3.9"/>
    <n v="4"/>
    <x v="1"/>
    <n v="3.45"/>
    <s v="High"/>
  </r>
  <r>
    <x v="0"/>
    <s v="ID.5"/>
    <x v="1"/>
    <s v="Performance"/>
    <n v="46348.56"/>
    <n v="90"/>
    <n v="333"/>
    <n v="203.6"/>
    <n v="3.69"/>
    <n v="188"/>
    <n v="334"/>
    <n v="294"/>
    <s v="RWD"/>
    <n v="5"/>
    <s v="SUV"/>
    <n v="62.6"/>
    <n v="1513"/>
    <n v="4"/>
    <n v="1"/>
    <x v="0"/>
    <x v="1"/>
    <n v="219975"/>
    <n v="3.8"/>
    <n v="4"/>
    <x v="0"/>
    <n v="3.7"/>
    <s v="High"/>
  </r>
  <r>
    <x v="2"/>
    <s v="Silverado EV"/>
    <x v="0"/>
    <s v="Premium"/>
    <n v="41711.199999999997"/>
    <n v="58.9"/>
    <n v="204"/>
    <n v="84.3"/>
    <n v="7.56"/>
    <n v="135"/>
    <n v="378"/>
    <n v="346"/>
    <s v="AWD"/>
    <n v="5"/>
    <s v="Hatchback"/>
    <n v="38.799999999999997"/>
    <n v="1502"/>
    <n v="4"/>
    <n v="2"/>
    <x v="2"/>
    <x v="1"/>
    <n v="776"/>
    <n v="3.2"/>
    <n v="4"/>
    <x v="2"/>
    <n v="3.46"/>
    <s v="Low"/>
  </r>
  <r>
    <x v="7"/>
    <s v="Atto 3"/>
    <x v="2"/>
    <s v="Long Range"/>
    <n v="71451.87"/>
    <n v="76.8"/>
    <n v="260"/>
    <n v="148.9"/>
    <n v="5.84"/>
    <n v="166"/>
    <n v="788"/>
    <n v="761"/>
    <s v="RWD"/>
    <n v="5"/>
    <s v="Van"/>
    <n v="77.099999999999994"/>
    <n v="1540"/>
    <n v="5"/>
    <n v="2"/>
    <x v="4"/>
    <x v="2"/>
    <n v="111875"/>
    <n v="3.5"/>
    <n v="4"/>
    <x v="1"/>
    <n v="3.39"/>
    <s v="High"/>
  </r>
  <r>
    <x v="4"/>
    <s v="Cybertruck"/>
    <x v="1"/>
    <s v="Long Range"/>
    <n v="109130.05"/>
    <n v="91.6"/>
    <n v="339"/>
    <n v="207.9"/>
    <n v="5.51"/>
    <n v="160"/>
    <n v="720"/>
    <n v="650"/>
    <s v="FWD"/>
    <n v="7"/>
    <s v="Truck"/>
    <n v="78"/>
    <n v="2513"/>
    <n v="5"/>
    <n v="3"/>
    <x v="2"/>
    <x v="0"/>
    <n v="161385"/>
    <n v="4.2"/>
    <n v="4"/>
    <x v="1"/>
    <n v="3.7"/>
    <s v="High"/>
  </r>
  <r>
    <x v="7"/>
    <s v="Dolphin"/>
    <x v="3"/>
    <s v="Performance"/>
    <n v="30282.11"/>
    <n v="100"/>
    <n v="331"/>
    <n v="243.7"/>
    <n v="2.59"/>
    <n v="200"/>
    <n v="289"/>
    <n v="286"/>
    <s v="RWD"/>
    <n v="7"/>
    <s v="Van"/>
    <n v="77.2"/>
    <n v="1897"/>
    <n v="5"/>
    <n v="2"/>
    <x v="4"/>
    <x v="3"/>
    <n v="180781"/>
    <n v="4"/>
    <n v="5"/>
    <x v="0"/>
    <n v="3.31"/>
    <s v="High"/>
  </r>
  <r>
    <x v="7"/>
    <s v="Dolphin"/>
    <x v="3"/>
    <s v="Standard"/>
    <n v="83813.38"/>
    <n v="70"/>
    <n v="271"/>
    <n v="90.1"/>
    <n v="5.34"/>
    <n v="166"/>
    <n v="960"/>
    <n v="881"/>
    <s v="RWD"/>
    <n v="5"/>
    <s v="SUV"/>
    <n v="35.9"/>
    <n v="1784"/>
    <n v="3"/>
    <n v="0"/>
    <x v="4"/>
    <x v="2"/>
    <n v="193467"/>
    <n v="3.4"/>
    <n v="5"/>
    <x v="1"/>
    <n v="3.87"/>
    <s v="High"/>
  </r>
  <r>
    <x v="7"/>
    <s v="Atto 3"/>
    <x v="1"/>
    <s v="Long Range"/>
    <n v="59084.31"/>
    <n v="100.3"/>
    <n v="349"/>
    <n v="128.5"/>
    <n v="4.97"/>
    <n v="182"/>
    <n v="657"/>
    <n v="521"/>
    <s v="FWD"/>
    <n v="7"/>
    <s v="Hatchback"/>
    <n v="27.6"/>
    <n v="1597"/>
    <n v="4"/>
    <n v="0"/>
    <x v="4"/>
    <x v="1"/>
    <n v="242445"/>
    <n v="3.6"/>
    <n v="3"/>
    <x v="1"/>
    <n v="3.48"/>
    <s v="High"/>
  </r>
  <r>
    <x v="7"/>
    <s v="Dolphin"/>
    <x v="4"/>
    <s v="Performance"/>
    <n v="43985.87"/>
    <n v="97.2"/>
    <n v="348"/>
    <n v="222.4"/>
    <n v="3.07"/>
    <n v="200"/>
    <n v="466"/>
    <n v="418"/>
    <s v="RWD"/>
    <n v="5"/>
    <s v="Coupe"/>
    <n v="24.5"/>
    <n v="1505"/>
    <n v="4"/>
    <n v="1"/>
    <x v="4"/>
    <x v="1"/>
    <n v="213365"/>
    <n v="3.8"/>
    <n v="4"/>
    <x v="0"/>
    <n v="3.58"/>
    <s v="High"/>
  </r>
  <r>
    <x v="4"/>
    <s v="Model Y"/>
    <x v="2"/>
    <s v="Long Range"/>
    <n v="114549.61"/>
    <n v="101"/>
    <n v="338"/>
    <n v="259.5"/>
    <n v="4.38"/>
    <n v="178"/>
    <n v="800"/>
    <n v="756"/>
    <s v="FWD"/>
    <n v="5"/>
    <s v="Coupe"/>
    <n v="34.299999999999997"/>
    <n v="1663"/>
    <n v="5"/>
    <n v="2"/>
    <x v="2"/>
    <x v="0"/>
    <n v="473485"/>
    <n v="4.0999999999999996"/>
    <n v="4"/>
    <x v="1"/>
    <n v="3.35"/>
    <s v="High"/>
  </r>
  <r>
    <x v="4"/>
    <s v="Model Y"/>
    <x v="3"/>
    <s v="Performance"/>
    <n v="63323.17"/>
    <n v="90.5"/>
    <n v="314"/>
    <n v="256.5"/>
    <n v="3.58"/>
    <n v="195"/>
    <n v="420"/>
    <n v="356"/>
    <s v="RWD"/>
    <n v="7"/>
    <s v="Coupe"/>
    <n v="32.200000000000003"/>
    <n v="1634"/>
    <n v="5"/>
    <n v="3"/>
    <x v="2"/>
    <x v="1"/>
    <n v="404935"/>
    <n v="3.9"/>
    <n v="5"/>
    <x v="0"/>
    <n v="3.47"/>
    <s v="High"/>
  </r>
  <r>
    <x v="14"/>
    <s v="Taycan"/>
    <x v="2"/>
    <s v="Premium"/>
    <n v="143428.04999999999"/>
    <n v="66.099999999999994"/>
    <n v="213"/>
    <n v="221.1"/>
    <n v="6.87"/>
    <n v="148"/>
    <n v="640"/>
    <n v="521"/>
    <s v="AWD"/>
    <n v="7"/>
    <s v="Coupe"/>
    <n v="37.200000000000003"/>
    <n v="1500"/>
    <n v="4"/>
    <n v="2"/>
    <x v="0"/>
    <x v="0"/>
    <n v="6555"/>
    <n v="3.8"/>
    <n v="7"/>
    <x v="1"/>
    <n v="3.22"/>
    <s v="Medium"/>
  </r>
  <r>
    <x v="0"/>
    <s v="ID. Aero"/>
    <x v="0"/>
    <s v="Premium"/>
    <n v="60337.62"/>
    <n v="44.2"/>
    <n v="158"/>
    <n v="70.599999999999994"/>
    <n v="5.68"/>
    <n v="175"/>
    <n v="580"/>
    <n v="557"/>
    <s v="RWD"/>
    <n v="7"/>
    <s v="Hatchback"/>
    <n v="32"/>
    <n v="1500"/>
    <n v="5"/>
    <n v="1"/>
    <x v="0"/>
    <x v="1"/>
    <n v="201954"/>
    <n v="3.3"/>
    <n v="3"/>
    <x v="1"/>
    <n v="3.57"/>
    <s v="High"/>
  </r>
  <r>
    <x v="0"/>
    <s v="ID.3"/>
    <x v="0"/>
    <s v="Premium"/>
    <n v="53064.54"/>
    <n v="68.099999999999994"/>
    <n v="226"/>
    <n v="140.6"/>
    <n v="7.09"/>
    <n v="141"/>
    <n v="464"/>
    <n v="379"/>
    <s v="RWD"/>
    <n v="7"/>
    <s v="Truck"/>
    <n v="57.8"/>
    <n v="2506"/>
    <n v="3"/>
    <n v="0"/>
    <x v="0"/>
    <x v="1"/>
    <n v="243991"/>
    <n v="3.3"/>
    <n v="4"/>
    <x v="2"/>
    <n v="3.32"/>
    <s v="High"/>
  </r>
  <r>
    <x v="10"/>
    <s v="i5"/>
    <x v="1"/>
    <s v="Performance"/>
    <n v="74178.539999999994"/>
    <n v="74"/>
    <n v="257"/>
    <n v="154.19999999999999"/>
    <n v="3.99"/>
    <n v="187"/>
    <n v="386"/>
    <n v="326"/>
    <s v="RWD"/>
    <n v="7"/>
    <s v="Coupe"/>
    <n v="31.7"/>
    <n v="1714"/>
    <n v="5"/>
    <n v="2"/>
    <x v="0"/>
    <x v="2"/>
    <n v="60959"/>
    <n v="3.3"/>
    <n v="5"/>
    <x v="0"/>
    <n v="3.47"/>
    <s v="High"/>
  </r>
  <r>
    <x v="7"/>
    <s v="Atto 3"/>
    <x v="3"/>
    <s v="Long Range"/>
    <n v="51946.07"/>
    <n v="98.3"/>
    <n v="331"/>
    <n v="87.9"/>
    <n v="4.3499999999999996"/>
    <n v="185"/>
    <n v="593"/>
    <n v="555"/>
    <s v="AWD"/>
    <n v="7"/>
    <s v="Sedan"/>
    <n v="31.7"/>
    <n v="1785"/>
    <n v="5"/>
    <n v="1"/>
    <x v="4"/>
    <x v="1"/>
    <n v="247778"/>
    <n v="3.6"/>
    <n v="3"/>
    <x v="1"/>
    <n v="3.37"/>
    <s v="High"/>
  </r>
  <r>
    <x v="1"/>
    <s v="bZ Compact SUV"/>
    <x v="2"/>
    <s v="Long Range"/>
    <n v="85221.63"/>
    <n v="86.5"/>
    <n v="314"/>
    <n v="126.8"/>
    <n v="4.78"/>
    <n v="181"/>
    <n v="1000"/>
    <n v="915"/>
    <s v="FWD"/>
    <n v="7"/>
    <s v="SUV"/>
    <n v="36.6"/>
    <n v="2167"/>
    <n v="4"/>
    <n v="0"/>
    <x v="1"/>
    <x v="2"/>
    <n v="12454"/>
    <n v="3.6"/>
    <n v="4"/>
    <x v="1"/>
    <n v="3.63"/>
    <s v="Medium"/>
  </r>
  <r>
    <x v="9"/>
    <s v="E-Transit"/>
    <x v="3"/>
    <s v="Standard"/>
    <n v="44718.1"/>
    <n v="71.7"/>
    <n v="258"/>
    <n v="59.7"/>
    <n v="6.72"/>
    <n v="157"/>
    <n v="382"/>
    <n v="355"/>
    <s v="FWD"/>
    <n v="7"/>
    <s v="Hatchback"/>
    <n v="27.8"/>
    <n v="1523"/>
    <n v="5"/>
    <n v="1"/>
    <x v="2"/>
    <x v="1"/>
    <n v="41551"/>
    <n v="3.5"/>
    <n v="3"/>
    <x v="1"/>
    <n v="3.6"/>
    <s v="High"/>
  </r>
  <r>
    <x v="4"/>
    <s v="Model X"/>
    <x v="2"/>
    <s v="Premium"/>
    <n v="57311.05"/>
    <n v="46.2"/>
    <n v="178"/>
    <n v="230.2"/>
    <n v="6.59"/>
    <n v="148"/>
    <n v="371"/>
    <n v="358"/>
    <s v="RWD"/>
    <n v="7"/>
    <s v="Hatchback"/>
    <n v="37.6"/>
    <n v="1576"/>
    <n v="5"/>
    <n v="2"/>
    <x v="2"/>
    <x v="1"/>
    <n v="103833"/>
    <n v="3.5"/>
    <n v="5"/>
    <x v="1"/>
    <n v="3.85"/>
    <s v="High"/>
  </r>
  <r>
    <x v="0"/>
    <s v="ID. Aero"/>
    <x v="3"/>
    <s v="Premium"/>
    <n v="112803.13"/>
    <n v="81.2"/>
    <n v="297"/>
    <n v="50.1"/>
    <n v="6.05"/>
    <n v="158"/>
    <n v="1000"/>
    <n v="906"/>
    <s v="AWD"/>
    <n v="7"/>
    <s v="Truck"/>
    <n v="79.8"/>
    <n v="2658"/>
    <n v="4"/>
    <n v="1"/>
    <x v="0"/>
    <x v="0"/>
    <n v="225327"/>
    <n v="3.8"/>
    <n v="3"/>
    <x v="1"/>
    <n v="3.66"/>
    <s v="High"/>
  </r>
  <r>
    <x v="11"/>
    <s v="e-tron GT"/>
    <x v="3"/>
    <s v="Long Range"/>
    <n v="126392.96000000001"/>
    <n v="109.8"/>
    <n v="384"/>
    <n v="98.7"/>
    <n v="5.26"/>
    <n v="176"/>
    <n v="1000"/>
    <n v="873"/>
    <s v="FWD"/>
    <n v="7"/>
    <s v="Sedan"/>
    <n v="22.8"/>
    <n v="1500"/>
    <n v="4"/>
    <n v="2"/>
    <x v="0"/>
    <x v="0"/>
    <n v="38380"/>
    <n v="4"/>
    <n v="8"/>
    <x v="1"/>
    <n v="3.5"/>
    <s v="High"/>
  </r>
  <r>
    <x v="1"/>
    <s v="bZ Compact SUV"/>
    <x v="3"/>
    <s v="Premium"/>
    <n v="79560.179999999993"/>
    <n v="48.9"/>
    <n v="199"/>
    <n v="81.900000000000006"/>
    <n v="5.34"/>
    <n v="167"/>
    <n v="1000"/>
    <n v="917"/>
    <s v="RWD"/>
    <n v="7"/>
    <s v="SUV"/>
    <n v="39.299999999999997"/>
    <n v="1681"/>
    <n v="5"/>
    <n v="0"/>
    <x v="1"/>
    <x v="2"/>
    <n v="12847"/>
    <n v="3"/>
    <n v="3"/>
    <x v="1"/>
    <n v="4.07"/>
    <s v="Medium"/>
  </r>
  <r>
    <x v="8"/>
    <s v="Ioniq"/>
    <x v="3"/>
    <s v="Performance"/>
    <n v="56648.45"/>
    <n v="77.2"/>
    <n v="256"/>
    <n v="156"/>
    <n v="3.07"/>
    <n v="200"/>
    <n v="651"/>
    <n v="571"/>
    <s v="AWD"/>
    <n v="7"/>
    <s v="Truck"/>
    <n v="51.4"/>
    <n v="2444"/>
    <n v="4"/>
    <n v="1"/>
    <x v="3"/>
    <x v="1"/>
    <n v="120189"/>
    <n v="3.7"/>
    <n v="3"/>
    <x v="0"/>
    <n v="3.32"/>
    <s v="High"/>
  </r>
  <r>
    <x v="3"/>
    <s v="EV9"/>
    <x v="5"/>
    <s v="Long Range"/>
    <n v="68589.740000000005"/>
    <n v="83.3"/>
    <n v="269"/>
    <n v="85.1"/>
    <n v="4.04"/>
    <n v="185"/>
    <n v="777"/>
    <n v="693"/>
    <s v="FWD"/>
    <n v="5"/>
    <s v="SUV"/>
    <n v="66"/>
    <n v="1880"/>
    <n v="5"/>
    <n v="1"/>
    <x v="3"/>
    <x v="2"/>
    <n v="136116"/>
    <n v="3.3"/>
    <n v="3"/>
    <x v="1"/>
    <n v="3.23"/>
    <s v="High"/>
  </r>
  <r>
    <x v="4"/>
    <s v="Model Y"/>
    <x v="3"/>
    <s v="Premium"/>
    <n v="126346.84"/>
    <n v="62.5"/>
    <n v="253"/>
    <n v="303.5"/>
    <n v="6.96"/>
    <n v="147"/>
    <n v="888"/>
    <n v="808"/>
    <s v="AWD"/>
    <n v="5"/>
    <s v="SUV"/>
    <n v="40"/>
    <n v="1955"/>
    <n v="4"/>
    <n v="2"/>
    <x v="2"/>
    <x v="0"/>
    <n v="433007"/>
    <n v="3.9"/>
    <n v="5"/>
    <x v="1"/>
    <n v="4.05"/>
    <s v="High"/>
  </r>
  <r>
    <x v="15"/>
    <s v="XC40 Recharge"/>
    <x v="3"/>
    <s v="Long Range"/>
    <n v="79465"/>
    <n v="100.9"/>
    <n v="373"/>
    <n v="57.4"/>
    <n v="4.6399999999999997"/>
    <n v="183"/>
    <n v="617"/>
    <n v="519"/>
    <s v="FWD"/>
    <n v="5"/>
    <s v="Van"/>
    <n v="70.099999999999994"/>
    <n v="1500"/>
    <n v="5"/>
    <n v="0"/>
    <x v="5"/>
    <x v="2"/>
    <n v="9072"/>
    <n v="4"/>
    <n v="5"/>
    <x v="1"/>
    <n v="3.7"/>
    <s v="Medium"/>
  </r>
  <r>
    <x v="7"/>
    <s v="Qin"/>
    <x v="1"/>
    <s v="Base"/>
    <n v="51140.49"/>
    <n v="58.3"/>
    <n v="209"/>
    <n v="72.900000000000006"/>
    <n v="5.05"/>
    <n v="182"/>
    <n v="572"/>
    <n v="450"/>
    <s v="AWD"/>
    <n v="5"/>
    <s v="Van"/>
    <n v="75.599999999999994"/>
    <n v="1639"/>
    <n v="5"/>
    <n v="0"/>
    <x v="4"/>
    <x v="1"/>
    <n v="122452"/>
    <n v="3.6"/>
    <n v="5"/>
    <x v="1"/>
    <n v="3.58"/>
    <s v="High"/>
  </r>
  <r>
    <x v="12"/>
    <s v="EL8"/>
    <x v="4"/>
    <s v="Long Range"/>
    <n v="55221.99"/>
    <n v="108.2"/>
    <n v="383"/>
    <n v="59.8"/>
    <n v="4.1900000000000004"/>
    <n v="187"/>
    <n v="328"/>
    <n v="316"/>
    <s v="AWD"/>
    <n v="7"/>
    <s v="Coupe"/>
    <n v="30"/>
    <n v="1742"/>
    <n v="4"/>
    <n v="1"/>
    <x v="4"/>
    <x v="1"/>
    <n v="7302"/>
    <n v="3.7"/>
    <n v="3"/>
    <x v="1"/>
    <n v="3.54"/>
    <s v="Medium"/>
  </r>
  <r>
    <x v="10"/>
    <s v="i3"/>
    <x v="2"/>
    <s v="Premium"/>
    <n v="79371.520000000004"/>
    <n v="75.599999999999994"/>
    <n v="287"/>
    <n v="120.4"/>
    <n v="5.58"/>
    <n v="165"/>
    <n v="455"/>
    <n v="425"/>
    <s v="AWD"/>
    <n v="5"/>
    <s v="Hatchback"/>
    <n v="26.8"/>
    <n v="1500"/>
    <n v="5"/>
    <n v="1"/>
    <x v="0"/>
    <x v="2"/>
    <n v="73538"/>
    <n v="3.4"/>
    <n v="6"/>
    <x v="1"/>
    <n v="3.8"/>
    <s v="High"/>
  </r>
  <r>
    <x v="3"/>
    <s v="Picanto EV"/>
    <x v="2"/>
    <s v="Performance"/>
    <n v="42779.06"/>
    <n v="92.5"/>
    <n v="294"/>
    <n v="225"/>
    <n v="3.85"/>
    <n v="195"/>
    <n v="378"/>
    <n v="354"/>
    <s v="FWD"/>
    <n v="5"/>
    <s v="SUV"/>
    <n v="69.8"/>
    <n v="1837"/>
    <n v="4"/>
    <n v="0"/>
    <x v="3"/>
    <x v="1"/>
    <n v="60355"/>
    <n v="3.6"/>
    <n v="5"/>
    <x v="0"/>
    <n v="3.18"/>
    <s v="High"/>
  </r>
  <r>
    <x v="8"/>
    <s v="Ioniq 6"/>
    <x v="5"/>
    <s v="Premium"/>
    <n v="56433"/>
    <n v="62.7"/>
    <n v="241"/>
    <n v="133.30000000000001"/>
    <n v="5.85"/>
    <n v="161"/>
    <n v="621"/>
    <n v="572"/>
    <s v="RWD"/>
    <n v="5"/>
    <s v="Truck"/>
    <n v="51.5"/>
    <n v="2171"/>
    <n v="4"/>
    <n v="0"/>
    <x v="3"/>
    <x v="1"/>
    <n v="82791"/>
    <n v="3.4"/>
    <n v="4"/>
    <x v="1"/>
    <n v="3.84"/>
    <s v="High"/>
  </r>
  <r>
    <x v="7"/>
    <s v="Atto 3"/>
    <x v="5"/>
    <s v="Long Range"/>
    <n v="27583.09"/>
    <n v="88.1"/>
    <n v="308"/>
    <n v="146.5"/>
    <n v="5.01"/>
    <n v="181"/>
    <n v="239"/>
    <n v="200"/>
    <s v="FWD"/>
    <n v="5"/>
    <s v="Truck"/>
    <n v="78.900000000000006"/>
    <n v="2795"/>
    <n v="5"/>
    <n v="0"/>
    <x v="4"/>
    <x v="3"/>
    <n v="122434"/>
    <n v="3.8"/>
    <n v="5"/>
    <x v="1"/>
    <n v="3.5"/>
    <s v="High"/>
  </r>
  <r>
    <x v="4"/>
    <s v="Model S"/>
    <x v="5"/>
    <s v="Base"/>
    <n v="58826.879999999997"/>
    <n v="44.1"/>
    <n v="150"/>
    <n v="256"/>
    <n v="7.68"/>
    <n v="133"/>
    <n v="396"/>
    <n v="316"/>
    <s v="FWD"/>
    <n v="7"/>
    <s v="Sedan"/>
    <n v="36.5"/>
    <n v="1518"/>
    <n v="4"/>
    <n v="2"/>
    <x v="2"/>
    <x v="1"/>
    <n v="198300"/>
    <n v="3.5"/>
    <n v="5"/>
    <x v="2"/>
    <n v="3.4"/>
    <s v="High"/>
  </r>
  <r>
    <x v="7"/>
    <s v="Atto 3"/>
    <x v="2"/>
    <s v="Premium"/>
    <n v="65610.45"/>
    <n v="55.7"/>
    <n v="208"/>
    <n v="128.30000000000001"/>
    <n v="7.45"/>
    <n v="130"/>
    <n v="719"/>
    <n v="646"/>
    <s v="RWD"/>
    <n v="5"/>
    <s v="Sedan"/>
    <n v="17.399999999999999"/>
    <n v="1707"/>
    <n v="4"/>
    <n v="1"/>
    <x v="4"/>
    <x v="2"/>
    <n v="108967"/>
    <n v="3.4"/>
    <n v="5"/>
    <x v="2"/>
    <n v="3.73"/>
    <s v="High"/>
  </r>
  <r>
    <x v="4"/>
    <s v="Cybertruck"/>
    <x v="2"/>
    <s v="Long Range"/>
    <n v="71380.399999999994"/>
    <n v="86.4"/>
    <n v="314"/>
    <n v="201.5"/>
    <n v="4.79"/>
    <n v="179"/>
    <n v="495"/>
    <n v="479"/>
    <s v="RWD"/>
    <n v="7"/>
    <s v="Truck"/>
    <n v="56.2"/>
    <n v="2926"/>
    <n v="5"/>
    <n v="3"/>
    <x v="2"/>
    <x v="2"/>
    <n v="213989"/>
    <n v="3.7"/>
    <n v="4"/>
    <x v="1"/>
    <n v="3.63"/>
    <s v="High"/>
  </r>
  <r>
    <x v="9"/>
    <s v="F-150 Lightning"/>
    <x v="2"/>
    <s v="Premium"/>
    <n v="79235.67"/>
    <n v="56.8"/>
    <n v="213"/>
    <n v="107.9"/>
    <n v="7.58"/>
    <n v="142"/>
    <n v="929"/>
    <n v="817"/>
    <s v="AWD"/>
    <n v="2"/>
    <s v="Truck"/>
    <n v="74.7"/>
    <n v="2579"/>
    <n v="4"/>
    <n v="0"/>
    <x v="2"/>
    <x v="2"/>
    <n v="59746"/>
    <n v="3.3"/>
    <n v="4"/>
    <x v="2"/>
    <n v="3.75"/>
    <s v="High"/>
  </r>
  <r>
    <x v="7"/>
    <s v="Max"/>
    <x v="2"/>
    <s v="Premium"/>
    <n v="88218.65"/>
    <n v="54.7"/>
    <n v="210"/>
    <n v="74"/>
    <n v="5.67"/>
    <n v="158"/>
    <n v="1000"/>
    <n v="882"/>
    <s v="AWD"/>
    <n v="7"/>
    <s v="Coupe"/>
    <n v="37.1"/>
    <n v="1709"/>
    <n v="4"/>
    <n v="0"/>
    <x v="4"/>
    <x v="2"/>
    <n v="227690"/>
    <n v="3.4"/>
    <n v="4"/>
    <x v="1"/>
    <n v="3.84"/>
    <s v="High"/>
  </r>
  <r>
    <x v="4"/>
    <s v="Model S"/>
    <x v="6"/>
    <s v="Performance"/>
    <n v="164703.81"/>
    <n v="113.2"/>
    <n v="397"/>
    <n v="200.6"/>
    <n v="4.08"/>
    <n v="187"/>
    <n v="1000"/>
    <n v="877"/>
    <s v="RWD"/>
    <n v="7"/>
    <s v="Sedan"/>
    <n v="21.9"/>
    <n v="1900"/>
    <n v="5"/>
    <n v="2"/>
    <x v="2"/>
    <x v="0"/>
    <n v="159470"/>
    <n v="4.0999999999999996"/>
    <n v="4"/>
    <x v="1"/>
    <n v="3.51"/>
    <s v="High"/>
  </r>
  <r>
    <x v="6"/>
    <s v="Ronin"/>
    <x v="5"/>
    <s v="Standard"/>
    <n v="93652.94"/>
    <n v="54.5"/>
    <n v="193"/>
    <n v="144.4"/>
    <n v="5.24"/>
    <n v="177"/>
    <n v="823"/>
    <n v="743"/>
    <s v="FWD"/>
    <n v="5"/>
    <s v="Sedan"/>
    <n v="21.3"/>
    <n v="1675"/>
    <n v="3"/>
    <n v="0"/>
    <x v="2"/>
    <x v="2"/>
    <n v="24709"/>
    <n v="3.3"/>
    <n v="5"/>
    <x v="1"/>
    <n v="3.54"/>
    <s v="High"/>
  </r>
  <r>
    <x v="11"/>
    <s v="e-tron GT"/>
    <x v="2"/>
    <s v="Performance"/>
    <n v="121871.7"/>
    <n v="86.2"/>
    <n v="305"/>
    <n v="248"/>
    <n v="2.63"/>
    <n v="200"/>
    <n v="1000"/>
    <n v="889"/>
    <s v="AWD"/>
    <n v="5"/>
    <s v="Van"/>
    <n v="71.599999999999994"/>
    <n v="1664"/>
    <n v="5"/>
    <n v="2"/>
    <x v="0"/>
    <x v="0"/>
    <n v="31338"/>
    <n v="3.6"/>
    <n v="7"/>
    <x v="0"/>
    <n v="3.54"/>
    <s v="High"/>
  </r>
  <r>
    <x v="13"/>
    <s v="R1S"/>
    <x v="1"/>
    <s v="Premium"/>
    <n v="102878.64"/>
    <n v="67.400000000000006"/>
    <n v="249"/>
    <n v="56.8"/>
    <n v="6.37"/>
    <n v="161"/>
    <n v="1000"/>
    <n v="930"/>
    <s v="AWD"/>
    <n v="5"/>
    <s v="Sedan"/>
    <n v="39.700000000000003"/>
    <n v="1640"/>
    <n v="5"/>
    <n v="0"/>
    <x v="2"/>
    <x v="0"/>
    <n v="27062"/>
    <n v="3.2"/>
    <n v="5"/>
    <x v="1"/>
    <n v="3.69"/>
    <s v="High"/>
  </r>
  <r>
    <x v="15"/>
    <s v="XC90 Recharge"/>
    <x v="1"/>
    <s v="Performance"/>
    <n v="74428.14"/>
    <n v="86.1"/>
    <n v="316"/>
    <n v="151.1"/>
    <n v="3.78"/>
    <n v="191"/>
    <n v="584"/>
    <n v="519"/>
    <s v="RWD"/>
    <n v="5"/>
    <s v="Truck"/>
    <n v="74.099999999999994"/>
    <n v="2794"/>
    <n v="5"/>
    <n v="2"/>
    <x v="5"/>
    <x v="2"/>
    <n v="3031"/>
    <n v="3.5"/>
    <n v="3"/>
    <x v="0"/>
    <n v="3.67"/>
    <s v="Low"/>
  </r>
  <r>
    <x v="4"/>
    <s v="Model 3"/>
    <x v="5"/>
    <s v="Performance"/>
    <n v="112274.6"/>
    <n v="73.599999999999994"/>
    <n v="242"/>
    <n v="325.8"/>
    <n v="4.0199999999999996"/>
    <n v="190"/>
    <n v="781"/>
    <n v="662"/>
    <s v="AWD"/>
    <n v="7"/>
    <s v="Hatchback"/>
    <n v="18.3"/>
    <n v="1825"/>
    <n v="4"/>
    <n v="2"/>
    <x v="2"/>
    <x v="0"/>
    <n v="193133"/>
    <n v="3.9"/>
    <n v="5"/>
    <x v="1"/>
    <n v="3.29"/>
    <s v="High"/>
  </r>
  <r>
    <x v="0"/>
    <s v="ID. Buzz"/>
    <x v="3"/>
    <s v="Long Range"/>
    <n v="97039.06"/>
    <n v="100.7"/>
    <n v="357"/>
    <n v="140.30000000000001"/>
    <n v="4.1100000000000003"/>
    <n v="191"/>
    <n v="1000"/>
    <n v="891"/>
    <s v="FWD"/>
    <n v="5"/>
    <s v="Coupe"/>
    <n v="21.4"/>
    <n v="1712"/>
    <n v="4"/>
    <n v="1"/>
    <x v="0"/>
    <x v="2"/>
    <n v="224398"/>
    <n v="3.8"/>
    <n v="3"/>
    <x v="1"/>
    <n v="3.55"/>
    <s v="High"/>
  </r>
  <r>
    <x v="2"/>
    <s v="Silverado EV"/>
    <x v="4"/>
    <s v="Premium"/>
    <n v="53395.89"/>
    <n v="42.6"/>
    <n v="150"/>
    <n v="144.9"/>
    <n v="6.26"/>
    <n v="163"/>
    <n v="624"/>
    <n v="587"/>
    <s v="AWD"/>
    <n v="5"/>
    <s v="Sedan"/>
    <n v="32"/>
    <n v="1519"/>
    <n v="4"/>
    <n v="1"/>
    <x v="2"/>
    <x v="1"/>
    <n v="1550"/>
    <n v="3.2"/>
    <n v="4"/>
    <x v="1"/>
    <n v="3.52"/>
    <s v="Low"/>
  </r>
  <r>
    <x v="2"/>
    <s v="Blazer EV"/>
    <x v="3"/>
    <s v="Premium"/>
    <n v="80502.600000000006"/>
    <n v="78.599999999999994"/>
    <n v="262"/>
    <n v="121.3"/>
    <n v="5.67"/>
    <n v="176"/>
    <n v="1000"/>
    <n v="888"/>
    <s v="RWD"/>
    <n v="5"/>
    <s v="Sedan"/>
    <n v="32.5"/>
    <n v="1721"/>
    <n v="3"/>
    <n v="0"/>
    <x v="2"/>
    <x v="2"/>
    <n v="14992"/>
    <n v="3.6"/>
    <n v="4"/>
    <x v="1"/>
    <n v="3.33"/>
    <s v="Medium"/>
  </r>
  <r>
    <x v="4"/>
    <s v="Model 3"/>
    <x v="3"/>
    <s v="Long Range"/>
    <n v="31639.64"/>
    <n v="77.2"/>
    <n v="287"/>
    <n v="221.7"/>
    <n v="5.1100000000000003"/>
    <n v="172"/>
    <n v="168"/>
    <n v="200"/>
    <s v="FWD"/>
    <n v="7"/>
    <s v="Coupe"/>
    <n v="37.299999999999997"/>
    <n v="1602"/>
    <n v="5"/>
    <n v="2"/>
    <x v="2"/>
    <x v="3"/>
    <n v="146342"/>
    <n v="4"/>
    <n v="4"/>
    <x v="1"/>
    <n v="3.72"/>
    <s v="High"/>
  </r>
  <r>
    <x v="9"/>
    <s v="F-150 Lightning"/>
    <x v="0"/>
    <s v="Performance"/>
    <n v="69526.3"/>
    <n v="114.5"/>
    <n v="415"/>
    <n v="202.7"/>
    <n v="2.68"/>
    <n v="200"/>
    <n v="822"/>
    <n v="735"/>
    <s v="AWD"/>
    <n v="2"/>
    <s v="Truck"/>
    <n v="57.7"/>
    <n v="2445"/>
    <n v="5"/>
    <n v="2"/>
    <x v="2"/>
    <x v="2"/>
    <n v="23821"/>
    <n v="3.8"/>
    <n v="3"/>
    <x v="0"/>
    <n v="3.62"/>
    <s v="High"/>
  </r>
  <r>
    <x v="7"/>
    <s v="Atto 3"/>
    <x v="3"/>
    <s v="Performance"/>
    <n v="81358.02"/>
    <n v="82.4"/>
    <n v="282"/>
    <n v="193.2"/>
    <n v="3.65"/>
    <n v="195"/>
    <n v="889"/>
    <n v="778"/>
    <s v="AWD"/>
    <n v="5"/>
    <s v="Sedan"/>
    <n v="22.8"/>
    <n v="1500"/>
    <n v="4"/>
    <n v="1"/>
    <x v="4"/>
    <x v="2"/>
    <n v="108251"/>
    <n v="3.7"/>
    <n v="4"/>
    <x v="0"/>
    <n v="3.42"/>
    <s v="High"/>
  </r>
  <r>
    <x v="7"/>
    <s v="Qin"/>
    <x v="5"/>
    <s v="Base"/>
    <n v="45158.26"/>
    <n v="84"/>
    <n v="315"/>
    <n v="53"/>
    <n v="7.08"/>
    <n v="140"/>
    <n v="469"/>
    <n v="441"/>
    <s v="AWD"/>
    <n v="5"/>
    <s v="SUV"/>
    <n v="49.5"/>
    <n v="1873"/>
    <n v="5"/>
    <n v="1"/>
    <x v="4"/>
    <x v="1"/>
    <n v="119766"/>
    <n v="3.6"/>
    <n v="4"/>
    <x v="2"/>
    <n v="3.75"/>
    <s v="High"/>
  </r>
  <r>
    <x v="8"/>
    <s v="Ioniq"/>
    <x v="0"/>
    <s v="Standard"/>
    <n v="73470.2"/>
    <n v="61.6"/>
    <n v="217"/>
    <n v="144.30000000000001"/>
    <n v="6.2"/>
    <n v="167"/>
    <n v="902"/>
    <n v="779"/>
    <s v="RWD"/>
    <n v="5"/>
    <s v="Truck"/>
    <n v="66.3"/>
    <n v="2647"/>
    <n v="5"/>
    <n v="1"/>
    <x v="3"/>
    <x v="2"/>
    <n v="142666"/>
    <n v="3.2"/>
    <n v="4"/>
    <x v="1"/>
    <n v="3.52"/>
    <s v="High"/>
  </r>
  <r>
    <x v="3"/>
    <s v="Sportage EV"/>
    <x v="2"/>
    <s v="Standard"/>
    <n v="31797.34"/>
    <n v="45.6"/>
    <n v="150"/>
    <n v="78.7"/>
    <n v="6.94"/>
    <n v="145"/>
    <n v="233"/>
    <n v="200"/>
    <s v="FWD"/>
    <n v="5"/>
    <s v="SUV"/>
    <n v="37.6"/>
    <n v="2224"/>
    <n v="4"/>
    <n v="0"/>
    <x v="3"/>
    <x v="3"/>
    <n v="131619"/>
    <n v="3.3"/>
    <n v="3"/>
    <x v="1"/>
    <n v="3.29"/>
    <s v="High"/>
  </r>
  <r>
    <x v="3"/>
    <s v="EV9"/>
    <x v="1"/>
    <s v="Long Range"/>
    <n v="73675.86"/>
    <n v="96"/>
    <n v="333"/>
    <n v="92.8"/>
    <n v="4.4800000000000004"/>
    <n v="183"/>
    <n v="868"/>
    <n v="792"/>
    <s v="AWD"/>
    <n v="5"/>
    <s v="SUV"/>
    <n v="43.9"/>
    <n v="1945"/>
    <n v="5"/>
    <n v="2"/>
    <x v="3"/>
    <x v="2"/>
    <n v="89937"/>
    <n v="3.6"/>
    <n v="3"/>
    <x v="1"/>
    <n v="3.47"/>
    <s v="High"/>
  </r>
  <r>
    <x v="4"/>
    <s v="Model S"/>
    <x v="0"/>
    <s v="Performance"/>
    <n v="105706.18"/>
    <n v="114.7"/>
    <n v="391"/>
    <n v="331.8"/>
    <n v="2.63"/>
    <n v="200"/>
    <n v="742"/>
    <n v="663"/>
    <s v="RWD"/>
    <n v="5"/>
    <s v="Coupe"/>
    <n v="37.9"/>
    <n v="1802"/>
    <n v="3"/>
    <n v="2"/>
    <x v="2"/>
    <x v="0"/>
    <n v="247669"/>
    <n v="4.2"/>
    <n v="5"/>
    <x v="0"/>
    <n v="3.41"/>
    <s v="High"/>
  </r>
  <r>
    <x v="11"/>
    <s v="e-tron"/>
    <x v="2"/>
    <s v="Long Range"/>
    <n v="123736.19"/>
    <n v="81.7"/>
    <n v="310"/>
    <n v="113.3"/>
    <n v="5.2"/>
    <n v="174"/>
    <n v="965"/>
    <n v="897"/>
    <s v="FWD"/>
    <n v="5"/>
    <s v="Coupe"/>
    <n v="33.700000000000003"/>
    <n v="1758"/>
    <n v="5"/>
    <n v="1"/>
    <x v="0"/>
    <x v="0"/>
    <n v="45413"/>
    <n v="3.8"/>
    <n v="6"/>
    <x v="1"/>
    <n v="3.79"/>
    <s v="High"/>
  </r>
  <r>
    <x v="7"/>
    <s v="Dolphin"/>
    <x v="3"/>
    <s v="Base"/>
    <n v="73207.320000000007"/>
    <n v="69.3"/>
    <n v="232"/>
    <n v="84.9"/>
    <n v="6.7"/>
    <n v="152"/>
    <n v="814"/>
    <n v="744"/>
    <s v="AWD"/>
    <n v="5"/>
    <s v="Hatchback"/>
    <n v="34.9"/>
    <n v="1500"/>
    <n v="4"/>
    <n v="0"/>
    <x v="4"/>
    <x v="2"/>
    <n v="205374"/>
    <n v="3.2"/>
    <n v="4"/>
    <x v="1"/>
    <n v="3.35"/>
    <s v="High"/>
  </r>
  <r>
    <x v="4"/>
    <s v="Model S"/>
    <x v="0"/>
    <s v="Standard"/>
    <n v="95125.11"/>
    <n v="45.3"/>
    <n v="150"/>
    <n v="285.89999999999998"/>
    <n v="7.3"/>
    <n v="135"/>
    <n v="730"/>
    <n v="670"/>
    <s v="AWD"/>
    <n v="7"/>
    <s v="Hatchback"/>
    <n v="36.4"/>
    <n v="1713"/>
    <n v="3"/>
    <n v="3"/>
    <x v="2"/>
    <x v="2"/>
    <n v="116755"/>
    <n v="3.3"/>
    <n v="5"/>
    <x v="2"/>
    <n v="3.31"/>
    <s v="High"/>
  </r>
  <r>
    <x v="11"/>
    <s v="e-tron GT"/>
    <x v="0"/>
    <s v="Long Range"/>
    <n v="64643.29"/>
    <n v="83.8"/>
    <n v="293"/>
    <n v="113"/>
    <n v="5.39"/>
    <n v="173"/>
    <n v="269"/>
    <n v="202"/>
    <s v="FWD"/>
    <n v="5"/>
    <s v="SUV"/>
    <n v="53"/>
    <n v="2231"/>
    <n v="5"/>
    <n v="2"/>
    <x v="0"/>
    <x v="1"/>
    <n v="67458"/>
    <n v="3.6"/>
    <n v="5"/>
    <x v="1"/>
    <n v="3.5"/>
    <s v="High"/>
  </r>
  <r>
    <x v="1"/>
    <s v="bZ4X"/>
    <x v="1"/>
    <s v="Base"/>
    <n v="35115.72"/>
    <n v="61.4"/>
    <n v="238"/>
    <n v="145.30000000000001"/>
    <n v="7.26"/>
    <n v="138"/>
    <n v="150"/>
    <n v="200"/>
    <s v="FWD"/>
    <n v="5"/>
    <s v="Hatchback"/>
    <n v="34.200000000000003"/>
    <n v="1689"/>
    <n v="4"/>
    <n v="0"/>
    <x v="1"/>
    <x v="1"/>
    <n v="3528"/>
    <n v="3.7"/>
    <n v="3"/>
    <x v="2"/>
    <n v="3.88"/>
    <s v="Low"/>
  </r>
  <r>
    <x v="5"/>
    <s v="EQE"/>
    <x v="3"/>
    <s v="Premium"/>
    <n v="112650.99"/>
    <n v="53.9"/>
    <n v="165"/>
    <n v="122.5"/>
    <n v="6.48"/>
    <n v="148"/>
    <n v="587"/>
    <n v="561"/>
    <s v="RWD"/>
    <n v="7"/>
    <s v="SUV"/>
    <n v="69.599999999999994"/>
    <n v="2158"/>
    <n v="4"/>
    <n v="2"/>
    <x v="0"/>
    <x v="0"/>
    <n v="79068"/>
    <n v="3.4"/>
    <n v="6"/>
    <x v="1"/>
    <n v="3.06"/>
    <s v="High"/>
  </r>
  <r>
    <x v="9"/>
    <s v="Explorer EV"/>
    <x v="2"/>
    <s v="Premium"/>
    <n v="80541.59"/>
    <n v="73.3"/>
    <n v="280"/>
    <n v="80.3"/>
    <n v="7.12"/>
    <n v="141"/>
    <n v="984"/>
    <n v="864"/>
    <s v="RWD"/>
    <n v="7"/>
    <s v="Coupe"/>
    <n v="30.1"/>
    <n v="1500"/>
    <n v="5"/>
    <n v="0"/>
    <x v="2"/>
    <x v="2"/>
    <n v="37698"/>
    <n v="3.4"/>
    <n v="3"/>
    <x v="2"/>
    <n v="3.82"/>
    <s v="High"/>
  </r>
  <r>
    <x v="10"/>
    <s v="i4"/>
    <x v="1"/>
    <s v="Standard"/>
    <n v="99869.64"/>
    <n v="50.6"/>
    <n v="193"/>
    <n v="90.9"/>
    <n v="7.8"/>
    <n v="135"/>
    <n v="812"/>
    <n v="735"/>
    <s v="AWD"/>
    <n v="5"/>
    <s v="Coupe"/>
    <n v="37.700000000000003"/>
    <n v="1807"/>
    <n v="4"/>
    <n v="2"/>
    <x v="0"/>
    <x v="2"/>
    <n v="76842"/>
    <n v="3.6"/>
    <n v="5"/>
    <x v="2"/>
    <n v="3.81"/>
    <s v="High"/>
  </r>
  <r>
    <x v="3"/>
    <s v="Picanto EV"/>
    <x v="4"/>
    <s v="Performance"/>
    <n v="106510.25"/>
    <n v="75.099999999999994"/>
    <n v="275"/>
    <n v="220.3"/>
    <n v="3.27"/>
    <n v="200"/>
    <n v="1000"/>
    <n v="847"/>
    <s v="AWD"/>
    <n v="7"/>
    <s v="Van"/>
    <n v="72.8"/>
    <n v="1618"/>
    <n v="5"/>
    <n v="0"/>
    <x v="3"/>
    <x v="0"/>
    <n v="120403"/>
    <n v="3.4"/>
    <n v="3"/>
    <x v="0"/>
    <n v="3.66"/>
    <s v="High"/>
  </r>
  <r>
    <x v="4"/>
    <s v="Model S"/>
    <x v="3"/>
    <s v="Standard"/>
    <n v="58831.27"/>
    <n v="45"/>
    <n v="150"/>
    <n v="213"/>
    <n v="7.32"/>
    <n v="147"/>
    <n v="431"/>
    <n v="362"/>
    <s v="FWD"/>
    <n v="5"/>
    <s v="Sedan"/>
    <n v="17.7"/>
    <n v="1837"/>
    <n v="5"/>
    <n v="2"/>
    <x v="2"/>
    <x v="1"/>
    <n v="150860"/>
    <n v="3.4"/>
    <n v="5"/>
    <x v="2"/>
    <n v="3.33"/>
    <s v="High"/>
  </r>
  <r>
    <x v="0"/>
    <s v="ID.3"/>
    <x v="3"/>
    <s v="Long Range"/>
    <n v="70858.100000000006"/>
    <n v="90.5"/>
    <n v="274"/>
    <n v="104.1"/>
    <n v="5.78"/>
    <n v="163"/>
    <n v="786"/>
    <n v="732"/>
    <s v="FWD"/>
    <n v="7"/>
    <s v="Truck"/>
    <n v="78.900000000000006"/>
    <n v="2795"/>
    <n v="5"/>
    <n v="2"/>
    <x v="0"/>
    <x v="2"/>
    <n v="251846"/>
    <n v="3.6"/>
    <n v="4"/>
    <x v="1"/>
    <n v="3.03"/>
    <s v="High"/>
  </r>
  <r>
    <x v="0"/>
    <s v="ID. Buzz"/>
    <x v="2"/>
    <s v="Standard"/>
    <n v="46173.34"/>
    <n v="51.5"/>
    <n v="190"/>
    <n v="131.5"/>
    <n v="6.36"/>
    <n v="148"/>
    <n v="394"/>
    <n v="352"/>
    <s v="AWD"/>
    <n v="5"/>
    <s v="Sedan"/>
    <n v="18.7"/>
    <n v="1533"/>
    <n v="5"/>
    <n v="0"/>
    <x v="0"/>
    <x v="1"/>
    <n v="274696"/>
    <n v="3.4"/>
    <n v="3"/>
    <x v="1"/>
    <n v="3.69"/>
    <s v="High"/>
  </r>
  <r>
    <x v="7"/>
    <s v="Yuan Plus"/>
    <x v="3"/>
    <s v="Base"/>
    <n v="73712.39"/>
    <n v="44.1"/>
    <n v="173"/>
    <n v="145.80000000000001"/>
    <n v="7.94"/>
    <n v="126"/>
    <n v="781"/>
    <n v="718"/>
    <s v="AWD"/>
    <n v="7"/>
    <s v="Sedan"/>
    <n v="29.9"/>
    <n v="1812"/>
    <n v="4"/>
    <n v="0"/>
    <x v="4"/>
    <x v="2"/>
    <n v="243890"/>
    <n v="3.1"/>
    <n v="4"/>
    <x v="2"/>
    <n v="3.92"/>
    <s v="High"/>
  </r>
  <r>
    <x v="2"/>
    <s v="Silverado EV"/>
    <x v="0"/>
    <s v="Premium"/>
    <n v="73891.199999999997"/>
    <n v="45"/>
    <n v="150"/>
    <n v="95.2"/>
    <n v="7.9"/>
    <n v="134"/>
    <n v="1000"/>
    <n v="883"/>
    <s v="AWD"/>
    <n v="5"/>
    <s v="SUV"/>
    <n v="65.5"/>
    <n v="1762"/>
    <n v="5"/>
    <n v="1"/>
    <x v="2"/>
    <x v="2"/>
    <n v="7223"/>
    <n v="3.4"/>
    <n v="4"/>
    <x v="2"/>
    <n v="3.33"/>
    <s v="Medium"/>
  </r>
  <r>
    <x v="8"/>
    <s v="Ioniq"/>
    <x v="3"/>
    <s v="Standard"/>
    <n v="65291.37"/>
    <n v="83.7"/>
    <n v="283"/>
    <n v="74.5"/>
    <n v="6.79"/>
    <n v="150"/>
    <n v="754"/>
    <n v="610"/>
    <s v="RWD"/>
    <n v="5"/>
    <s v="Van"/>
    <n v="68.8"/>
    <n v="1742"/>
    <n v="5"/>
    <n v="2"/>
    <x v="3"/>
    <x v="2"/>
    <n v="99183"/>
    <n v="3.6"/>
    <n v="3"/>
    <x v="1"/>
    <n v="3.38"/>
    <s v="High"/>
  </r>
  <r>
    <x v="4"/>
    <s v="Model Y"/>
    <x v="2"/>
    <s v="Premium"/>
    <n v="137035.03"/>
    <n v="58.5"/>
    <n v="224"/>
    <n v="212.5"/>
    <n v="6.59"/>
    <n v="151"/>
    <n v="984"/>
    <n v="852"/>
    <s v="RWD"/>
    <n v="5"/>
    <s v="Hatchback"/>
    <n v="30.3"/>
    <n v="1769"/>
    <n v="4"/>
    <n v="3"/>
    <x v="2"/>
    <x v="0"/>
    <n v="429314"/>
    <n v="3.7"/>
    <n v="4"/>
    <x v="1"/>
    <n v="3.83"/>
    <s v="High"/>
  </r>
  <r>
    <x v="7"/>
    <s v="Yuan Plus"/>
    <x v="0"/>
    <s v="Base"/>
    <n v="36015.660000000003"/>
    <n v="52.4"/>
    <n v="178"/>
    <n v="74.599999999999994"/>
    <n v="6.02"/>
    <n v="160"/>
    <n v="377"/>
    <n v="393"/>
    <s v="RWD"/>
    <n v="5"/>
    <s v="SUV"/>
    <n v="36.200000000000003"/>
    <n v="2000"/>
    <n v="5"/>
    <n v="2"/>
    <x v="4"/>
    <x v="1"/>
    <n v="143487"/>
    <n v="3.4"/>
    <n v="4"/>
    <x v="1"/>
    <n v="3.4"/>
    <s v="High"/>
  </r>
  <r>
    <x v="10"/>
    <s v="i4"/>
    <x v="2"/>
    <s v="Standard"/>
    <n v="96459.23"/>
    <n v="81"/>
    <n v="288"/>
    <n v="96.7"/>
    <n v="7.78"/>
    <n v="121"/>
    <n v="788"/>
    <n v="724"/>
    <s v="AWD"/>
    <n v="7"/>
    <s v="Truck"/>
    <n v="50.7"/>
    <n v="2534"/>
    <n v="4"/>
    <n v="2"/>
    <x v="0"/>
    <x v="2"/>
    <n v="64056"/>
    <n v="3.5"/>
    <n v="5"/>
    <x v="2"/>
    <n v="3.56"/>
    <s v="High"/>
  </r>
  <r>
    <x v="4"/>
    <s v="Cybertruck"/>
    <x v="3"/>
    <s v="Base"/>
    <n v="64862.04"/>
    <n v="68.099999999999994"/>
    <n v="237"/>
    <n v="321.3"/>
    <n v="7.35"/>
    <n v="145"/>
    <n v="455"/>
    <n v="329"/>
    <s v="RWD"/>
    <n v="5"/>
    <s v="Truck"/>
    <n v="76.7"/>
    <n v="2349"/>
    <n v="5"/>
    <n v="2"/>
    <x v="2"/>
    <x v="1"/>
    <n v="237113"/>
    <n v="3.9"/>
    <n v="5"/>
    <x v="2"/>
    <n v="3.48"/>
    <s v="High"/>
  </r>
  <r>
    <x v="5"/>
    <s v="EQS"/>
    <x v="3"/>
    <s v="Standard"/>
    <n v="131964.76"/>
    <n v="47"/>
    <n v="157"/>
    <n v="136.5"/>
    <n v="5.89"/>
    <n v="160"/>
    <n v="817"/>
    <n v="752"/>
    <s v="RWD"/>
    <n v="5"/>
    <s v="Coupe"/>
    <n v="26.2"/>
    <n v="1776"/>
    <n v="4"/>
    <n v="1"/>
    <x v="0"/>
    <x v="0"/>
    <n v="62952"/>
    <n v="3.6"/>
    <n v="6"/>
    <x v="1"/>
    <n v="3.34"/>
    <s v="High"/>
  </r>
  <r>
    <x v="8"/>
    <s v="Kona Electric"/>
    <x v="2"/>
    <s v="Premium"/>
    <n v="97251.62"/>
    <n v="60.7"/>
    <n v="196"/>
    <n v="79.8"/>
    <n v="6.87"/>
    <n v="148"/>
    <n v="1000"/>
    <n v="936"/>
    <s v="AWD"/>
    <n v="5"/>
    <s v="SUV"/>
    <n v="69.3"/>
    <n v="2108"/>
    <n v="5"/>
    <n v="1"/>
    <x v="3"/>
    <x v="2"/>
    <n v="59030"/>
    <n v="3.1"/>
    <n v="4"/>
    <x v="1"/>
    <n v="3.23"/>
    <s v="High"/>
  </r>
  <r>
    <x v="8"/>
    <s v="i30"/>
    <x v="2"/>
    <s v="Long Range"/>
    <n v="63320.42"/>
    <n v="102.7"/>
    <n v="353"/>
    <n v="56"/>
    <n v="5.85"/>
    <n v="160"/>
    <n v="723"/>
    <n v="634"/>
    <s v="FWD"/>
    <n v="7"/>
    <s v="Sedan"/>
    <n v="33"/>
    <n v="1930"/>
    <n v="5"/>
    <n v="1"/>
    <x v="3"/>
    <x v="1"/>
    <n v="132537"/>
    <n v="3.8"/>
    <n v="3"/>
    <x v="1"/>
    <n v="3.44"/>
    <s v="High"/>
  </r>
  <r>
    <x v="3"/>
    <s v="EV9"/>
    <x v="0"/>
    <s v="Standard"/>
    <n v="63386.57"/>
    <n v="61.3"/>
    <n v="218"/>
    <n v="117.8"/>
    <n v="5.51"/>
    <n v="167"/>
    <n v="725"/>
    <n v="679"/>
    <s v="RWD"/>
    <n v="5"/>
    <s v="SUV"/>
    <n v="69.599999999999994"/>
    <n v="2057"/>
    <n v="5"/>
    <n v="0"/>
    <x v="3"/>
    <x v="1"/>
    <n v="97503"/>
    <n v="3.2"/>
    <n v="5"/>
    <x v="1"/>
    <n v="3.56"/>
    <s v="High"/>
  </r>
  <r>
    <x v="5"/>
    <s v="EQE"/>
    <x v="4"/>
    <s v="Standard"/>
    <n v="115665.62"/>
    <n v="57.4"/>
    <n v="162"/>
    <n v="116.6"/>
    <n v="5.16"/>
    <n v="169"/>
    <n v="608"/>
    <n v="588"/>
    <s v="RWD"/>
    <n v="7"/>
    <s v="Hatchback"/>
    <n v="39.799999999999997"/>
    <n v="1500"/>
    <n v="4"/>
    <n v="1"/>
    <x v="0"/>
    <x v="0"/>
    <n v="25083"/>
    <n v="3.3"/>
    <n v="7"/>
    <x v="1"/>
    <n v="2.82"/>
    <s v="High"/>
  </r>
  <r>
    <x v="7"/>
    <s v="Dolphin"/>
    <x v="1"/>
    <s v="Standard"/>
    <n v="30805.35"/>
    <n v="40"/>
    <n v="150"/>
    <n v="107.8"/>
    <n v="7.18"/>
    <n v="141"/>
    <n v="377"/>
    <n v="392"/>
    <s v="RWD"/>
    <n v="7"/>
    <s v="Truck"/>
    <n v="68.099999999999994"/>
    <n v="2193"/>
    <n v="5"/>
    <n v="1"/>
    <x v="4"/>
    <x v="3"/>
    <n v="133529"/>
    <n v="3.4"/>
    <n v="3"/>
    <x v="2"/>
    <n v="3.75"/>
    <s v="High"/>
  </r>
  <r>
    <x v="10"/>
    <s v="i4"/>
    <x v="5"/>
    <s v="Premium"/>
    <n v="103491.15"/>
    <n v="48.4"/>
    <n v="152"/>
    <n v="97"/>
    <n v="7.03"/>
    <n v="147"/>
    <n v="887"/>
    <n v="802"/>
    <s v="AWD"/>
    <n v="5"/>
    <s v="Sedan"/>
    <n v="35.200000000000003"/>
    <n v="1837"/>
    <n v="5"/>
    <n v="2"/>
    <x v="0"/>
    <x v="0"/>
    <n v="42817"/>
    <n v="3.4"/>
    <n v="7"/>
    <x v="2"/>
    <n v="3.14"/>
    <s v="High"/>
  </r>
  <r>
    <x v="3"/>
    <s v="Niro EV"/>
    <x v="5"/>
    <s v="Long Range"/>
    <n v="67363.850000000006"/>
    <n v="101"/>
    <n v="376"/>
    <n v="95.1"/>
    <n v="5.97"/>
    <n v="160"/>
    <n v="740"/>
    <n v="658"/>
    <s v="FWD"/>
    <n v="5"/>
    <s v="SUV"/>
    <n v="53.4"/>
    <n v="2072"/>
    <n v="3"/>
    <n v="1"/>
    <x v="3"/>
    <x v="2"/>
    <n v="128059"/>
    <n v="4"/>
    <n v="4"/>
    <x v="1"/>
    <n v="3.72"/>
    <s v="High"/>
  </r>
  <r>
    <x v="7"/>
    <s v="Seagull"/>
    <x v="3"/>
    <s v="Standard"/>
    <n v="37099.25"/>
    <n v="64.7"/>
    <n v="205"/>
    <n v="132.69999999999999"/>
    <n v="5.49"/>
    <n v="171"/>
    <n v="393"/>
    <n v="350"/>
    <s v="AWD"/>
    <n v="5"/>
    <s v="Hatchback"/>
    <n v="19"/>
    <n v="1783"/>
    <n v="5"/>
    <n v="0"/>
    <x v="4"/>
    <x v="1"/>
    <n v="163441"/>
    <n v="3.7"/>
    <n v="4"/>
    <x v="1"/>
    <n v="3.17"/>
    <s v="High"/>
  </r>
  <r>
    <x v="11"/>
    <s v="Q4 e-tron"/>
    <x v="3"/>
    <s v="Standard"/>
    <n v="55204.45"/>
    <n v="65.400000000000006"/>
    <n v="223"/>
    <n v="116.2"/>
    <n v="5.47"/>
    <n v="164"/>
    <n v="243"/>
    <n v="200"/>
    <s v="FWD"/>
    <n v="5"/>
    <s v="Hatchback"/>
    <n v="31.1"/>
    <n v="1500"/>
    <n v="4"/>
    <n v="1"/>
    <x v="0"/>
    <x v="1"/>
    <n v="48087"/>
    <n v="3.2"/>
    <n v="7"/>
    <x v="1"/>
    <n v="3.41"/>
    <s v="High"/>
  </r>
  <r>
    <x v="9"/>
    <s v="E-Transit"/>
    <x v="3"/>
    <s v="Standard"/>
    <n v="63604.01"/>
    <n v="40"/>
    <n v="150"/>
    <n v="81.2"/>
    <n v="6.78"/>
    <n v="148"/>
    <n v="705"/>
    <n v="676"/>
    <s v="FWD"/>
    <n v="5"/>
    <s v="Hatchback"/>
    <n v="15.9"/>
    <n v="1508"/>
    <n v="4"/>
    <n v="1"/>
    <x v="2"/>
    <x v="1"/>
    <n v="36824"/>
    <n v="3.2"/>
    <n v="4"/>
    <x v="1"/>
    <n v="3.75"/>
    <s v="High"/>
  </r>
  <r>
    <x v="10"/>
    <s v="iX"/>
    <x v="0"/>
    <s v="Performance"/>
    <n v="101590.86"/>
    <n v="116.4"/>
    <n v="426"/>
    <n v="201.3"/>
    <n v="4.3499999999999996"/>
    <n v="174"/>
    <n v="818"/>
    <n v="765"/>
    <s v="RWD"/>
    <n v="7"/>
    <s v="Van"/>
    <n v="78"/>
    <n v="1688"/>
    <n v="5"/>
    <n v="2"/>
    <x v="0"/>
    <x v="0"/>
    <n v="73116"/>
    <n v="4"/>
    <n v="5"/>
    <x v="1"/>
    <n v="3.66"/>
    <s v="High"/>
  </r>
  <r>
    <x v="5"/>
    <s v="GLE EV"/>
    <x v="2"/>
    <s v="Base"/>
    <n v="62600.82"/>
    <n v="55.9"/>
    <n v="179"/>
    <n v="122"/>
    <n v="7.46"/>
    <n v="145"/>
    <n v="160"/>
    <n v="205"/>
    <s v="AWD"/>
    <n v="5"/>
    <s v="Van"/>
    <n v="75.3"/>
    <n v="1500"/>
    <n v="3"/>
    <n v="2"/>
    <x v="0"/>
    <x v="1"/>
    <n v="69358"/>
    <n v="3.7"/>
    <n v="7"/>
    <x v="2"/>
    <n v="3.2"/>
    <s v="High"/>
  </r>
  <r>
    <x v="5"/>
    <s v="EQS"/>
    <x v="3"/>
    <s v="Standard"/>
    <n v="99348.31"/>
    <n v="48.9"/>
    <n v="189"/>
    <n v="54.9"/>
    <n v="6.79"/>
    <n v="150"/>
    <n v="535"/>
    <n v="532"/>
    <s v="FWD"/>
    <n v="7"/>
    <s v="Coupe"/>
    <n v="25.6"/>
    <n v="1578"/>
    <n v="4"/>
    <n v="1"/>
    <x v="0"/>
    <x v="2"/>
    <n v="79812"/>
    <n v="3.8"/>
    <n v="7"/>
    <x v="1"/>
    <n v="3.87"/>
    <s v="High"/>
  </r>
  <r>
    <x v="2"/>
    <s v="Bolt EUV"/>
    <x v="4"/>
    <s v="Base"/>
    <n v="40119.64"/>
    <n v="79"/>
    <n v="282"/>
    <n v="117.9"/>
    <n v="6.97"/>
    <n v="141"/>
    <n v="451"/>
    <n v="389"/>
    <s v="AWD"/>
    <n v="5"/>
    <s v="SUV"/>
    <n v="46.1"/>
    <n v="1980"/>
    <n v="5"/>
    <n v="1"/>
    <x v="2"/>
    <x v="1"/>
    <n v="25340"/>
    <n v="3.4"/>
    <n v="4"/>
    <x v="1"/>
    <n v="3.57"/>
    <s v="High"/>
  </r>
  <r>
    <x v="5"/>
    <s v="EQC"/>
    <x v="3"/>
    <s v="Base"/>
    <n v="124226.17"/>
    <n v="74.2"/>
    <n v="253"/>
    <n v="77.2"/>
    <n v="5.89"/>
    <n v="164"/>
    <n v="687"/>
    <n v="619"/>
    <s v="FWD"/>
    <n v="5"/>
    <s v="SUV"/>
    <n v="63.1"/>
    <n v="1728"/>
    <n v="4"/>
    <n v="2"/>
    <x v="0"/>
    <x v="0"/>
    <n v="40173"/>
    <n v="3.7"/>
    <n v="8"/>
    <x v="1"/>
    <n v="3.41"/>
    <s v="High"/>
  </r>
  <r>
    <x v="2"/>
    <s v="Blazer EV"/>
    <x v="3"/>
    <s v="Base"/>
    <n v="34616.61"/>
    <n v="73.900000000000006"/>
    <n v="287"/>
    <n v="116.2"/>
    <n v="5.33"/>
    <n v="167"/>
    <n v="306"/>
    <n v="303"/>
    <s v="RWD"/>
    <n v="5"/>
    <s v="Coupe"/>
    <n v="15"/>
    <n v="1685"/>
    <n v="4"/>
    <n v="0"/>
    <x v="2"/>
    <x v="3"/>
    <n v="24423"/>
    <n v="3.8"/>
    <n v="4"/>
    <x v="1"/>
    <n v="3.88"/>
    <s v="High"/>
  </r>
  <r>
    <x v="10"/>
    <s v="i7"/>
    <x v="4"/>
    <s v="Long Range"/>
    <n v="75380.59"/>
    <n v="109"/>
    <n v="366"/>
    <n v="90.6"/>
    <n v="4.66"/>
    <n v="181"/>
    <n v="482"/>
    <n v="442"/>
    <s v="FWD"/>
    <n v="7"/>
    <s v="SUV"/>
    <n v="36.9"/>
    <n v="2165"/>
    <n v="4"/>
    <n v="1"/>
    <x v="0"/>
    <x v="2"/>
    <n v="62356"/>
    <n v="3.9"/>
    <n v="7"/>
    <x v="1"/>
    <n v="3.36"/>
    <s v="High"/>
  </r>
  <r>
    <x v="3"/>
    <s v="EV9"/>
    <x v="4"/>
    <s v="Standard"/>
    <n v="32210.63"/>
    <n v="78.099999999999994"/>
    <n v="270"/>
    <n v="121.5"/>
    <n v="7.59"/>
    <n v="137"/>
    <n v="210"/>
    <n v="200"/>
    <s v="RWD"/>
    <n v="7"/>
    <s v="SUV"/>
    <n v="48.2"/>
    <n v="1957"/>
    <n v="5"/>
    <n v="0"/>
    <x v="3"/>
    <x v="3"/>
    <n v="60096"/>
    <n v="3.2"/>
    <n v="5"/>
    <x v="2"/>
    <n v="3.46"/>
    <s v="High"/>
  </r>
  <r>
    <x v="2"/>
    <s v="Silverado EV"/>
    <x v="5"/>
    <s v="Premium"/>
    <n v="68395.009999999995"/>
    <n v="46"/>
    <n v="165"/>
    <n v="142.4"/>
    <n v="7.05"/>
    <n v="146"/>
    <n v="903"/>
    <n v="784"/>
    <s v="AWD"/>
    <n v="7"/>
    <s v="Coupe"/>
    <n v="34.1"/>
    <n v="1500"/>
    <n v="4"/>
    <n v="1"/>
    <x v="2"/>
    <x v="2"/>
    <n v="27929"/>
    <n v="3"/>
    <n v="5"/>
    <x v="2"/>
    <n v="3.59"/>
    <s v="High"/>
  </r>
  <r>
    <x v="4"/>
    <s v="Model S"/>
    <x v="2"/>
    <s v="Long Range"/>
    <n v="156702.49"/>
    <n v="102.8"/>
    <n v="353"/>
    <n v="339.7"/>
    <n v="5.34"/>
    <n v="157"/>
    <n v="1000"/>
    <n v="867"/>
    <s v="AWD"/>
    <n v="7"/>
    <s v="Sedan"/>
    <n v="26.1"/>
    <n v="1500"/>
    <n v="5"/>
    <n v="2"/>
    <x v="2"/>
    <x v="0"/>
    <n v="132013"/>
    <n v="3.9"/>
    <n v="5"/>
    <x v="1"/>
    <n v="3.43"/>
    <s v="High"/>
  </r>
  <r>
    <x v="11"/>
    <s v="e-tron"/>
    <x v="5"/>
    <s v="Base"/>
    <n v="97863.03"/>
    <n v="41.7"/>
    <n v="166"/>
    <n v="140.5"/>
    <n v="6.81"/>
    <n v="145"/>
    <n v="693"/>
    <n v="607"/>
    <s v="AWD"/>
    <n v="7"/>
    <s v="Coupe"/>
    <n v="35.1"/>
    <n v="1509"/>
    <n v="5"/>
    <n v="1"/>
    <x v="0"/>
    <x v="2"/>
    <n v="24216"/>
    <n v="3.4"/>
    <n v="7"/>
    <x v="1"/>
    <n v="3.98"/>
    <s v="High"/>
  </r>
  <r>
    <x v="5"/>
    <s v="EQS"/>
    <x v="3"/>
    <s v="Long Range"/>
    <n v="183986.43"/>
    <n v="100.6"/>
    <n v="365"/>
    <n v="124.5"/>
    <n v="4.04"/>
    <n v="193"/>
    <n v="1000"/>
    <n v="849"/>
    <s v="FWD"/>
    <n v="5"/>
    <s v="Hatchback"/>
    <n v="25.9"/>
    <n v="1663"/>
    <n v="5"/>
    <n v="1"/>
    <x v="0"/>
    <x v="0"/>
    <n v="50432"/>
    <n v="4.0999999999999996"/>
    <n v="5"/>
    <x v="1"/>
    <n v="3.63"/>
    <s v="High"/>
  </r>
  <r>
    <x v="4"/>
    <s v="Cybertruck"/>
    <x v="3"/>
    <s v="Performance"/>
    <n v="56352.74"/>
    <n v="82.9"/>
    <n v="297"/>
    <n v="312.39999999999998"/>
    <n v="2.74"/>
    <n v="200"/>
    <n v="305"/>
    <n v="299"/>
    <s v="AWD"/>
    <n v="7"/>
    <s v="Truck"/>
    <n v="63.9"/>
    <n v="2480"/>
    <n v="4"/>
    <n v="3"/>
    <x v="2"/>
    <x v="1"/>
    <n v="197115"/>
    <n v="3.9"/>
    <n v="5"/>
    <x v="0"/>
    <n v="3.58"/>
    <s v="High"/>
  </r>
  <r>
    <x v="5"/>
    <s v="EQG"/>
    <x v="1"/>
    <s v="Standard"/>
    <n v="126403.53"/>
    <n v="64.900000000000006"/>
    <n v="225"/>
    <n v="136"/>
    <n v="7.73"/>
    <n v="137"/>
    <n v="706"/>
    <n v="626"/>
    <s v="FWD"/>
    <n v="7"/>
    <s v="SUV"/>
    <n v="42.5"/>
    <n v="2048"/>
    <n v="4"/>
    <n v="1"/>
    <x v="0"/>
    <x v="0"/>
    <n v="37272"/>
    <n v="3.8"/>
    <n v="7"/>
    <x v="2"/>
    <n v="3.47"/>
    <s v="High"/>
  </r>
  <r>
    <x v="4"/>
    <s v="Model 3"/>
    <x v="0"/>
    <s v="Premium"/>
    <n v="67810.929999999993"/>
    <n v="55.5"/>
    <n v="175"/>
    <n v="235.1"/>
    <n v="5.86"/>
    <n v="166"/>
    <n v="470"/>
    <n v="501"/>
    <s v="RWD"/>
    <n v="7"/>
    <s v="Sedan"/>
    <n v="30.9"/>
    <n v="1618"/>
    <n v="5"/>
    <n v="2"/>
    <x v="2"/>
    <x v="2"/>
    <n v="194039"/>
    <n v="3.6"/>
    <n v="4"/>
    <x v="1"/>
    <n v="3.15"/>
    <s v="High"/>
  </r>
  <r>
    <x v="7"/>
    <s v="Seagull"/>
    <x v="1"/>
    <s v="Long Range"/>
    <n v="53237.26"/>
    <n v="103"/>
    <n v="376"/>
    <n v="147.19999999999999"/>
    <n v="4.3"/>
    <n v="186"/>
    <n v="620"/>
    <n v="527"/>
    <s v="FWD"/>
    <n v="5"/>
    <s v="Truck"/>
    <n v="73.8"/>
    <n v="2247"/>
    <n v="5"/>
    <n v="0"/>
    <x v="4"/>
    <x v="1"/>
    <n v="163016"/>
    <n v="3.8"/>
    <n v="3"/>
    <x v="1"/>
    <n v="3.65"/>
    <s v="High"/>
  </r>
  <r>
    <x v="2"/>
    <s v="Blazer EV"/>
    <x v="3"/>
    <s v="Base"/>
    <n v="63436.73"/>
    <n v="52.8"/>
    <n v="186"/>
    <n v="77.8"/>
    <n v="7.75"/>
    <n v="130"/>
    <n v="856"/>
    <n v="767"/>
    <s v="AWD"/>
    <n v="5"/>
    <s v="Truck"/>
    <n v="56"/>
    <n v="2127"/>
    <n v="5"/>
    <n v="0"/>
    <x v="2"/>
    <x v="1"/>
    <n v="13397"/>
    <n v="3.5"/>
    <n v="4"/>
    <x v="2"/>
    <n v="3.52"/>
    <s v="Medium"/>
  </r>
  <r>
    <x v="4"/>
    <s v="Cybertruck"/>
    <x v="2"/>
    <s v="Standard"/>
    <n v="101208.82"/>
    <n v="52.4"/>
    <n v="172"/>
    <n v="331.1"/>
    <n v="6.55"/>
    <n v="147"/>
    <n v="744"/>
    <n v="653"/>
    <s v="AWD"/>
    <n v="5"/>
    <s v="Truck"/>
    <n v="67"/>
    <n v="2359"/>
    <n v="5"/>
    <n v="2"/>
    <x v="2"/>
    <x v="0"/>
    <n v="248389"/>
    <n v="3.6"/>
    <n v="5"/>
    <x v="1"/>
    <n v="3.28"/>
    <s v="High"/>
  </r>
  <r>
    <x v="9"/>
    <s v="Explorer EV"/>
    <x v="0"/>
    <s v="Standard"/>
    <n v="37298.339999999997"/>
    <n v="72.7"/>
    <n v="262"/>
    <n v="80.099999999999994"/>
    <n v="6.53"/>
    <n v="154"/>
    <n v="244"/>
    <n v="225"/>
    <s v="RWD"/>
    <n v="5"/>
    <s v="SUV"/>
    <n v="65.900000000000006"/>
    <n v="2136"/>
    <n v="4"/>
    <n v="0"/>
    <x v="2"/>
    <x v="1"/>
    <n v="60230"/>
    <n v="3.6"/>
    <n v="4"/>
    <x v="1"/>
    <n v="3.6"/>
    <s v="High"/>
  </r>
  <r>
    <x v="5"/>
    <s v="EQC"/>
    <x v="1"/>
    <s v="Premium"/>
    <n v="155446.31"/>
    <n v="72.7"/>
    <n v="265"/>
    <n v="130.30000000000001"/>
    <n v="5.37"/>
    <n v="175"/>
    <n v="987"/>
    <n v="922"/>
    <s v="FWD"/>
    <n v="5"/>
    <s v="Sedan"/>
    <n v="23.7"/>
    <n v="1500"/>
    <n v="5"/>
    <n v="2"/>
    <x v="0"/>
    <x v="0"/>
    <n v="41853"/>
    <n v="3.8"/>
    <n v="5"/>
    <x v="1"/>
    <n v="3.65"/>
    <s v="High"/>
  </r>
  <r>
    <x v="8"/>
    <s v="Ioniq 5"/>
    <x v="1"/>
    <s v="Premium"/>
    <n v="55487.47"/>
    <n v="41.2"/>
    <n v="154"/>
    <n v="148.9"/>
    <n v="5.04"/>
    <n v="169"/>
    <n v="606"/>
    <n v="541"/>
    <s v="AWD"/>
    <n v="5"/>
    <s v="Sedan"/>
    <n v="26.6"/>
    <n v="1768"/>
    <n v="3"/>
    <n v="0"/>
    <x v="3"/>
    <x v="1"/>
    <n v="52238"/>
    <n v="3.2"/>
    <n v="4"/>
    <x v="1"/>
    <n v="3.74"/>
    <s v="High"/>
  </r>
  <r>
    <x v="4"/>
    <s v="Model 3"/>
    <x v="6"/>
    <s v="Long Range"/>
    <n v="65735.100000000006"/>
    <n v="91.3"/>
    <n v="319"/>
    <n v="237.2"/>
    <n v="4.55"/>
    <n v="178"/>
    <n v="401"/>
    <n v="349"/>
    <s v="RWD"/>
    <n v="5"/>
    <s v="Coupe"/>
    <n v="39"/>
    <n v="1684"/>
    <n v="3"/>
    <n v="2"/>
    <x v="2"/>
    <x v="2"/>
    <n v="120134"/>
    <n v="4.0999999999999996"/>
    <n v="4"/>
    <x v="1"/>
    <n v="3.49"/>
    <s v="High"/>
  </r>
  <r>
    <x v="7"/>
    <s v="Seagull"/>
    <x v="0"/>
    <s v="Standard"/>
    <n v="62912.21"/>
    <n v="54"/>
    <n v="188"/>
    <n v="64.2"/>
    <n v="7.65"/>
    <n v="142"/>
    <n v="724"/>
    <n v="621"/>
    <s v="AWD"/>
    <n v="5"/>
    <s v="Hatchback"/>
    <n v="25.4"/>
    <n v="1783"/>
    <n v="5"/>
    <n v="1"/>
    <x v="4"/>
    <x v="1"/>
    <n v="196923"/>
    <n v="3.6"/>
    <n v="3"/>
    <x v="2"/>
    <n v="3.48"/>
    <s v="High"/>
  </r>
  <r>
    <x v="3"/>
    <s v="Picanto EV"/>
    <x v="5"/>
    <s v="Premium"/>
    <n v="97174.66"/>
    <n v="65.2"/>
    <n v="227"/>
    <n v="142.1"/>
    <n v="6.85"/>
    <n v="140"/>
    <n v="1000"/>
    <n v="937"/>
    <s v="AWD"/>
    <n v="5"/>
    <s v="Truck"/>
    <n v="57.7"/>
    <n v="2301"/>
    <n v="4"/>
    <n v="2"/>
    <x v="3"/>
    <x v="2"/>
    <n v="93712"/>
    <n v="3.1"/>
    <n v="4"/>
    <x v="1"/>
    <n v="3.48"/>
    <s v="High"/>
  </r>
  <r>
    <x v="19"/>
    <n v="2"/>
    <x v="6"/>
    <s v="Base"/>
    <n v="82455.28"/>
    <n v="57.3"/>
    <n v="204"/>
    <n v="144.19999999999999"/>
    <n v="6.86"/>
    <n v="156"/>
    <n v="459"/>
    <n v="443"/>
    <s v="FWD"/>
    <n v="5"/>
    <s v="Van"/>
    <n v="75.3"/>
    <n v="1643"/>
    <n v="4"/>
    <n v="0"/>
    <x v="5"/>
    <x v="2"/>
    <n v="12945"/>
    <n v="3.4"/>
    <n v="3"/>
    <x v="1"/>
    <n v="3.56"/>
    <s v="Medium"/>
  </r>
  <r>
    <x v="10"/>
    <s v="i5"/>
    <x v="3"/>
    <s v="Base"/>
    <n v="84667.26"/>
    <n v="78.3"/>
    <n v="258"/>
    <n v="52.5"/>
    <n v="7.87"/>
    <n v="141"/>
    <n v="617"/>
    <n v="535"/>
    <s v="AWD"/>
    <n v="5"/>
    <s v="Truck"/>
    <n v="78.2"/>
    <n v="2318"/>
    <n v="3"/>
    <n v="2"/>
    <x v="0"/>
    <x v="2"/>
    <n v="39763"/>
    <n v="3.3"/>
    <n v="6"/>
    <x v="2"/>
    <n v="3.3"/>
    <s v="High"/>
  </r>
  <r>
    <x v="7"/>
    <s v="Dolphin"/>
    <x v="2"/>
    <s v="Standard"/>
    <n v="57387.97"/>
    <n v="47.9"/>
    <n v="180"/>
    <n v="105.9"/>
    <n v="5.77"/>
    <n v="164"/>
    <n v="619"/>
    <n v="552"/>
    <s v="FWD"/>
    <n v="5"/>
    <s v="Sedan"/>
    <n v="34.6"/>
    <n v="1500"/>
    <n v="5"/>
    <n v="0"/>
    <x v="4"/>
    <x v="1"/>
    <n v="181198"/>
    <n v="3.3"/>
    <n v="4"/>
    <x v="1"/>
    <n v="3.76"/>
    <s v="High"/>
  </r>
  <r>
    <x v="10"/>
    <s v="iX"/>
    <x v="3"/>
    <s v="Standard"/>
    <n v="92031.99"/>
    <n v="74.599999999999994"/>
    <n v="257"/>
    <n v="115"/>
    <n v="5.41"/>
    <n v="166"/>
    <n v="698"/>
    <n v="633"/>
    <s v="FWD"/>
    <n v="7"/>
    <s v="Sedan"/>
    <n v="35.1"/>
    <n v="1684"/>
    <n v="5"/>
    <n v="1"/>
    <x v="0"/>
    <x v="2"/>
    <n v="29936"/>
    <n v="3.7"/>
    <n v="7"/>
    <x v="1"/>
    <n v="3.45"/>
    <s v="High"/>
  </r>
  <r>
    <x v="3"/>
    <s v="EV6"/>
    <x v="2"/>
    <s v="Base"/>
    <n v="72870.48"/>
    <n v="81.7"/>
    <n v="288"/>
    <n v="119.2"/>
    <n v="5.28"/>
    <n v="174"/>
    <n v="819"/>
    <n v="756"/>
    <s v="RWD"/>
    <n v="7"/>
    <s v="Truck"/>
    <n v="59.5"/>
    <n v="2444"/>
    <n v="5"/>
    <n v="1"/>
    <x v="3"/>
    <x v="2"/>
    <n v="68801"/>
    <n v="3.5"/>
    <n v="3"/>
    <x v="1"/>
    <n v="3.53"/>
    <s v="High"/>
  </r>
  <r>
    <x v="9"/>
    <s v="Explorer EV"/>
    <x v="3"/>
    <s v="Premium"/>
    <n v="66422.789999999994"/>
    <n v="77.900000000000006"/>
    <n v="263"/>
    <n v="69.3"/>
    <n v="7.26"/>
    <n v="149"/>
    <n v="730"/>
    <n v="659"/>
    <s v="AWD"/>
    <n v="5"/>
    <s v="Van"/>
    <n v="75.900000000000006"/>
    <n v="1938"/>
    <n v="5"/>
    <n v="1"/>
    <x v="2"/>
    <x v="2"/>
    <n v="56669"/>
    <n v="3.7"/>
    <n v="4"/>
    <x v="2"/>
    <n v="3.38"/>
    <s v="High"/>
  </r>
  <r>
    <x v="4"/>
    <s v="Cybertruck"/>
    <x v="3"/>
    <s v="Premium"/>
    <n v="52220.2"/>
    <n v="69.099999999999994"/>
    <n v="211"/>
    <n v="249.5"/>
    <n v="5.55"/>
    <n v="172"/>
    <n v="345"/>
    <n v="283"/>
    <s v="AWD"/>
    <n v="5"/>
    <s v="Truck"/>
    <n v="68"/>
    <n v="2532"/>
    <n v="5"/>
    <n v="2"/>
    <x v="2"/>
    <x v="1"/>
    <n v="119997"/>
    <n v="3.8"/>
    <n v="5"/>
    <x v="1"/>
    <n v="3.05"/>
    <s v="High"/>
  </r>
  <r>
    <x v="2"/>
    <s v="Equinox EV"/>
    <x v="3"/>
    <s v="Long Range"/>
    <n v="84366.720000000001"/>
    <n v="76.7"/>
    <n v="244"/>
    <n v="139.4"/>
    <n v="4.1900000000000004"/>
    <n v="185"/>
    <n v="1000"/>
    <n v="852"/>
    <s v="RWD"/>
    <n v="5"/>
    <s v="SUV"/>
    <n v="57.6"/>
    <n v="2312"/>
    <n v="4"/>
    <n v="0"/>
    <x v="2"/>
    <x v="2"/>
    <n v="6773"/>
    <n v="3.6"/>
    <n v="4"/>
    <x v="1"/>
    <n v="3.18"/>
    <s v="Medium"/>
  </r>
  <r>
    <x v="3"/>
    <s v="EV9"/>
    <x v="3"/>
    <s v="Long Range"/>
    <n v="93514.06"/>
    <n v="80.2"/>
    <n v="278"/>
    <n v="88"/>
    <n v="4.93"/>
    <n v="179"/>
    <n v="1000"/>
    <n v="929"/>
    <s v="FWD"/>
    <n v="5"/>
    <s v="SUV"/>
    <n v="36.1"/>
    <n v="1814"/>
    <n v="5"/>
    <n v="1"/>
    <x v="3"/>
    <x v="2"/>
    <n v="120989"/>
    <n v="3.3"/>
    <n v="4"/>
    <x v="1"/>
    <n v="3.47"/>
    <s v="High"/>
  </r>
  <r>
    <x v="1"/>
    <s v="bZ Compact SUV"/>
    <x v="6"/>
    <s v="Base"/>
    <n v="30416.52"/>
    <n v="72.2"/>
    <n v="257"/>
    <n v="102.7"/>
    <n v="6.31"/>
    <n v="153"/>
    <n v="150"/>
    <n v="200"/>
    <s v="RWD"/>
    <n v="5"/>
    <s v="SUV"/>
    <n v="44.1"/>
    <n v="2421"/>
    <n v="4"/>
    <n v="2"/>
    <x v="1"/>
    <x v="3"/>
    <n v="15941"/>
    <n v="3.5"/>
    <n v="3"/>
    <x v="1"/>
    <n v="3.56"/>
    <s v="Medium"/>
  </r>
  <r>
    <x v="7"/>
    <s v="Seagull"/>
    <x v="4"/>
    <s v="Performance"/>
    <n v="106411.54"/>
    <n v="95.1"/>
    <n v="346"/>
    <n v="156.69999999999999"/>
    <n v="2.82"/>
    <n v="200"/>
    <n v="1000"/>
    <n v="828"/>
    <s v="RWD"/>
    <n v="7"/>
    <s v="Van"/>
    <n v="78.400000000000006"/>
    <n v="1515"/>
    <n v="5"/>
    <n v="1"/>
    <x v="4"/>
    <x v="0"/>
    <n v="180190"/>
    <n v="3.6"/>
    <n v="3"/>
    <x v="0"/>
    <n v="3.64"/>
    <s v="High"/>
  </r>
  <r>
    <x v="10"/>
    <s v="iX"/>
    <x v="5"/>
    <s v="Long Range"/>
    <n v="81773.509999999995"/>
    <n v="75.7"/>
    <n v="277"/>
    <n v="141.19999999999999"/>
    <n v="4.1900000000000004"/>
    <n v="182"/>
    <n v="629"/>
    <n v="581"/>
    <s v="AWD"/>
    <n v="5"/>
    <s v="Truck"/>
    <n v="70.8"/>
    <n v="2691"/>
    <n v="5"/>
    <n v="2"/>
    <x v="0"/>
    <x v="2"/>
    <n v="38573"/>
    <n v="3.5"/>
    <n v="6"/>
    <x v="1"/>
    <n v="3.66"/>
    <s v="High"/>
  </r>
  <r>
    <x v="13"/>
    <s v="R1T"/>
    <x v="4"/>
    <s v="Standard"/>
    <n v="75009.919999999998"/>
    <n v="69.099999999999994"/>
    <n v="263"/>
    <n v="61.6"/>
    <n v="7.15"/>
    <n v="141"/>
    <n v="448"/>
    <n v="384"/>
    <s v="FWD"/>
    <n v="4"/>
    <s v="Truck"/>
    <n v="53.8"/>
    <n v="2477"/>
    <n v="5"/>
    <n v="1"/>
    <x v="2"/>
    <x v="2"/>
    <n v="1899"/>
    <n v="3.6"/>
    <n v="4"/>
    <x v="2"/>
    <n v="3.81"/>
    <s v="Low"/>
  </r>
  <r>
    <x v="4"/>
    <s v="Model S"/>
    <x v="3"/>
    <s v="Standard"/>
    <n v="67256.69"/>
    <n v="74.099999999999994"/>
    <n v="249"/>
    <n v="238.6"/>
    <n v="6.16"/>
    <n v="156"/>
    <n v="471"/>
    <n v="404"/>
    <s v="RWD"/>
    <n v="5"/>
    <s v="Truck"/>
    <n v="57.7"/>
    <n v="2729"/>
    <n v="5"/>
    <n v="3"/>
    <x v="2"/>
    <x v="2"/>
    <n v="149284"/>
    <n v="3.8"/>
    <n v="5"/>
    <x v="1"/>
    <n v="3.36"/>
    <s v="High"/>
  </r>
  <r>
    <x v="12"/>
    <s v="EL6"/>
    <x v="3"/>
    <s v="Standard"/>
    <n v="65308.05"/>
    <n v="45.9"/>
    <n v="171"/>
    <n v="55.2"/>
    <n v="5.82"/>
    <n v="156"/>
    <n v="469"/>
    <n v="405"/>
    <s v="FWD"/>
    <n v="7"/>
    <s v="Sedan"/>
    <n v="32.1"/>
    <n v="1784"/>
    <n v="5"/>
    <n v="0"/>
    <x v="4"/>
    <x v="2"/>
    <n v="19253"/>
    <n v="3"/>
    <n v="4"/>
    <x v="1"/>
    <n v="3.73"/>
    <s v="Medium"/>
  </r>
  <r>
    <x v="10"/>
    <s v="i4"/>
    <x v="0"/>
    <s v="Base"/>
    <n v="63735.58"/>
    <n v="75.400000000000006"/>
    <n v="276"/>
    <n v="140.1"/>
    <n v="6.05"/>
    <n v="154"/>
    <n v="308"/>
    <n v="308"/>
    <s v="FWD"/>
    <n v="5"/>
    <s v="Sedan"/>
    <n v="20.9"/>
    <n v="1500"/>
    <n v="5"/>
    <n v="2"/>
    <x v="0"/>
    <x v="1"/>
    <n v="28907"/>
    <n v="3.4"/>
    <n v="7"/>
    <x v="1"/>
    <n v="3.66"/>
    <s v="High"/>
  </r>
  <r>
    <x v="4"/>
    <s v="Model Y"/>
    <x v="3"/>
    <s v="Premium"/>
    <n v="154034.20000000001"/>
    <n v="80.599999999999994"/>
    <n v="277"/>
    <n v="349.9"/>
    <n v="7.02"/>
    <n v="146"/>
    <n v="1000"/>
    <n v="900"/>
    <s v="RWD"/>
    <n v="7"/>
    <s v="Hatchback"/>
    <n v="36.299999999999997"/>
    <n v="1611"/>
    <n v="5"/>
    <n v="2"/>
    <x v="2"/>
    <x v="0"/>
    <n v="428866"/>
    <n v="3.7"/>
    <n v="6"/>
    <x v="2"/>
    <n v="3.44"/>
    <s v="High"/>
  </r>
  <r>
    <x v="7"/>
    <s v="Seagull"/>
    <x v="3"/>
    <s v="Standard"/>
    <n v="26964.92"/>
    <n v="56.1"/>
    <n v="166"/>
    <n v="80.900000000000006"/>
    <n v="5.84"/>
    <n v="165"/>
    <n v="274"/>
    <n v="233"/>
    <s v="RWD"/>
    <n v="7"/>
    <s v="Van"/>
    <n v="68.900000000000006"/>
    <n v="1750"/>
    <n v="5"/>
    <n v="0"/>
    <x v="4"/>
    <x v="3"/>
    <n v="131090"/>
    <n v="3.3"/>
    <n v="3"/>
    <x v="1"/>
    <n v="2.96"/>
    <s v="High"/>
  </r>
  <r>
    <x v="2"/>
    <s v="Bolt EUV"/>
    <x v="2"/>
    <s v="Long Range"/>
    <n v="61730.85"/>
    <n v="78.599999999999994"/>
    <n v="279"/>
    <n v="142.9"/>
    <n v="4.4000000000000004"/>
    <n v="183"/>
    <n v="863"/>
    <n v="773"/>
    <s v="FWD"/>
    <n v="5"/>
    <s v="Coupe"/>
    <n v="30.1"/>
    <n v="1597"/>
    <n v="5"/>
    <n v="2"/>
    <x v="2"/>
    <x v="1"/>
    <n v="10777"/>
    <n v="3.8"/>
    <n v="4"/>
    <x v="1"/>
    <n v="3.55"/>
    <s v="Medium"/>
  </r>
  <r>
    <x v="4"/>
    <s v="Model 3"/>
    <x v="2"/>
    <s v="Base"/>
    <n v="88042.89"/>
    <n v="46.2"/>
    <n v="164"/>
    <n v="328.9"/>
    <n v="7.69"/>
    <n v="138"/>
    <n v="687"/>
    <n v="636"/>
    <s v="FWD"/>
    <n v="5"/>
    <s v="Sedan"/>
    <n v="19.7"/>
    <n v="1735"/>
    <n v="3"/>
    <n v="2"/>
    <x v="2"/>
    <x v="2"/>
    <n v="108761"/>
    <n v="3.4"/>
    <n v="5"/>
    <x v="2"/>
    <n v="3.55"/>
    <s v="High"/>
  </r>
  <r>
    <x v="3"/>
    <s v="EV9"/>
    <x v="3"/>
    <s v="Long Range"/>
    <n v="74000.570000000007"/>
    <n v="102.9"/>
    <n v="371"/>
    <n v="128.30000000000001"/>
    <n v="4.2699999999999996"/>
    <n v="187"/>
    <n v="864"/>
    <n v="705"/>
    <s v="RWD"/>
    <n v="5"/>
    <s v="SUV"/>
    <n v="62.3"/>
    <n v="1873"/>
    <n v="5"/>
    <n v="0"/>
    <x v="3"/>
    <x v="2"/>
    <n v="137133"/>
    <n v="3.7"/>
    <n v="3"/>
    <x v="1"/>
    <n v="3.61"/>
    <s v="High"/>
  </r>
  <r>
    <x v="7"/>
    <s v="Atto 3"/>
    <x v="3"/>
    <s v="Premium"/>
    <n v="81058.7"/>
    <n v="78.3"/>
    <n v="260"/>
    <n v="65.7"/>
    <n v="5.81"/>
    <n v="160"/>
    <n v="934"/>
    <n v="836"/>
    <s v="AWD"/>
    <n v="7"/>
    <s v="Van"/>
    <n v="66"/>
    <n v="1569"/>
    <n v="4"/>
    <n v="2"/>
    <x v="4"/>
    <x v="2"/>
    <n v="230802"/>
    <n v="3.4"/>
    <n v="4"/>
    <x v="1"/>
    <n v="3.32"/>
    <s v="High"/>
  </r>
  <r>
    <x v="10"/>
    <s v="iX"/>
    <x v="1"/>
    <s v="Base"/>
    <n v="51043.69"/>
    <n v="76"/>
    <n v="263"/>
    <n v="120.6"/>
    <n v="5.44"/>
    <n v="172"/>
    <n v="178"/>
    <n v="200"/>
    <s v="RWD"/>
    <n v="7"/>
    <s v="Coupe"/>
    <n v="30.1"/>
    <n v="1582"/>
    <n v="4"/>
    <n v="1"/>
    <x v="0"/>
    <x v="1"/>
    <n v="44259"/>
    <n v="3.4"/>
    <n v="8"/>
    <x v="1"/>
    <n v="3.46"/>
    <s v="High"/>
  </r>
  <r>
    <x v="4"/>
    <s v="Model Y"/>
    <x v="0"/>
    <s v="Premium"/>
    <n v="144885.91"/>
    <n v="67.7"/>
    <n v="230"/>
    <n v="249.1"/>
    <n v="6.26"/>
    <n v="156"/>
    <n v="1000"/>
    <n v="899"/>
    <s v="AWD"/>
    <n v="5"/>
    <s v="Hatchback"/>
    <n v="39.799999999999997"/>
    <n v="1572"/>
    <n v="5"/>
    <n v="2"/>
    <x v="2"/>
    <x v="0"/>
    <n v="416711"/>
    <n v="3.9"/>
    <n v="5"/>
    <x v="1"/>
    <n v="3.4"/>
    <s v="High"/>
  </r>
  <r>
    <x v="5"/>
    <s v="EQG"/>
    <x v="5"/>
    <s v="Long Range"/>
    <n v="124673.1"/>
    <n v="100.9"/>
    <n v="347"/>
    <n v="66.900000000000006"/>
    <n v="4.72"/>
    <n v="173"/>
    <n v="758"/>
    <n v="698"/>
    <s v="FWD"/>
    <n v="5"/>
    <s v="SUV"/>
    <n v="48.3"/>
    <n v="1890"/>
    <n v="5"/>
    <n v="2"/>
    <x v="0"/>
    <x v="0"/>
    <n v="24079"/>
    <n v="4"/>
    <n v="5"/>
    <x v="1"/>
    <n v="3.44"/>
    <s v="High"/>
  </r>
  <r>
    <x v="6"/>
    <s v="Ronin"/>
    <x v="2"/>
    <s v="Performance"/>
    <n v="159067.16"/>
    <n v="109.7"/>
    <n v="402"/>
    <n v="212.3"/>
    <n v="4.1500000000000004"/>
    <n v="178"/>
    <n v="1000"/>
    <n v="948"/>
    <s v="RWD"/>
    <n v="7"/>
    <s v="Van"/>
    <n v="62.3"/>
    <n v="1803"/>
    <n v="5"/>
    <n v="1"/>
    <x v="2"/>
    <x v="0"/>
    <n v="23252"/>
    <n v="3.9"/>
    <n v="3"/>
    <x v="1"/>
    <n v="3.66"/>
    <s v="High"/>
  </r>
  <r>
    <x v="6"/>
    <s v="Ocean"/>
    <x v="2"/>
    <s v="Long Range"/>
    <n v="93018.72"/>
    <n v="83.7"/>
    <n v="313"/>
    <n v="72.3"/>
    <n v="5.21"/>
    <n v="182"/>
    <n v="786"/>
    <n v="724"/>
    <s v="AWD"/>
    <n v="5"/>
    <s v="Sedan"/>
    <n v="21.4"/>
    <n v="1655"/>
    <n v="5"/>
    <n v="0"/>
    <x v="2"/>
    <x v="2"/>
    <n v="1655"/>
    <n v="3.5"/>
    <n v="5"/>
    <x v="1"/>
    <n v="3.74"/>
    <s v="Low"/>
  </r>
  <r>
    <x v="2"/>
    <s v="Bolt EV"/>
    <x v="5"/>
    <s v="Premium"/>
    <n v="67711.199999999997"/>
    <n v="41.3"/>
    <n v="150"/>
    <n v="101.7"/>
    <n v="5.62"/>
    <n v="155"/>
    <n v="886"/>
    <n v="827"/>
    <s v="FWD"/>
    <n v="5"/>
    <s v="Van"/>
    <n v="78.599999999999994"/>
    <n v="1868"/>
    <n v="5"/>
    <n v="2"/>
    <x v="2"/>
    <x v="2"/>
    <n v="15428"/>
    <n v="3.2"/>
    <n v="5"/>
    <x v="1"/>
    <n v="3.63"/>
    <s v="Medium"/>
  </r>
  <r>
    <x v="4"/>
    <s v="Model 3"/>
    <x v="3"/>
    <s v="Performance"/>
    <n v="112635.62"/>
    <n v="91.1"/>
    <n v="305"/>
    <n v="292.5"/>
    <n v="3.93"/>
    <n v="195"/>
    <n v="808"/>
    <n v="749"/>
    <s v="RWD"/>
    <n v="7"/>
    <s v="Truck"/>
    <n v="78.599999999999994"/>
    <n v="2220"/>
    <n v="5"/>
    <n v="2"/>
    <x v="2"/>
    <x v="0"/>
    <n v="126461"/>
    <n v="4.0999999999999996"/>
    <n v="5"/>
    <x v="0"/>
    <n v="3.35"/>
    <s v="High"/>
  </r>
  <r>
    <x v="2"/>
    <s v="Blazer EV"/>
    <x v="0"/>
    <s v="Standard"/>
    <n v="62461.41"/>
    <n v="54"/>
    <n v="168"/>
    <n v="88.5"/>
    <n v="7.57"/>
    <n v="138"/>
    <n v="828"/>
    <n v="728"/>
    <s v="AWD"/>
    <n v="5"/>
    <s v="Hatchback"/>
    <n v="20.5"/>
    <n v="1571"/>
    <n v="4"/>
    <n v="0"/>
    <x v="2"/>
    <x v="1"/>
    <n v="6024"/>
    <n v="3.3"/>
    <n v="4"/>
    <x v="2"/>
    <n v="3.11"/>
    <s v="Medium"/>
  </r>
  <r>
    <x v="4"/>
    <s v="Model Y"/>
    <x v="5"/>
    <s v="Long Range"/>
    <n v="83728.44"/>
    <n v="82.6"/>
    <n v="280"/>
    <n v="333.8"/>
    <n v="4.82"/>
    <n v="180"/>
    <n v="562"/>
    <n v="518"/>
    <s v="AWD"/>
    <n v="7"/>
    <s v="Hatchback"/>
    <n v="23.4"/>
    <n v="1738"/>
    <n v="4"/>
    <n v="2"/>
    <x v="2"/>
    <x v="2"/>
    <n v="490450"/>
    <n v="3.8"/>
    <n v="6"/>
    <x v="1"/>
    <n v="3.39"/>
    <s v="High"/>
  </r>
  <r>
    <x v="4"/>
    <s v="Model X"/>
    <x v="3"/>
    <s v="Performance"/>
    <n v="92160.09"/>
    <n v="115.6"/>
    <n v="400"/>
    <n v="304.60000000000002"/>
    <n v="3.28"/>
    <n v="200"/>
    <n v="701"/>
    <n v="679"/>
    <s v="AWD"/>
    <n v="7"/>
    <s v="Sedan"/>
    <n v="37.1"/>
    <n v="1630"/>
    <n v="4"/>
    <n v="2"/>
    <x v="2"/>
    <x v="2"/>
    <n v="139912"/>
    <n v="4.2"/>
    <n v="6"/>
    <x v="0"/>
    <n v="3.46"/>
    <s v="High"/>
  </r>
  <r>
    <x v="7"/>
    <s v="Dolphin"/>
    <x v="0"/>
    <s v="Standard"/>
    <n v="23505.59"/>
    <n v="75.5"/>
    <n v="261"/>
    <n v="72.599999999999994"/>
    <n v="5.58"/>
    <n v="166"/>
    <n v="211"/>
    <n v="239"/>
    <s v="AWD"/>
    <n v="5"/>
    <s v="Hatchback"/>
    <n v="28.6"/>
    <n v="1694"/>
    <n v="3"/>
    <n v="0"/>
    <x v="4"/>
    <x v="3"/>
    <n v="178149"/>
    <n v="3.4"/>
    <n v="4"/>
    <x v="1"/>
    <n v="3.46"/>
    <s v="High"/>
  </r>
  <r>
    <x v="8"/>
    <s v="Kona Electric"/>
    <x v="5"/>
    <s v="Performance"/>
    <n v="77799.73"/>
    <n v="108"/>
    <n v="367"/>
    <n v="182.6"/>
    <n v="2.67"/>
    <n v="200"/>
    <n v="956"/>
    <n v="887"/>
    <s v="RWD"/>
    <n v="5"/>
    <s v="Hatchback"/>
    <n v="17.8"/>
    <n v="1720"/>
    <n v="4"/>
    <n v="0"/>
    <x v="3"/>
    <x v="2"/>
    <n v="58908"/>
    <n v="3.8"/>
    <n v="3"/>
    <x v="0"/>
    <n v="3.4"/>
    <s v="High"/>
  </r>
  <r>
    <x v="9"/>
    <s v="Mustang Mach-E"/>
    <x v="1"/>
    <s v="Standard"/>
    <n v="56513.760000000002"/>
    <n v="52.3"/>
    <n v="189"/>
    <n v="87.3"/>
    <n v="5.42"/>
    <n v="162"/>
    <n v="505"/>
    <n v="476"/>
    <s v="RWD"/>
    <n v="5"/>
    <s v="Truck"/>
    <n v="63.1"/>
    <n v="2216"/>
    <n v="3"/>
    <n v="1"/>
    <x v="2"/>
    <x v="1"/>
    <n v="39584"/>
    <n v="3.2"/>
    <n v="4"/>
    <x v="1"/>
    <n v="3.61"/>
    <s v="High"/>
  </r>
  <r>
    <x v="10"/>
    <s v="i3"/>
    <x v="3"/>
    <s v="Standard"/>
    <n v="69070.75"/>
    <n v="82"/>
    <n v="304"/>
    <n v="92.6"/>
    <n v="7.54"/>
    <n v="143"/>
    <n v="374"/>
    <n v="366"/>
    <s v="FWD"/>
    <n v="5"/>
    <s v="Van"/>
    <n v="73.599999999999994"/>
    <n v="1576"/>
    <n v="4"/>
    <n v="2"/>
    <x v="0"/>
    <x v="2"/>
    <n v="73019"/>
    <n v="3.5"/>
    <n v="5"/>
    <x v="2"/>
    <n v="3.71"/>
    <s v="High"/>
  </r>
  <r>
    <x v="0"/>
    <s v="ID.4"/>
    <x v="2"/>
    <s v="Premium"/>
    <n v="112817.29"/>
    <n v="66.099999999999994"/>
    <n v="213"/>
    <n v="87.9"/>
    <n v="6.84"/>
    <n v="142"/>
    <n v="1000"/>
    <n v="896"/>
    <s v="AWD"/>
    <n v="5"/>
    <s v="Sedan"/>
    <n v="37.9"/>
    <n v="1541"/>
    <n v="5"/>
    <n v="0"/>
    <x v="0"/>
    <x v="0"/>
    <n v="244997"/>
    <n v="3.4"/>
    <n v="3"/>
    <x v="1"/>
    <n v="3.22"/>
    <s v="High"/>
  </r>
  <r>
    <x v="7"/>
    <s v="Yuan Plus"/>
    <x v="3"/>
    <s v="Standard"/>
    <n v="28078.09"/>
    <n v="44.7"/>
    <n v="150"/>
    <n v="63.8"/>
    <n v="6.5"/>
    <n v="156"/>
    <n v="251"/>
    <n v="252"/>
    <s v="AWD"/>
    <n v="7"/>
    <s v="Sedan"/>
    <n v="15.7"/>
    <n v="1500"/>
    <n v="3"/>
    <n v="0"/>
    <x v="4"/>
    <x v="3"/>
    <n v="207345"/>
    <n v="3.1"/>
    <n v="5"/>
    <x v="1"/>
    <n v="3.36"/>
    <s v="High"/>
  </r>
  <r>
    <x v="18"/>
    <s v="SU7"/>
    <x v="2"/>
    <s v="Base"/>
    <n v="67624.72"/>
    <n v="50.5"/>
    <n v="190"/>
    <n v="140.30000000000001"/>
    <n v="5.38"/>
    <n v="168"/>
    <n v="690"/>
    <n v="581"/>
    <s v="RWD"/>
    <n v="7"/>
    <s v="Truck"/>
    <n v="53.3"/>
    <n v="2209"/>
    <n v="5"/>
    <n v="1"/>
    <x v="4"/>
    <x v="2"/>
    <n v="26829"/>
    <n v="3.5"/>
    <n v="4"/>
    <x v="1"/>
    <n v="3.76"/>
    <s v="High"/>
  </r>
  <r>
    <x v="0"/>
    <s v="ID.4"/>
    <x v="2"/>
    <s v="Standard"/>
    <n v="45198.239999999998"/>
    <n v="56.5"/>
    <n v="198"/>
    <n v="105.6"/>
    <n v="7.64"/>
    <n v="139"/>
    <n v="373"/>
    <n v="366"/>
    <s v="AWD"/>
    <n v="5"/>
    <s v="Truck"/>
    <n v="54.6"/>
    <n v="2492"/>
    <n v="5"/>
    <n v="0"/>
    <x v="0"/>
    <x v="1"/>
    <n v="251931"/>
    <n v="3.3"/>
    <n v="3"/>
    <x v="2"/>
    <n v="3.5"/>
    <s v="High"/>
  </r>
  <r>
    <x v="0"/>
    <s v="ID. Buzz"/>
    <x v="3"/>
    <s v="Standard"/>
    <n v="34913.449999999997"/>
    <n v="57.9"/>
    <n v="187"/>
    <n v="110.5"/>
    <n v="6.77"/>
    <n v="145"/>
    <n v="190"/>
    <n v="200"/>
    <s v="AWD"/>
    <n v="5"/>
    <s v="Hatchback"/>
    <n v="36"/>
    <n v="1579"/>
    <n v="5"/>
    <n v="0"/>
    <x v="0"/>
    <x v="3"/>
    <n v="204604"/>
    <n v="3.5"/>
    <n v="4"/>
    <x v="1"/>
    <n v="3.23"/>
    <s v="High"/>
  </r>
  <r>
    <x v="4"/>
    <s v="Model X"/>
    <x v="1"/>
    <s v="Base"/>
    <n v="53235.86"/>
    <n v="84.7"/>
    <n v="305"/>
    <n v="223.2"/>
    <n v="5.5"/>
    <n v="178"/>
    <n v="364"/>
    <n v="336"/>
    <s v="AWD"/>
    <n v="5"/>
    <s v="Coupe"/>
    <n v="37.5"/>
    <n v="1686"/>
    <n v="4"/>
    <n v="2"/>
    <x v="2"/>
    <x v="1"/>
    <n v="178460"/>
    <n v="3.7"/>
    <n v="5"/>
    <x v="1"/>
    <n v="3.6"/>
    <s v="High"/>
  </r>
  <r>
    <x v="9"/>
    <s v="E-Transit"/>
    <x v="0"/>
    <s v="Performance"/>
    <n v="78714.850000000006"/>
    <n v="111.5"/>
    <n v="393"/>
    <n v="229"/>
    <n v="4.13"/>
    <n v="184"/>
    <n v="917"/>
    <n v="787"/>
    <s v="RWD"/>
    <n v="5"/>
    <s v="Coupe"/>
    <n v="27.8"/>
    <n v="1647"/>
    <n v="4"/>
    <n v="0"/>
    <x v="2"/>
    <x v="2"/>
    <n v="41203"/>
    <n v="3.7"/>
    <n v="4"/>
    <x v="1"/>
    <n v="3.52"/>
    <s v="High"/>
  </r>
  <r>
    <x v="2"/>
    <s v="Bolt EUV"/>
    <x v="2"/>
    <s v="Standard"/>
    <n v="57065.27"/>
    <n v="44.6"/>
    <n v="150"/>
    <n v="109.7"/>
    <n v="5.83"/>
    <n v="167"/>
    <n v="737"/>
    <n v="692"/>
    <s v="FWD"/>
    <n v="5"/>
    <s v="SUV"/>
    <n v="57"/>
    <n v="2167"/>
    <n v="5"/>
    <n v="1"/>
    <x v="2"/>
    <x v="1"/>
    <n v="24368"/>
    <n v="3.4"/>
    <n v="4"/>
    <x v="1"/>
    <n v="3.36"/>
    <s v="High"/>
  </r>
  <r>
    <x v="7"/>
    <s v="Yuan Plus"/>
    <x v="3"/>
    <s v="Performance"/>
    <n v="113906.34"/>
    <n v="84.5"/>
    <n v="315"/>
    <n v="213.7"/>
    <n v="3.12"/>
    <n v="200"/>
    <n v="1000"/>
    <n v="947"/>
    <s v="RWD"/>
    <n v="7"/>
    <s v="Truck"/>
    <n v="72.099999999999994"/>
    <n v="2485"/>
    <n v="3"/>
    <n v="2"/>
    <x v="4"/>
    <x v="0"/>
    <n v="193570"/>
    <n v="3.7"/>
    <n v="5"/>
    <x v="0"/>
    <n v="3.73"/>
    <s v="High"/>
  </r>
  <r>
    <x v="4"/>
    <s v="Model 3"/>
    <x v="2"/>
    <s v="Performance"/>
    <n v="171221.67"/>
    <n v="95.1"/>
    <n v="329"/>
    <n v="288.2"/>
    <n v="3.51"/>
    <n v="196"/>
    <n v="1000"/>
    <n v="933"/>
    <s v="AWD"/>
    <n v="5"/>
    <s v="Van"/>
    <n v="65.3"/>
    <n v="1588"/>
    <n v="5"/>
    <n v="3"/>
    <x v="2"/>
    <x v="0"/>
    <n v="247330"/>
    <n v="3.9"/>
    <n v="4"/>
    <x v="0"/>
    <n v="3.46"/>
    <s v="High"/>
  </r>
  <r>
    <x v="10"/>
    <s v="i5"/>
    <x v="2"/>
    <s v="Performance"/>
    <n v="143876.35"/>
    <n v="81.7"/>
    <n v="261"/>
    <n v="227.3"/>
    <n v="2.98"/>
    <n v="197"/>
    <n v="1000"/>
    <n v="915"/>
    <s v="AWD"/>
    <n v="5"/>
    <s v="Truck"/>
    <n v="69.099999999999994"/>
    <n v="1841"/>
    <n v="3"/>
    <n v="1"/>
    <x v="0"/>
    <x v="0"/>
    <n v="37253"/>
    <n v="3.7"/>
    <n v="6"/>
    <x v="0"/>
    <n v="3.19"/>
    <s v="High"/>
  </r>
  <r>
    <x v="10"/>
    <s v="iX"/>
    <x v="2"/>
    <s v="Base"/>
    <n v="62907.37"/>
    <n v="84"/>
    <n v="296"/>
    <n v="148.1"/>
    <n v="7.97"/>
    <n v="134"/>
    <n v="299"/>
    <n v="208"/>
    <s v="RWD"/>
    <n v="7"/>
    <s v="SUV"/>
    <n v="60.3"/>
    <n v="1899"/>
    <n v="5"/>
    <n v="1"/>
    <x v="0"/>
    <x v="1"/>
    <n v="49240"/>
    <n v="3.6"/>
    <n v="7"/>
    <x v="2"/>
    <n v="3.52"/>
    <s v="High"/>
  </r>
  <r>
    <x v="7"/>
    <s v="Atto 3"/>
    <x v="1"/>
    <s v="Long Range"/>
    <n v="101092.71"/>
    <n v="80.099999999999994"/>
    <n v="278"/>
    <n v="106.3"/>
    <n v="4.59"/>
    <n v="177"/>
    <n v="1000"/>
    <n v="848"/>
    <s v="FWD"/>
    <n v="7"/>
    <s v="Sedan"/>
    <n v="20.9"/>
    <n v="1565"/>
    <n v="5"/>
    <n v="0"/>
    <x v="4"/>
    <x v="0"/>
    <n v="230522"/>
    <n v="3.6"/>
    <n v="4"/>
    <x v="1"/>
    <n v="3.47"/>
    <s v="High"/>
  </r>
  <r>
    <x v="1"/>
    <s v="bZ Compact SUV"/>
    <x v="2"/>
    <s v="Standard"/>
    <n v="53125"/>
    <n v="63.6"/>
    <n v="233"/>
    <n v="133.80000000000001"/>
    <n v="6.48"/>
    <n v="151"/>
    <n v="545"/>
    <n v="473"/>
    <s v="AWD"/>
    <n v="5"/>
    <s v="SUV"/>
    <n v="36.6"/>
    <n v="1998"/>
    <n v="4"/>
    <n v="1"/>
    <x v="1"/>
    <x v="1"/>
    <n v="19789"/>
    <n v="3.3"/>
    <n v="4"/>
    <x v="1"/>
    <n v="3.66"/>
    <s v="Medium"/>
  </r>
  <r>
    <x v="4"/>
    <s v="Model S"/>
    <x v="3"/>
    <s v="Long Range"/>
    <n v="67690.460000000006"/>
    <n v="92.6"/>
    <n v="317"/>
    <n v="349.6"/>
    <n v="4.45"/>
    <n v="179"/>
    <n v="444"/>
    <n v="423"/>
    <s v="RWD"/>
    <n v="5"/>
    <s v="Hatchback"/>
    <n v="38"/>
    <n v="1865"/>
    <n v="4"/>
    <n v="2"/>
    <x v="2"/>
    <x v="2"/>
    <n v="187975"/>
    <n v="3.9"/>
    <n v="4"/>
    <x v="1"/>
    <n v="3.42"/>
    <s v="High"/>
  </r>
  <r>
    <x v="0"/>
    <s v="ID. Buzz"/>
    <x v="3"/>
    <s v="Standard"/>
    <n v="71667.28"/>
    <n v="81.5"/>
    <n v="282"/>
    <n v="96.9"/>
    <n v="6.31"/>
    <n v="156"/>
    <n v="753"/>
    <n v="614"/>
    <s v="FWD"/>
    <n v="5"/>
    <s v="Van"/>
    <n v="64.3"/>
    <n v="1500"/>
    <n v="3"/>
    <n v="0"/>
    <x v="0"/>
    <x v="2"/>
    <n v="285418"/>
    <n v="3.5"/>
    <n v="4"/>
    <x v="1"/>
    <n v="3.46"/>
    <s v="High"/>
  </r>
  <r>
    <x v="12"/>
    <s v="EC6"/>
    <x v="3"/>
    <s v="Premium"/>
    <n v="103197.25"/>
    <n v="46.4"/>
    <n v="161"/>
    <n v="53.2"/>
    <n v="5.82"/>
    <n v="163"/>
    <n v="956"/>
    <n v="826"/>
    <s v="RWD"/>
    <n v="5"/>
    <s v="Van"/>
    <n v="68.099999999999994"/>
    <n v="1500"/>
    <n v="4"/>
    <n v="2"/>
    <x v="4"/>
    <x v="0"/>
    <n v="20886"/>
    <n v="3.2"/>
    <n v="5"/>
    <x v="1"/>
    <n v="3.47"/>
    <s v="High"/>
  </r>
  <r>
    <x v="0"/>
    <s v="ID. Aero"/>
    <x v="1"/>
    <s v="Performance"/>
    <n v="94244.35"/>
    <n v="75.7"/>
    <n v="264"/>
    <n v="162"/>
    <n v="2.91"/>
    <n v="200"/>
    <n v="1000"/>
    <n v="943"/>
    <s v="AWD"/>
    <n v="7"/>
    <s v="SUV"/>
    <n v="40.799999999999997"/>
    <n v="1834"/>
    <n v="4"/>
    <n v="0"/>
    <x v="0"/>
    <x v="2"/>
    <n v="251606"/>
    <n v="3.4"/>
    <n v="4"/>
    <x v="0"/>
    <n v="3.49"/>
    <s v="High"/>
  </r>
  <r>
    <x v="10"/>
    <s v="i7"/>
    <x v="3"/>
    <s v="Performance"/>
    <n v="150935.25"/>
    <n v="119.6"/>
    <n v="423"/>
    <n v="166.7"/>
    <n v="2.81"/>
    <n v="200"/>
    <n v="1000"/>
    <n v="883"/>
    <s v="RWD"/>
    <n v="5"/>
    <s v="Hatchback"/>
    <n v="16.399999999999999"/>
    <n v="2027"/>
    <n v="5"/>
    <n v="1"/>
    <x v="0"/>
    <x v="0"/>
    <n v="49006"/>
    <n v="4"/>
    <n v="6"/>
    <x v="0"/>
    <n v="3.54"/>
    <s v="High"/>
  </r>
  <r>
    <x v="0"/>
    <s v="ID. Buzz"/>
    <x v="1"/>
    <s v="Performance"/>
    <n v="46160.26"/>
    <n v="117.4"/>
    <n v="399"/>
    <n v="235.9"/>
    <n v="4.37"/>
    <n v="198"/>
    <n v="404"/>
    <n v="347"/>
    <s v="RWD"/>
    <n v="5"/>
    <s v="Coupe"/>
    <n v="30.1"/>
    <n v="1500"/>
    <n v="5"/>
    <n v="1"/>
    <x v="0"/>
    <x v="1"/>
    <n v="298179"/>
    <n v="4"/>
    <n v="5"/>
    <x v="1"/>
    <n v="3.4"/>
    <s v="High"/>
  </r>
  <r>
    <x v="7"/>
    <s v="Seagull"/>
    <x v="3"/>
    <s v="Long Range"/>
    <n v="32710.87"/>
    <n v="88.5"/>
    <n v="321"/>
    <n v="98.4"/>
    <n v="4.3499999999999996"/>
    <n v="192"/>
    <n v="307"/>
    <n v="301"/>
    <s v="RWD"/>
    <n v="7"/>
    <s v="Truck"/>
    <n v="51.2"/>
    <n v="2579"/>
    <n v="5"/>
    <n v="1"/>
    <x v="4"/>
    <x v="3"/>
    <n v="169948"/>
    <n v="3.6"/>
    <n v="4"/>
    <x v="1"/>
    <n v="3.63"/>
    <s v="High"/>
  </r>
  <r>
    <x v="19"/>
    <n v="3"/>
    <x v="2"/>
    <s v="Standard"/>
    <n v="76930.78"/>
    <n v="77.7"/>
    <n v="257"/>
    <n v="133.1"/>
    <n v="6.46"/>
    <n v="159"/>
    <n v="442"/>
    <n v="411"/>
    <s v="RWD"/>
    <n v="7"/>
    <s v="Truck"/>
    <n v="72.8"/>
    <n v="2494"/>
    <n v="4"/>
    <n v="0"/>
    <x v="5"/>
    <x v="2"/>
    <n v="17188"/>
    <n v="3.5"/>
    <n v="4"/>
    <x v="1"/>
    <n v="3.31"/>
    <s v="Medium"/>
  </r>
  <r>
    <x v="0"/>
    <s v="ID. Aero"/>
    <x v="4"/>
    <s v="Performance"/>
    <n v="102347.9"/>
    <n v="83.8"/>
    <n v="290"/>
    <n v="157.6"/>
    <n v="2.82"/>
    <n v="200"/>
    <n v="1000"/>
    <n v="935"/>
    <s v="RWD"/>
    <n v="5"/>
    <s v="SUV"/>
    <n v="66.5"/>
    <n v="1990"/>
    <n v="5"/>
    <n v="1"/>
    <x v="0"/>
    <x v="0"/>
    <n v="251849"/>
    <n v="3.7"/>
    <n v="4"/>
    <x v="0"/>
    <n v="3.46"/>
    <s v="High"/>
  </r>
  <r>
    <x v="11"/>
    <s v="Q4 e-tron"/>
    <x v="1"/>
    <s v="Base"/>
    <n v="84689.7"/>
    <n v="69.599999999999994"/>
    <n v="254"/>
    <n v="113.3"/>
    <n v="7.48"/>
    <n v="135"/>
    <n v="508"/>
    <n v="487"/>
    <s v="AWD"/>
    <n v="5"/>
    <s v="Van"/>
    <n v="68.5"/>
    <n v="1617"/>
    <n v="5"/>
    <n v="1"/>
    <x v="0"/>
    <x v="2"/>
    <n v="55401"/>
    <n v="3.7"/>
    <n v="7"/>
    <x v="2"/>
    <n v="3.65"/>
    <s v="High"/>
  </r>
  <r>
    <x v="7"/>
    <s v="Max"/>
    <x v="3"/>
    <s v="Performance"/>
    <n v="118077.25"/>
    <n v="109.3"/>
    <n v="391"/>
    <n v="162.19999999999999"/>
    <n v="3.74"/>
    <n v="191"/>
    <n v="1000"/>
    <n v="913"/>
    <s v="FWD"/>
    <n v="5"/>
    <s v="Sedan"/>
    <n v="35.4"/>
    <n v="1687"/>
    <n v="5"/>
    <n v="0"/>
    <x v="4"/>
    <x v="0"/>
    <n v="103364"/>
    <n v="3.7"/>
    <n v="4"/>
    <x v="0"/>
    <n v="3.58"/>
    <s v="High"/>
  </r>
  <r>
    <x v="7"/>
    <s v="Atto 3"/>
    <x v="5"/>
    <s v="Premium"/>
    <n v="87619.97"/>
    <n v="76.3"/>
    <n v="270"/>
    <n v="56.2"/>
    <n v="5.53"/>
    <n v="163"/>
    <n v="1000"/>
    <n v="870"/>
    <s v="RWD"/>
    <n v="5"/>
    <s v="Hatchback"/>
    <n v="34.799999999999997"/>
    <n v="1500"/>
    <n v="4"/>
    <n v="0"/>
    <x v="4"/>
    <x v="2"/>
    <n v="118872"/>
    <n v="3.5"/>
    <n v="4"/>
    <x v="1"/>
    <n v="3.54"/>
    <s v="High"/>
  </r>
  <r>
    <x v="4"/>
    <s v="Model Y"/>
    <x v="3"/>
    <s v="Standard"/>
    <n v="92379.520000000004"/>
    <n v="84.7"/>
    <n v="300"/>
    <n v="226.8"/>
    <n v="7.5"/>
    <n v="130"/>
    <n v="685"/>
    <n v="640"/>
    <s v="RWD"/>
    <n v="5"/>
    <s v="Sedan"/>
    <n v="32.1"/>
    <n v="1616"/>
    <n v="4"/>
    <n v="2"/>
    <x v="2"/>
    <x v="2"/>
    <n v="461008"/>
    <n v="3.8"/>
    <n v="6"/>
    <x v="2"/>
    <n v="3.54"/>
    <s v="High"/>
  </r>
  <r>
    <x v="10"/>
    <s v="i7"/>
    <x v="6"/>
    <s v="Premium"/>
    <n v="84308.51"/>
    <n v="76.3"/>
    <n v="242"/>
    <n v="121.7"/>
    <n v="6.09"/>
    <n v="144"/>
    <n v="645"/>
    <n v="559"/>
    <s v="RWD"/>
    <n v="5"/>
    <s v="Truck"/>
    <n v="79.3"/>
    <n v="2413"/>
    <n v="5"/>
    <n v="1"/>
    <x v="0"/>
    <x v="2"/>
    <n v="53466"/>
    <n v="3.5"/>
    <n v="6"/>
    <x v="1"/>
    <n v="3.17"/>
    <s v="High"/>
  </r>
  <r>
    <x v="0"/>
    <s v="ID. Aero"/>
    <x v="2"/>
    <s v="Performance"/>
    <n v="115397.77"/>
    <n v="79.599999999999994"/>
    <n v="282"/>
    <n v="189.4"/>
    <n v="2.83"/>
    <n v="200"/>
    <n v="1000"/>
    <n v="870"/>
    <s v="AWD"/>
    <n v="7"/>
    <s v="Sedan"/>
    <n v="34.1"/>
    <n v="1511"/>
    <n v="4"/>
    <n v="0"/>
    <x v="0"/>
    <x v="0"/>
    <n v="296594"/>
    <n v="3.5"/>
    <n v="4"/>
    <x v="0"/>
    <n v="3.54"/>
    <s v="High"/>
  </r>
  <r>
    <x v="5"/>
    <s v="EQE"/>
    <x v="0"/>
    <s v="Standard"/>
    <n v="142019.75"/>
    <n v="58.7"/>
    <n v="200"/>
    <n v="106.5"/>
    <n v="5.81"/>
    <n v="166"/>
    <n v="942"/>
    <n v="820"/>
    <s v="FWD"/>
    <n v="7"/>
    <s v="Hatchback"/>
    <n v="20.7"/>
    <n v="1640"/>
    <n v="5"/>
    <n v="2"/>
    <x v="0"/>
    <x v="0"/>
    <n v="57178"/>
    <n v="3.7"/>
    <n v="7"/>
    <x v="1"/>
    <n v="3.41"/>
    <s v="High"/>
  </r>
  <r>
    <x v="8"/>
    <s v="Ioniq"/>
    <x v="0"/>
    <s v="Long Range"/>
    <n v="48459.839999999997"/>
    <n v="100"/>
    <n v="358"/>
    <n v="93.1"/>
    <n v="4.6399999999999997"/>
    <n v="175"/>
    <n v="494"/>
    <n v="456"/>
    <s v="FWD"/>
    <n v="7"/>
    <s v="Van"/>
    <n v="79.599999999999994"/>
    <n v="1594"/>
    <n v="4"/>
    <n v="0"/>
    <x v="3"/>
    <x v="1"/>
    <n v="128198"/>
    <n v="3.7"/>
    <n v="4"/>
    <x v="1"/>
    <n v="3.58"/>
    <s v="High"/>
  </r>
  <r>
    <x v="6"/>
    <s v="Ronin"/>
    <x v="3"/>
    <s v="Premium"/>
    <n v="106306.01"/>
    <n v="80.2"/>
    <n v="270"/>
    <n v="52.3"/>
    <n v="7.48"/>
    <n v="140"/>
    <n v="925"/>
    <n v="853"/>
    <s v="AWD"/>
    <n v="7"/>
    <s v="Van"/>
    <n v="66.900000000000006"/>
    <n v="1500"/>
    <n v="5"/>
    <n v="2"/>
    <x v="2"/>
    <x v="0"/>
    <n v="8757"/>
    <n v="3.6"/>
    <n v="4"/>
    <x v="2"/>
    <n v="3.37"/>
    <s v="Medium"/>
  </r>
  <r>
    <x v="4"/>
    <s v="Model Y"/>
    <x v="5"/>
    <s v="Premium"/>
    <n v="55363.64"/>
    <n v="49.7"/>
    <n v="197"/>
    <n v="219"/>
    <n v="7.61"/>
    <n v="138"/>
    <n v="396"/>
    <n v="378"/>
    <s v="AWD"/>
    <n v="5"/>
    <s v="SUV"/>
    <n v="36.200000000000003"/>
    <n v="2157"/>
    <n v="4"/>
    <n v="3"/>
    <x v="2"/>
    <x v="1"/>
    <n v="467657"/>
    <n v="3.4"/>
    <n v="5"/>
    <x v="2"/>
    <n v="3.96"/>
    <s v="High"/>
  </r>
  <r>
    <x v="5"/>
    <s v="GLE EV"/>
    <x v="3"/>
    <s v="Premium"/>
    <n v="111590.33"/>
    <n v="69.8"/>
    <n v="216"/>
    <n v="84.4"/>
    <n v="6.19"/>
    <n v="161"/>
    <n v="639"/>
    <n v="545"/>
    <s v="RWD"/>
    <n v="5"/>
    <s v="SUV"/>
    <n v="58"/>
    <n v="2182"/>
    <n v="4"/>
    <n v="2"/>
    <x v="0"/>
    <x v="0"/>
    <n v="58457"/>
    <n v="3.3"/>
    <n v="8"/>
    <x v="1"/>
    <n v="3.09"/>
    <s v="High"/>
  </r>
  <r>
    <x v="9"/>
    <s v="F-150 Lightning"/>
    <x v="3"/>
    <s v="Premium"/>
    <n v="79279.61"/>
    <n v="59.6"/>
    <n v="194"/>
    <n v="95"/>
    <n v="7.69"/>
    <n v="139"/>
    <n v="919"/>
    <n v="842"/>
    <s v="RWD"/>
    <n v="4"/>
    <s v="Truck"/>
    <n v="65.7"/>
    <n v="2810"/>
    <n v="5"/>
    <n v="1"/>
    <x v="2"/>
    <x v="2"/>
    <n v="67161"/>
    <n v="3.2"/>
    <n v="3"/>
    <x v="2"/>
    <n v="3.26"/>
    <s v="High"/>
  </r>
  <r>
    <x v="9"/>
    <s v="E-Transit"/>
    <x v="1"/>
    <s v="Long Range"/>
    <n v="44715.21"/>
    <n v="85"/>
    <n v="299"/>
    <n v="82.1"/>
    <n v="5.0999999999999996"/>
    <n v="179"/>
    <n v="432"/>
    <n v="411"/>
    <s v="RWD"/>
    <n v="7"/>
    <s v="SUV"/>
    <n v="54.2"/>
    <n v="1709"/>
    <n v="5"/>
    <n v="1"/>
    <x v="2"/>
    <x v="1"/>
    <n v="77918"/>
    <n v="3.5"/>
    <n v="5"/>
    <x v="1"/>
    <n v="3.52"/>
    <s v="High"/>
  </r>
  <r>
    <x v="5"/>
    <s v="EQC"/>
    <x v="5"/>
    <s v="Long Range"/>
    <n v="122737.35"/>
    <n v="76.099999999999994"/>
    <n v="281"/>
    <n v="88.4"/>
    <n v="4.92"/>
    <n v="174"/>
    <n v="680"/>
    <n v="583"/>
    <s v="AWD"/>
    <n v="7"/>
    <s v="SUV"/>
    <n v="44.2"/>
    <n v="1927"/>
    <n v="5"/>
    <n v="1"/>
    <x v="0"/>
    <x v="0"/>
    <n v="45500"/>
    <n v="3.9"/>
    <n v="6"/>
    <x v="1"/>
    <n v="3.69"/>
    <s v="High"/>
  </r>
  <r>
    <x v="2"/>
    <s v="Silverado EV"/>
    <x v="5"/>
    <s v="Long Range"/>
    <n v="75057.34"/>
    <n v="81.400000000000006"/>
    <n v="277"/>
    <n v="117.5"/>
    <n v="5.01"/>
    <n v="178"/>
    <n v="1000"/>
    <n v="939"/>
    <s v="FWD"/>
    <n v="5"/>
    <s v="Truck"/>
    <n v="67.099999999999994"/>
    <n v="2136"/>
    <n v="3"/>
    <n v="2"/>
    <x v="2"/>
    <x v="2"/>
    <n v="18197"/>
    <n v="3.6"/>
    <n v="4"/>
    <x v="1"/>
    <n v="3.4"/>
    <s v="Medium"/>
  </r>
  <r>
    <x v="10"/>
    <s v="i7"/>
    <x v="0"/>
    <s v="Performance"/>
    <n v="121734.94"/>
    <n v="72.7"/>
    <n v="249"/>
    <n v="163.80000000000001"/>
    <n v="2.68"/>
    <n v="200"/>
    <n v="1000"/>
    <n v="931"/>
    <s v="RWD"/>
    <n v="7"/>
    <s v="Coupe"/>
    <n v="30.3"/>
    <n v="1630"/>
    <n v="5"/>
    <n v="2"/>
    <x v="0"/>
    <x v="0"/>
    <n v="71997"/>
    <n v="3.6"/>
    <n v="6"/>
    <x v="0"/>
    <n v="3.43"/>
    <s v="High"/>
  </r>
  <r>
    <x v="4"/>
    <s v="Model S"/>
    <x v="3"/>
    <s v="Base"/>
    <n v="41533.410000000003"/>
    <n v="81.099999999999994"/>
    <n v="287"/>
    <n v="248.5"/>
    <n v="6.67"/>
    <n v="145"/>
    <n v="266"/>
    <n v="200"/>
    <s v="RWD"/>
    <n v="5"/>
    <s v="Hatchback"/>
    <n v="25.3"/>
    <n v="1673"/>
    <n v="4"/>
    <n v="2"/>
    <x v="2"/>
    <x v="1"/>
    <n v="205263"/>
    <n v="3.9"/>
    <n v="5"/>
    <x v="1"/>
    <n v="3.54"/>
    <s v="High"/>
  </r>
  <r>
    <x v="4"/>
    <s v="Cybertruck"/>
    <x v="1"/>
    <s v="Base"/>
    <n v="33281.599999999999"/>
    <n v="82.5"/>
    <n v="281"/>
    <n v="345.8"/>
    <n v="5.04"/>
    <n v="175"/>
    <n v="229"/>
    <n v="216"/>
    <s v="AWD"/>
    <n v="5"/>
    <s v="Truck"/>
    <n v="66.8"/>
    <n v="2657"/>
    <n v="5"/>
    <n v="2"/>
    <x v="2"/>
    <x v="3"/>
    <n v="223257"/>
    <n v="3.9"/>
    <n v="6"/>
    <x v="1"/>
    <n v="3.41"/>
    <s v="High"/>
  </r>
  <r>
    <x v="13"/>
    <s v="R2"/>
    <x v="2"/>
    <s v="Standard"/>
    <n v="78385.679999999993"/>
    <n v="79.7"/>
    <n v="248"/>
    <n v="89.4"/>
    <n v="6.35"/>
    <n v="154"/>
    <n v="615"/>
    <n v="599"/>
    <s v="RWD"/>
    <n v="5"/>
    <s v="Hatchback"/>
    <n v="31.3"/>
    <n v="1941"/>
    <n v="5"/>
    <n v="0"/>
    <x v="2"/>
    <x v="2"/>
    <n v="12601"/>
    <n v="3.6"/>
    <n v="5"/>
    <x v="1"/>
    <n v="3.11"/>
    <s v="Medium"/>
  </r>
  <r>
    <x v="3"/>
    <s v="Picanto EV"/>
    <x v="5"/>
    <s v="Standard"/>
    <n v="54591.6"/>
    <n v="68.599999999999994"/>
    <n v="257"/>
    <n v="77"/>
    <n v="5.52"/>
    <n v="158"/>
    <n v="528"/>
    <n v="451"/>
    <s v="FWD"/>
    <n v="7"/>
    <s v="Van"/>
    <n v="63"/>
    <n v="1500"/>
    <n v="4"/>
    <n v="0"/>
    <x v="3"/>
    <x v="1"/>
    <n v="84955"/>
    <n v="3.4"/>
    <n v="5"/>
    <x v="1"/>
    <n v="3.75"/>
    <s v="High"/>
  </r>
  <r>
    <x v="9"/>
    <s v="E-Transit"/>
    <x v="2"/>
    <s v="Long Range"/>
    <n v="84501.24"/>
    <n v="98.1"/>
    <n v="342"/>
    <n v="111.3"/>
    <n v="4.71"/>
    <n v="179"/>
    <n v="1000"/>
    <n v="870"/>
    <s v="RWD"/>
    <n v="7"/>
    <s v="Coupe"/>
    <n v="28"/>
    <n v="1500"/>
    <n v="5"/>
    <n v="0"/>
    <x v="2"/>
    <x v="2"/>
    <n v="72596"/>
    <n v="3.6"/>
    <n v="5"/>
    <x v="1"/>
    <n v="3.49"/>
    <s v="High"/>
  </r>
  <r>
    <x v="8"/>
    <s v="Kona Electric"/>
    <x v="5"/>
    <s v="Standard"/>
    <n v="45692.14"/>
    <n v="83.7"/>
    <n v="288"/>
    <n v="81.400000000000006"/>
    <n v="6.59"/>
    <n v="154"/>
    <n v="475"/>
    <n v="411"/>
    <s v="RWD"/>
    <n v="7"/>
    <s v="Coupe"/>
    <n v="28.7"/>
    <n v="1750"/>
    <n v="5"/>
    <n v="0"/>
    <x v="3"/>
    <x v="1"/>
    <n v="89861"/>
    <n v="3.5"/>
    <n v="3"/>
    <x v="1"/>
    <n v="3.44"/>
    <s v="High"/>
  </r>
  <r>
    <x v="4"/>
    <s v="Model S"/>
    <x v="3"/>
    <s v="Premium"/>
    <n v="131664.51"/>
    <n v="56.1"/>
    <n v="197"/>
    <n v="248.7"/>
    <n v="5.97"/>
    <n v="167"/>
    <n v="995"/>
    <n v="876"/>
    <s v="RWD"/>
    <n v="5"/>
    <s v="SUV"/>
    <n v="64"/>
    <n v="2096"/>
    <n v="5"/>
    <n v="2"/>
    <x v="2"/>
    <x v="0"/>
    <n v="124407"/>
    <n v="3.6"/>
    <n v="4"/>
    <x v="1"/>
    <n v="3.51"/>
    <s v="High"/>
  </r>
  <r>
    <x v="4"/>
    <s v="Model 3"/>
    <x v="5"/>
    <s v="Long Range"/>
    <n v="146733.12"/>
    <n v="98.1"/>
    <n v="336"/>
    <n v="258.2"/>
    <n v="5.28"/>
    <n v="173"/>
    <n v="1000"/>
    <n v="925"/>
    <s v="RWD"/>
    <n v="5"/>
    <s v="Truck"/>
    <n v="79.400000000000006"/>
    <n v="2940"/>
    <n v="5"/>
    <n v="2"/>
    <x v="2"/>
    <x v="0"/>
    <n v="162803"/>
    <n v="4.0999999999999996"/>
    <n v="5"/>
    <x v="1"/>
    <n v="3.43"/>
    <s v="High"/>
  </r>
  <r>
    <x v="10"/>
    <s v="i3"/>
    <x v="2"/>
    <s v="Standard"/>
    <n v="108424.86"/>
    <n v="43.9"/>
    <n v="164"/>
    <n v="140.1"/>
    <n v="7.1"/>
    <n v="143"/>
    <n v="881"/>
    <n v="812"/>
    <s v="FWD"/>
    <n v="5"/>
    <s v="SUV"/>
    <n v="59"/>
    <n v="1704"/>
    <n v="5"/>
    <n v="2"/>
    <x v="0"/>
    <x v="0"/>
    <n v="72604"/>
    <n v="3.1"/>
    <n v="6"/>
    <x v="2"/>
    <n v="3.74"/>
    <s v="High"/>
  </r>
  <r>
    <x v="0"/>
    <s v="ID.5"/>
    <x v="2"/>
    <s v="Premium"/>
    <n v="43023.64"/>
    <n v="77.900000000000006"/>
    <n v="261"/>
    <n v="130.9"/>
    <n v="5.36"/>
    <n v="163"/>
    <n v="308"/>
    <n v="274"/>
    <s v="AWD"/>
    <n v="5"/>
    <s v="Truck"/>
    <n v="70.099999999999994"/>
    <n v="2308"/>
    <n v="5"/>
    <n v="0"/>
    <x v="0"/>
    <x v="1"/>
    <n v="246474"/>
    <n v="3.6"/>
    <n v="5"/>
    <x v="1"/>
    <n v="3.35"/>
    <s v="High"/>
  </r>
  <r>
    <x v="4"/>
    <s v="Model X"/>
    <x v="2"/>
    <s v="Premium"/>
    <n v="157561.98000000001"/>
    <n v="49.5"/>
    <n v="189"/>
    <n v="302.5"/>
    <n v="7.4"/>
    <n v="134"/>
    <n v="1000"/>
    <n v="867"/>
    <s v="AWD"/>
    <n v="5"/>
    <s v="SUV"/>
    <n v="42.4"/>
    <n v="1670"/>
    <n v="4"/>
    <n v="3"/>
    <x v="2"/>
    <x v="0"/>
    <n v="163095"/>
    <n v="3.6"/>
    <n v="4"/>
    <x v="2"/>
    <n v="3.82"/>
    <s v="High"/>
  </r>
  <r>
    <x v="8"/>
    <s v="Ioniq 5"/>
    <x v="2"/>
    <s v="Performance"/>
    <n v="61789.95"/>
    <n v="103.8"/>
    <n v="357"/>
    <n v="155.6"/>
    <n v="3.45"/>
    <n v="194"/>
    <n v="672"/>
    <n v="573"/>
    <s v="FWD"/>
    <n v="7"/>
    <s v="Sedan"/>
    <n v="16.2"/>
    <n v="1500"/>
    <n v="5"/>
    <n v="0"/>
    <x v="3"/>
    <x v="1"/>
    <n v="110783"/>
    <n v="3.5"/>
    <n v="4"/>
    <x v="0"/>
    <n v="3.44"/>
    <s v="High"/>
  </r>
  <r>
    <x v="4"/>
    <s v="Model 3"/>
    <x v="2"/>
    <s v="Performance"/>
    <n v="109834.54"/>
    <n v="79.900000000000006"/>
    <n v="262"/>
    <n v="311.60000000000002"/>
    <n v="3.69"/>
    <n v="195"/>
    <n v="750"/>
    <n v="704"/>
    <s v="AWD"/>
    <n v="7"/>
    <s v="Hatchback"/>
    <n v="25.5"/>
    <n v="1590"/>
    <n v="3"/>
    <n v="2"/>
    <x v="2"/>
    <x v="0"/>
    <n v="219324"/>
    <n v="3.9"/>
    <n v="5"/>
    <x v="0"/>
    <n v="3.28"/>
    <s v="High"/>
  </r>
  <r>
    <x v="3"/>
    <s v="EV9"/>
    <x v="3"/>
    <s v="Base"/>
    <n v="31082.43"/>
    <n v="50.7"/>
    <n v="177"/>
    <n v="128.80000000000001"/>
    <n v="6.48"/>
    <n v="143"/>
    <n v="191"/>
    <n v="200"/>
    <s v="FWD"/>
    <n v="5"/>
    <s v="SUV"/>
    <n v="61.8"/>
    <n v="2151"/>
    <n v="5"/>
    <n v="1"/>
    <x v="3"/>
    <x v="3"/>
    <n v="76695"/>
    <n v="3.1"/>
    <n v="3"/>
    <x v="1"/>
    <n v="3.49"/>
    <s v="High"/>
  </r>
  <r>
    <x v="7"/>
    <s v="Seagull"/>
    <x v="3"/>
    <s v="Premium"/>
    <n v="111062.23"/>
    <n v="40.6"/>
    <n v="162"/>
    <n v="68.8"/>
    <n v="7.45"/>
    <n v="136"/>
    <n v="1000"/>
    <n v="922"/>
    <s v="AWD"/>
    <n v="5"/>
    <s v="Truck"/>
    <n v="55.5"/>
    <n v="2095"/>
    <n v="4"/>
    <n v="1"/>
    <x v="4"/>
    <x v="0"/>
    <n v="149002"/>
    <n v="3.3"/>
    <n v="5"/>
    <x v="2"/>
    <n v="3.99"/>
    <s v="High"/>
  </r>
  <r>
    <x v="9"/>
    <s v="Explorer EV"/>
    <x v="3"/>
    <s v="Premium"/>
    <n v="56654.61"/>
    <n v="62.9"/>
    <n v="233"/>
    <n v="86.6"/>
    <n v="6.93"/>
    <n v="156"/>
    <n v="574"/>
    <n v="508"/>
    <s v="FWD"/>
    <n v="5"/>
    <s v="Van"/>
    <n v="73.099999999999994"/>
    <n v="1533"/>
    <n v="5"/>
    <n v="1"/>
    <x v="2"/>
    <x v="1"/>
    <n v="41791"/>
    <n v="3.5"/>
    <n v="3"/>
    <x v="1"/>
    <n v="3.7"/>
    <s v="High"/>
  </r>
  <r>
    <x v="7"/>
    <s v="Qin"/>
    <x v="0"/>
    <s v="Long Range"/>
    <n v="82830.36"/>
    <n v="90.4"/>
    <n v="294"/>
    <n v="100.7"/>
    <n v="4.88"/>
    <n v="175"/>
    <n v="902"/>
    <n v="753"/>
    <s v="FWD"/>
    <n v="7"/>
    <s v="Van"/>
    <n v="66.7"/>
    <n v="1756"/>
    <n v="5"/>
    <n v="1"/>
    <x v="4"/>
    <x v="2"/>
    <n v="213531"/>
    <n v="3.8"/>
    <n v="3"/>
    <x v="1"/>
    <n v="3.25"/>
    <s v="High"/>
  </r>
  <r>
    <x v="0"/>
    <s v="ID. Buzz"/>
    <x v="3"/>
    <s v="Standard"/>
    <n v="85586.86"/>
    <n v="50.5"/>
    <n v="179"/>
    <n v="124"/>
    <n v="5.85"/>
    <n v="160"/>
    <n v="939"/>
    <n v="848"/>
    <s v="RWD"/>
    <n v="5"/>
    <s v="Truck"/>
    <n v="75.3"/>
    <n v="2623"/>
    <n v="3"/>
    <n v="0"/>
    <x v="0"/>
    <x v="2"/>
    <n v="259718"/>
    <n v="3"/>
    <n v="5"/>
    <x v="1"/>
    <n v="3.54"/>
    <s v="High"/>
  </r>
  <r>
    <x v="4"/>
    <s v="Model S"/>
    <x v="0"/>
    <s v="Performance"/>
    <n v="170972.65"/>
    <n v="105.1"/>
    <n v="373"/>
    <n v="286"/>
    <n v="3.44"/>
    <n v="200"/>
    <n v="1000"/>
    <n v="935"/>
    <s v="RWD"/>
    <n v="7"/>
    <s v="Van"/>
    <n v="62"/>
    <n v="1500"/>
    <n v="3"/>
    <n v="2"/>
    <x v="2"/>
    <x v="0"/>
    <n v="177006"/>
    <n v="3.9"/>
    <n v="4"/>
    <x v="0"/>
    <n v="3.55"/>
    <s v="High"/>
  </r>
  <r>
    <x v="4"/>
    <s v="Model Y"/>
    <x v="2"/>
    <s v="Long Range"/>
    <n v="158710.22"/>
    <n v="93.6"/>
    <n v="300"/>
    <n v="349.6"/>
    <n v="4.55"/>
    <n v="182"/>
    <n v="1000"/>
    <n v="900"/>
    <s v="FWD"/>
    <n v="5"/>
    <s v="Van"/>
    <n v="74.2"/>
    <n v="1503"/>
    <n v="5"/>
    <n v="2"/>
    <x v="2"/>
    <x v="0"/>
    <n v="416641"/>
    <n v="3.7"/>
    <n v="5"/>
    <x v="1"/>
    <n v="3.21"/>
    <s v="High"/>
  </r>
  <r>
    <x v="0"/>
    <s v="ID. Aero"/>
    <x v="5"/>
    <s v="Performance"/>
    <n v="102827.77"/>
    <n v="98.2"/>
    <n v="350"/>
    <n v="164.2"/>
    <n v="3.3"/>
    <n v="196"/>
    <n v="1000"/>
    <n v="867"/>
    <s v="RWD"/>
    <n v="5"/>
    <s v="Truck"/>
    <n v="78.099999999999994"/>
    <n v="2341"/>
    <n v="5"/>
    <n v="0"/>
    <x v="0"/>
    <x v="0"/>
    <n v="238315"/>
    <n v="3.8"/>
    <n v="4"/>
    <x v="0"/>
    <n v="3.56"/>
    <s v="High"/>
  </r>
  <r>
    <x v="8"/>
    <s v="Ioniq 6"/>
    <x v="2"/>
    <s v="Premium"/>
    <n v="58686.32"/>
    <n v="81.599999999999994"/>
    <n v="285"/>
    <n v="109.1"/>
    <n v="5.83"/>
    <n v="161"/>
    <n v="698"/>
    <n v="594"/>
    <s v="RWD"/>
    <n v="5"/>
    <s v="Truck"/>
    <n v="71.099999999999994"/>
    <n v="2388"/>
    <n v="5"/>
    <n v="0"/>
    <x v="3"/>
    <x v="1"/>
    <n v="66241"/>
    <n v="3.4"/>
    <n v="4"/>
    <x v="1"/>
    <n v="3.49"/>
    <s v="High"/>
  </r>
  <r>
    <x v="3"/>
    <s v="EV9"/>
    <x v="2"/>
    <s v="Performance"/>
    <n v="50056.29"/>
    <n v="111.5"/>
    <n v="391"/>
    <n v="219.1"/>
    <n v="3.13"/>
    <n v="195"/>
    <n v="472"/>
    <n v="488"/>
    <s v="FWD"/>
    <n v="5"/>
    <s v="SUV"/>
    <n v="63.8"/>
    <n v="1774"/>
    <n v="3"/>
    <n v="0"/>
    <x v="3"/>
    <x v="1"/>
    <n v="140441"/>
    <n v="4"/>
    <n v="5"/>
    <x v="0"/>
    <n v="3.51"/>
    <s v="High"/>
  </r>
  <r>
    <x v="7"/>
    <s v="Yuan Plus"/>
    <x v="4"/>
    <s v="Base"/>
    <n v="24412.01"/>
    <n v="82.7"/>
    <n v="290"/>
    <n v="66.599999999999994"/>
    <n v="6"/>
    <n v="152"/>
    <n v="221"/>
    <n v="200"/>
    <s v="FWD"/>
    <n v="5"/>
    <s v="Truck"/>
    <n v="64.5"/>
    <n v="2592"/>
    <n v="5"/>
    <n v="0"/>
    <x v="4"/>
    <x v="3"/>
    <n v="206262"/>
    <n v="3.7"/>
    <n v="4"/>
    <x v="1"/>
    <n v="3.51"/>
    <s v="High"/>
  </r>
  <r>
    <x v="2"/>
    <s v="Equinox EV"/>
    <x v="2"/>
    <s v="Long Range"/>
    <n v="58896.05"/>
    <n v="104.7"/>
    <n v="389"/>
    <n v="101.3"/>
    <n v="4.57"/>
    <n v="184"/>
    <n v="752"/>
    <n v="710"/>
    <s v="FWD"/>
    <n v="7"/>
    <s v="SUV"/>
    <n v="65"/>
    <n v="1846"/>
    <n v="4"/>
    <n v="2"/>
    <x v="2"/>
    <x v="1"/>
    <n v="16859"/>
    <n v="3.9"/>
    <n v="5"/>
    <x v="1"/>
    <n v="3.72"/>
    <s v="Medium"/>
  </r>
  <r>
    <x v="5"/>
    <s v="EQG"/>
    <x v="2"/>
    <s v="Long Range"/>
    <n v="113572.04"/>
    <n v="85.7"/>
    <n v="286"/>
    <n v="129.9"/>
    <n v="5.52"/>
    <n v="177"/>
    <n v="660"/>
    <n v="563"/>
    <s v="FWD"/>
    <n v="5"/>
    <s v="Van"/>
    <n v="76.400000000000006"/>
    <n v="1776"/>
    <n v="4"/>
    <n v="2"/>
    <x v="0"/>
    <x v="0"/>
    <n v="73690"/>
    <n v="3.8"/>
    <n v="7"/>
    <x v="1"/>
    <n v="3.34"/>
    <s v="High"/>
  </r>
  <r>
    <x v="9"/>
    <s v="E-Transit"/>
    <x v="3"/>
    <s v="Standard"/>
    <n v="32151.97"/>
    <n v="58.3"/>
    <n v="176"/>
    <n v="88.3"/>
    <n v="5.4"/>
    <n v="169"/>
    <n v="156"/>
    <n v="200"/>
    <s v="FWD"/>
    <n v="5"/>
    <s v="Hatchback"/>
    <n v="34.6"/>
    <n v="1556"/>
    <n v="4"/>
    <n v="0"/>
    <x v="2"/>
    <x v="3"/>
    <n v="25887"/>
    <n v="3.1"/>
    <n v="4"/>
    <x v="1"/>
    <n v="3.02"/>
    <s v="High"/>
  </r>
  <r>
    <x v="4"/>
    <s v="Model Y"/>
    <x v="2"/>
    <s v="Premium"/>
    <n v="168092.71"/>
    <n v="81.2"/>
    <n v="269"/>
    <n v="254.7"/>
    <n v="7.94"/>
    <n v="124"/>
    <n v="1000"/>
    <n v="891"/>
    <s v="RWD"/>
    <n v="5"/>
    <s v="Coupe"/>
    <n v="22.6"/>
    <n v="1659"/>
    <n v="3"/>
    <n v="3"/>
    <x v="2"/>
    <x v="0"/>
    <n v="434155"/>
    <n v="3.8"/>
    <n v="6"/>
    <x v="2"/>
    <n v="3.31"/>
    <s v="High"/>
  </r>
  <r>
    <x v="8"/>
    <s v="Ioniq"/>
    <x v="6"/>
    <s v="Performance"/>
    <n v="74306.48"/>
    <n v="85.9"/>
    <n v="286"/>
    <n v="175.1"/>
    <n v="3.09"/>
    <n v="200"/>
    <n v="962"/>
    <n v="889"/>
    <s v="AWD"/>
    <n v="7"/>
    <s v="Truck"/>
    <n v="68.400000000000006"/>
    <n v="2759"/>
    <n v="5"/>
    <n v="1"/>
    <x v="3"/>
    <x v="2"/>
    <n v="113130"/>
    <n v="3.7"/>
    <n v="4"/>
    <x v="0"/>
    <n v="3.33"/>
    <s v="High"/>
  </r>
  <r>
    <x v="4"/>
    <s v="Model X"/>
    <x v="3"/>
    <s v="Performance"/>
    <n v="99111.24"/>
    <n v="103.7"/>
    <n v="345"/>
    <n v="330.8"/>
    <n v="4.34"/>
    <n v="182"/>
    <n v="750"/>
    <n v="689"/>
    <s v="RWD"/>
    <n v="7"/>
    <s v="Truck"/>
    <n v="60.8"/>
    <n v="2442"/>
    <n v="5"/>
    <n v="3"/>
    <x v="2"/>
    <x v="2"/>
    <n v="160176"/>
    <n v="4"/>
    <n v="5"/>
    <x v="1"/>
    <n v="3.33"/>
    <s v="High"/>
  </r>
  <r>
    <x v="7"/>
    <s v="Yuan Plus"/>
    <x v="5"/>
    <s v="Long Range"/>
    <n v="32377.24"/>
    <n v="104"/>
    <n v="378"/>
    <n v="82.5"/>
    <n v="4.1100000000000003"/>
    <n v="184"/>
    <n v="309"/>
    <n v="238"/>
    <s v="RWD"/>
    <n v="5"/>
    <s v="Coupe"/>
    <n v="21.4"/>
    <n v="1701"/>
    <n v="4"/>
    <n v="1"/>
    <x v="4"/>
    <x v="3"/>
    <n v="164156"/>
    <n v="3.8"/>
    <n v="3"/>
    <x v="1"/>
    <n v="3.63"/>
    <s v="High"/>
  </r>
  <r>
    <x v="14"/>
    <s v="Macan Electric"/>
    <x v="4"/>
    <s v="Standard"/>
    <n v="163150.51999999999"/>
    <n v="73.900000000000006"/>
    <n v="281"/>
    <n v="216.8"/>
    <n v="7.11"/>
    <n v="137"/>
    <n v="828"/>
    <n v="758"/>
    <s v="AWD"/>
    <n v="5"/>
    <s v="Van"/>
    <n v="61.1"/>
    <n v="1678"/>
    <n v="5"/>
    <n v="1"/>
    <x v="0"/>
    <x v="0"/>
    <n v="2340"/>
    <n v="4"/>
    <n v="6"/>
    <x v="2"/>
    <n v="3.8"/>
    <s v="Low"/>
  </r>
  <r>
    <x v="4"/>
    <s v="Cybertruck"/>
    <x v="0"/>
    <s v="Premium"/>
    <n v="172193.15"/>
    <n v="58.2"/>
    <n v="181"/>
    <n v="222.8"/>
    <n v="6.94"/>
    <n v="147"/>
    <n v="1000"/>
    <n v="859"/>
    <s v="RWD"/>
    <n v="5"/>
    <s v="Truck"/>
    <n v="69.400000000000006"/>
    <n v="2679"/>
    <n v="5"/>
    <n v="2"/>
    <x v="2"/>
    <x v="0"/>
    <n v="199763"/>
    <n v="3.4"/>
    <n v="5"/>
    <x v="1"/>
    <n v="3.11"/>
    <s v="High"/>
  </r>
  <r>
    <x v="8"/>
    <s v="Kona Electric"/>
    <x v="3"/>
    <s v="Base"/>
    <n v="46056.18"/>
    <n v="74.8"/>
    <n v="259"/>
    <n v="101.6"/>
    <n v="6.39"/>
    <n v="153"/>
    <n v="458"/>
    <n v="417"/>
    <s v="FWD"/>
    <n v="7"/>
    <s v="Sedan"/>
    <n v="18.7"/>
    <n v="1504"/>
    <n v="5"/>
    <n v="1"/>
    <x v="3"/>
    <x v="1"/>
    <n v="143815"/>
    <n v="3.6"/>
    <n v="5"/>
    <x v="1"/>
    <n v="3.46"/>
    <s v="High"/>
  </r>
  <r>
    <x v="3"/>
    <s v="Picanto EV"/>
    <x v="3"/>
    <s v="Performance"/>
    <n v="88002.42"/>
    <n v="95.9"/>
    <n v="334"/>
    <n v="206.4"/>
    <n v="2.6"/>
    <n v="200"/>
    <n v="1000"/>
    <n v="908"/>
    <s v="RWD"/>
    <n v="5"/>
    <s v="SUV"/>
    <n v="54.2"/>
    <n v="1841"/>
    <n v="5"/>
    <n v="1"/>
    <x v="3"/>
    <x v="2"/>
    <n v="60132"/>
    <n v="3.6"/>
    <n v="4"/>
    <x v="0"/>
    <n v="3.48"/>
    <s v="High"/>
  </r>
  <r>
    <x v="2"/>
    <s v="Equinox EV"/>
    <x v="3"/>
    <s v="Base"/>
    <n v="57562.96"/>
    <n v="48"/>
    <n v="172"/>
    <n v="143"/>
    <n v="6.33"/>
    <n v="154"/>
    <n v="716"/>
    <n v="637"/>
    <s v="AWD"/>
    <n v="5"/>
    <s v="SUV"/>
    <n v="46.1"/>
    <n v="2246"/>
    <n v="5"/>
    <n v="1"/>
    <x v="2"/>
    <x v="1"/>
    <n v="18527"/>
    <n v="3.4"/>
    <n v="5"/>
    <x v="1"/>
    <n v="3.58"/>
    <s v="Medium"/>
  </r>
  <r>
    <x v="3"/>
    <s v="EV6"/>
    <x v="4"/>
    <s v="Premium"/>
    <n v="91322.04"/>
    <n v="65.900000000000006"/>
    <n v="229"/>
    <n v="67.7"/>
    <n v="6.42"/>
    <n v="156"/>
    <n v="1000"/>
    <n v="818"/>
    <s v="RWD"/>
    <n v="7"/>
    <s v="SUV"/>
    <n v="52.4"/>
    <n v="2083"/>
    <n v="4"/>
    <n v="1"/>
    <x v="3"/>
    <x v="2"/>
    <n v="103135"/>
    <n v="3.4"/>
    <n v="3"/>
    <x v="1"/>
    <n v="3.47"/>
    <s v="High"/>
  </r>
  <r>
    <x v="4"/>
    <s v="Model 3"/>
    <x v="3"/>
    <s v="Standard"/>
    <n v="39764.730000000003"/>
    <n v="62.8"/>
    <n v="218"/>
    <n v="293.10000000000002"/>
    <n v="7.52"/>
    <n v="135"/>
    <n v="254"/>
    <n v="280"/>
    <s v="RWD"/>
    <n v="5"/>
    <s v="Truck"/>
    <n v="58.1"/>
    <n v="2486"/>
    <n v="5"/>
    <n v="3"/>
    <x v="2"/>
    <x v="1"/>
    <n v="177083"/>
    <n v="3.7"/>
    <n v="6"/>
    <x v="2"/>
    <n v="3.47"/>
    <s v="High"/>
  </r>
  <r>
    <x v="7"/>
    <s v="Dolphin"/>
    <x v="3"/>
    <s v="Long Range"/>
    <n v="23723.54"/>
    <n v="84.2"/>
    <n v="308"/>
    <n v="134.1"/>
    <n v="4.21"/>
    <n v="185"/>
    <n v="177"/>
    <n v="200"/>
    <s v="RWD"/>
    <n v="7"/>
    <s v="Truck"/>
    <n v="57.3"/>
    <n v="2484"/>
    <n v="4"/>
    <n v="1"/>
    <x v="4"/>
    <x v="3"/>
    <n v="224275"/>
    <n v="3.7"/>
    <n v="4"/>
    <x v="1"/>
    <n v="3.66"/>
    <s v="High"/>
  </r>
  <r>
    <x v="8"/>
    <s v="Ioniq 5"/>
    <x v="0"/>
    <s v="Premium"/>
    <n v="42532.36"/>
    <n v="70.099999999999994"/>
    <n v="253"/>
    <n v="92.1"/>
    <n v="5.87"/>
    <n v="167"/>
    <n v="351"/>
    <n v="261"/>
    <s v="RWD"/>
    <n v="7"/>
    <s v="Hatchback"/>
    <n v="21"/>
    <n v="1500"/>
    <n v="5"/>
    <n v="1"/>
    <x v="3"/>
    <x v="1"/>
    <n v="118099"/>
    <n v="3.3"/>
    <n v="4"/>
    <x v="1"/>
    <n v="3.61"/>
    <s v="High"/>
  </r>
  <r>
    <x v="4"/>
    <s v="Model S"/>
    <x v="0"/>
    <s v="Base"/>
    <n v="29555.66"/>
    <n v="54.9"/>
    <n v="182"/>
    <n v="213.2"/>
    <n v="5.79"/>
    <n v="163"/>
    <n v="150"/>
    <n v="200"/>
    <s v="AWD"/>
    <n v="5"/>
    <s v="Truck"/>
    <n v="71.3"/>
    <n v="2661"/>
    <n v="4"/>
    <n v="2"/>
    <x v="2"/>
    <x v="3"/>
    <n v="119019"/>
    <n v="3.6"/>
    <n v="5"/>
    <x v="1"/>
    <n v="3.32"/>
    <s v="High"/>
  </r>
  <r>
    <x v="7"/>
    <s v="Yuan Plus"/>
    <x v="0"/>
    <s v="Premium"/>
    <n v="62695.67"/>
    <n v="55.1"/>
    <n v="191"/>
    <n v="126"/>
    <n v="7.14"/>
    <n v="143"/>
    <n v="677"/>
    <n v="604"/>
    <s v="RWD"/>
    <n v="5"/>
    <s v="Truck"/>
    <n v="66.599999999999994"/>
    <n v="2371"/>
    <n v="3"/>
    <n v="1"/>
    <x v="4"/>
    <x v="1"/>
    <n v="249959"/>
    <n v="3.5"/>
    <n v="4"/>
    <x v="2"/>
    <n v="3.47"/>
    <s v="High"/>
  </r>
  <r>
    <x v="4"/>
    <s v="Model Y"/>
    <x v="3"/>
    <s v="Long Range"/>
    <n v="71009.25"/>
    <n v="81"/>
    <n v="305"/>
    <n v="251.1"/>
    <n v="5.81"/>
    <n v="162"/>
    <n v="446"/>
    <n v="472"/>
    <s v="RWD"/>
    <n v="5"/>
    <s v="Van"/>
    <n v="74.400000000000006"/>
    <n v="1500"/>
    <n v="4"/>
    <n v="2"/>
    <x v="2"/>
    <x v="2"/>
    <n v="465765"/>
    <n v="3.9"/>
    <n v="4"/>
    <x v="1"/>
    <n v="3.77"/>
    <s v="High"/>
  </r>
  <r>
    <x v="4"/>
    <s v="Model S"/>
    <x v="0"/>
    <s v="Long Range"/>
    <n v="41849.58"/>
    <n v="96.1"/>
    <n v="319"/>
    <n v="282.3"/>
    <n v="5.76"/>
    <n v="174"/>
    <n v="272"/>
    <n v="317"/>
    <s v="FWD"/>
    <n v="7"/>
    <s v="Van"/>
    <n v="65.5"/>
    <n v="1500"/>
    <n v="5"/>
    <n v="3"/>
    <x v="2"/>
    <x v="1"/>
    <n v="211387"/>
    <n v="4"/>
    <n v="4"/>
    <x v="1"/>
    <n v="3.32"/>
    <s v="High"/>
  </r>
  <r>
    <x v="0"/>
    <s v="ID.5"/>
    <x v="3"/>
    <s v="Base"/>
    <n v="36800.160000000003"/>
    <n v="48.1"/>
    <n v="169"/>
    <n v="115.5"/>
    <n v="6.37"/>
    <n v="152"/>
    <n v="222"/>
    <n v="200"/>
    <s v="RWD"/>
    <n v="5"/>
    <s v="SUV"/>
    <n v="49"/>
    <n v="2050"/>
    <n v="5"/>
    <n v="1"/>
    <x v="0"/>
    <x v="1"/>
    <n v="290748"/>
    <n v="3.4"/>
    <n v="3"/>
    <x v="1"/>
    <n v="3.51"/>
    <s v="High"/>
  </r>
  <r>
    <x v="4"/>
    <s v="Model Y"/>
    <x v="2"/>
    <s v="Premium"/>
    <n v="166324.35999999999"/>
    <n v="61.4"/>
    <n v="212"/>
    <n v="252.7"/>
    <n v="7.43"/>
    <n v="136"/>
    <n v="1000"/>
    <n v="933"/>
    <s v="AWD"/>
    <n v="7"/>
    <s v="Truck"/>
    <n v="55.5"/>
    <n v="2510"/>
    <n v="5"/>
    <n v="3"/>
    <x v="2"/>
    <x v="0"/>
    <n v="466326"/>
    <n v="4.3"/>
    <n v="5"/>
    <x v="2"/>
    <n v="3.45"/>
    <s v="High"/>
  </r>
  <r>
    <x v="3"/>
    <s v="Picanto EV"/>
    <x v="2"/>
    <s v="Base"/>
    <n v="71842.960000000006"/>
    <n v="77"/>
    <n v="291"/>
    <n v="90.9"/>
    <n v="5.22"/>
    <n v="170"/>
    <n v="802"/>
    <n v="770"/>
    <s v="RWD"/>
    <n v="5"/>
    <s v="Van"/>
    <n v="64.900000000000006"/>
    <n v="1500"/>
    <n v="4"/>
    <n v="2"/>
    <x v="3"/>
    <x v="2"/>
    <n v="123890"/>
    <n v="3.7"/>
    <n v="3"/>
    <x v="1"/>
    <n v="3.78"/>
    <s v="High"/>
  </r>
  <r>
    <x v="10"/>
    <s v="i5"/>
    <x v="2"/>
    <s v="Long Range"/>
    <n v="117382.51"/>
    <n v="96.5"/>
    <n v="334"/>
    <n v="145"/>
    <n v="5.0999999999999996"/>
    <n v="180"/>
    <n v="1000"/>
    <n v="892"/>
    <s v="FWD"/>
    <n v="5"/>
    <s v="Coupe"/>
    <n v="25"/>
    <n v="1713"/>
    <n v="4"/>
    <n v="2"/>
    <x v="0"/>
    <x v="0"/>
    <n v="33138"/>
    <n v="3.5"/>
    <n v="7"/>
    <x v="1"/>
    <n v="3.46"/>
    <s v="High"/>
  </r>
  <r>
    <x v="9"/>
    <s v="Mustang Mach-E"/>
    <x v="2"/>
    <s v="Base"/>
    <n v="46219.97"/>
    <n v="70.900000000000006"/>
    <n v="239"/>
    <n v="139.6"/>
    <n v="7.85"/>
    <n v="123"/>
    <n v="385"/>
    <n v="389"/>
    <s v="RWD"/>
    <n v="5"/>
    <s v="Van"/>
    <n v="73.2"/>
    <n v="1620"/>
    <n v="4"/>
    <n v="0"/>
    <x v="2"/>
    <x v="1"/>
    <n v="60684"/>
    <n v="3.4"/>
    <n v="4"/>
    <x v="2"/>
    <n v="3.37"/>
    <s v="High"/>
  </r>
  <r>
    <x v="4"/>
    <s v="Model S"/>
    <x v="2"/>
    <s v="Base"/>
    <n v="29639.14"/>
    <n v="52.4"/>
    <n v="164"/>
    <n v="300.89999999999998"/>
    <n v="5.41"/>
    <n v="171"/>
    <n v="157"/>
    <n v="200"/>
    <s v="AWD"/>
    <n v="7"/>
    <s v="SUV"/>
    <n v="51.3"/>
    <n v="2004"/>
    <n v="4"/>
    <n v="2"/>
    <x v="2"/>
    <x v="3"/>
    <n v="195341"/>
    <n v="3.4"/>
    <n v="4"/>
    <x v="1"/>
    <n v="3.13"/>
    <s v="High"/>
  </r>
  <r>
    <x v="4"/>
    <s v="Cybertruck"/>
    <x v="3"/>
    <s v="Premium"/>
    <n v="81977.77"/>
    <n v="68.400000000000006"/>
    <n v="192"/>
    <n v="348.5"/>
    <n v="6.51"/>
    <n v="155"/>
    <n v="587"/>
    <n v="518"/>
    <s v="RWD"/>
    <n v="7"/>
    <s v="Truck"/>
    <n v="69"/>
    <n v="2412"/>
    <n v="5"/>
    <n v="2"/>
    <x v="2"/>
    <x v="2"/>
    <n v="146854"/>
    <n v="3.5"/>
    <n v="5"/>
    <x v="1"/>
    <n v="2.81"/>
    <s v="High"/>
  </r>
  <r>
    <x v="4"/>
    <s v="Model S"/>
    <x v="3"/>
    <s v="Performance"/>
    <n v="94641.12"/>
    <n v="111.8"/>
    <n v="362"/>
    <n v="284.2"/>
    <n v="3.02"/>
    <n v="200"/>
    <n v="630"/>
    <n v="538"/>
    <s v="RWD"/>
    <n v="7"/>
    <s v="SUV"/>
    <n v="65.900000000000006"/>
    <n v="2014"/>
    <n v="4"/>
    <n v="3"/>
    <x v="2"/>
    <x v="2"/>
    <n v="235320"/>
    <n v="4"/>
    <n v="6"/>
    <x v="0"/>
    <n v="3.24"/>
    <s v="High"/>
  </r>
  <r>
    <x v="10"/>
    <s v="i3"/>
    <x v="0"/>
    <s v="Long Range"/>
    <n v="113237.82"/>
    <n v="108.8"/>
    <n v="398"/>
    <n v="144.19999999999999"/>
    <n v="5.14"/>
    <n v="174"/>
    <n v="986"/>
    <n v="880"/>
    <s v="AWD"/>
    <n v="5"/>
    <s v="Hatchback"/>
    <n v="33.9"/>
    <n v="1537"/>
    <n v="4"/>
    <n v="1"/>
    <x v="0"/>
    <x v="0"/>
    <n v="31347"/>
    <n v="3.5"/>
    <n v="7"/>
    <x v="1"/>
    <n v="3.66"/>
    <s v="High"/>
  </r>
  <r>
    <x v="2"/>
    <s v="Bolt EV"/>
    <x v="2"/>
    <s v="Long Range"/>
    <n v="41353.279999999999"/>
    <n v="81.8"/>
    <n v="274"/>
    <n v="67.3"/>
    <n v="4.7"/>
    <n v="178"/>
    <n v="452"/>
    <n v="383"/>
    <s v="AWD"/>
    <n v="7"/>
    <s v="Truck"/>
    <n v="59.3"/>
    <n v="2412"/>
    <n v="4"/>
    <n v="0"/>
    <x v="2"/>
    <x v="1"/>
    <n v="28209"/>
    <n v="3.6"/>
    <n v="4"/>
    <x v="1"/>
    <n v="3.35"/>
    <s v="High"/>
  </r>
  <r>
    <x v="4"/>
    <s v="Model Y"/>
    <x v="4"/>
    <s v="Standard"/>
    <n v="116565.3"/>
    <n v="80.7"/>
    <n v="282"/>
    <n v="329.9"/>
    <n v="7.85"/>
    <n v="136"/>
    <n v="823"/>
    <n v="688"/>
    <s v="RWD"/>
    <n v="5"/>
    <s v="Sedan"/>
    <n v="34.700000000000003"/>
    <n v="1669"/>
    <n v="5"/>
    <n v="2"/>
    <x v="2"/>
    <x v="0"/>
    <n v="458264"/>
    <n v="4"/>
    <n v="6"/>
    <x v="2"/>
    <n v="3.49"/>
    <s v="High"/>
  </r>
  <r>
    <x v="12"/>
    <s v="EC6"/>
    <x v="3"/>
    <s v="Standard"/>
    <n v="73079.97"/>
    <n v="50.5"/>
    <n v="174"/>
    <n v="50.9"/>
    <n v="6.59"/>
    <n v="143"/>
    <n v="606"/>
    <n v="548"/>
    <s v="RWD"/>
    <n v="7"/>
    <s v="Coupe"/>
    <n v="25.4"/>
    <n v="1732"/>
    <n v="4"/>
    <n v="1"/>
    <x v="4"/>
    <x v="2"/>
    <n v="11643"/>
    <n v="3"/>
    <n v="4"/>
    <x v="1"/>
    <n v="3.45"/>
    <s v="Medium"/>
  </r>
  <r>
    <x v="4"/>
    <s v="Model S"/>
    <x v="3"/>
    <s v="Base"/>
    <n v="106992.78"/>
    <n v="50.9"/>
    <n v="162"/>
    <n v="212.5"/>
    <n v="6.34"/>
    <n v="152"/>
    <n v="809"/>
    <n v="752"/>
    <s v="FWD"/>
    <n v="5"/>
    <s v="Coupe"/>
    <n v="19.8"/>
    <n v="1727"/>
    <n v="5"/>
    <n v="3"/>
    <x v="2"/>
    <x v="0"/>
    <n v="178229"/>
    <n v="3.6"/>
    <n v="5"/>
    <x v="1"/>
    <n v="3.18"/>
    <s v="High"/>
  </r>
  <r>
    <x v="3"/>
    <s v="Niro EV"/>
    <x v="2"/>
    <s v="Standard"/>
    <n v="42318.559999999998"/>
    <n v="40.5"/>
    <n v="150"/>
    <n v="56"/>
    <n v="6.46"/>
    <n v="164"/>
    <n v="383"/>
    <n v="312"/>
    <s v="FWD"/>
    <n v="5"/>
    <s v="Van"/>
    <n v="64.7"/>
    <n v="1500"/>
    <n v="5"/>
    <n v="0"/>
    <x v="3"/>
    <x v="1"/>
    <n v="90341"/>
    <n v="3.4"/>
    <n v="4"/>
    <x v="1"/>
    <n v="3.7"/>
    <s v="High"/>
  </r>
  <r>
    <x v="2"/>
    <s v="Bolt EUV"/>
    <x v="3"/>
    <s v="Long Range"/>
    <n v="51965.01"/>
    <n v="75.8"/>
    <n v="297"/>
    <n v="72.8"/>
    <n v="5.09"/>
    <n v="177"/>
    <n v="565"/>
    <n v="508"/>
    <s v="AWD"/>
    <n v="5"/>
    <s v="Coupe"/>
    <n v="21.8"/>
    <n v="1582"/>
    <n v="5"/>
    <n v="2"/>
    <x v="2"/>
    <x v="1"/>
    <n v="28326"/>
    <n v="3.7"/>
    <n v="5"/>
    <x v="1"/>
    <n v="3.92"/>
    <s v="High"/>
  </r>
  <r>
    <x v="5"/>
    <s v="EQC"/>
    <x v="3"/>
    <s v="Long Range"/>
    <n v="136371.95000000001"/>
    <n v="98.8"/>
    <n v="323"/>
    <n v="56.3"/>
    <n v="4.7699999999999996"/>
    <n v="180"/>
    <n v="834"/>
    <n v="747"/>
    <s v="AWD"/>
    <n v="7"/>
    <s v="Coupe"/>
    <n v="26.2"/>
    <n v="1500"/>
    <n v="4"/>
    <n v="1"/>
    <x v="0"/>
    <x v="0"/>
    <n v="34019"/>
    <n v="4.3"/>
    <n v="6"/>
    <x v="1"/>
    <n v="3.27"/>
    <s v="High"/>
  </r>
  <r>
    <x v="2"/>
    <s v="Equinox EV"/>
    <x v="0"/>
    <s v="Long Range"/>
    <n v="53068.74"/>
    <n v="78.7"/>
    <n v="273"/>
    <n v="148"/>
    <n v="4.7"/>
    <n v="184"/>
    <n v="620"/>
    <n v="579"/>
    <s v="AWD"/>
    <n v="5"/>
    <s v="SUV"/>
    <n v="56.2"/>
    <n v="1900"/>
    <n v="5"/>
    <n v="0"/>
    <x v="2"/>
    <x v="1"/>
    <n v="9605"/>
    <n v="3.3"/>
    <n v="5"/>
    <x v="1"/>
    <n v="3.47"/>
    <s v="Medium"/>
  </r>
  <r>
    <x v="9"/>
    <s v="Explorer EV"/>
    <x v="3"/>
    <s v="Base"/>
    <n v="45556.75"/>
    <n v="57.9"/>
    <n v="221"/>
    <n v="91.5"/>
    <n v="6.36"/>
    <n v="153"/>
    <n v="387"/>
    <n v="360"/>
    <s v="AWD"/>
    <n v="5"/>
    <s v="Coupe"/>
    <n v="40"/>
    <n v="1500"/>
    <n v="5"/>
    <n v="1"/>
    <x v="2"/>
    <x v="1"/>
    <n v="46977"/>
    <n v="3.3"/>
    <n v="5"/>
    <x v="1"/>
    <n v="3.82"/>
    <s v="High"/>
  </r>
  <r>
    <x v="7"/>
    <s v="Qin"/>
    <x v="1"/>
    <s v="Base"/>
    <n v="24219.14"/>
    <n v="71.400000000000006"/>
    <n v="265"/>
    <n v="147.19999999999999"/>
    <n v="5.13"/>
    <n v="170"/>
    <n v="267"/>
    <n v="228"/>
    <s v="FWD"/>
    <n v="7"/>
    <s v="Coupe"/>
    <n v="31.1"/>
    <n v="1500"/>
    <n v="4"/>
    <n v="0"/>
    <x v="4"/>
    <x v="3"/>
    <n v="166519"/>
    <n v="3.3"/>
    <n v="4"/>
    <x v="1"/>
    <n v="3.71"/>
    <s v="High"/>
  </r>
  <r>
    <x v="9"/>
    <s v="E-Transit"/>
    <x v="6"/>
    <s v="Standard"/>
    <n v="62155.3"/>
    <n v="60.7"/>
    <n v="186"/>
    <n v="139"/>
    <n v="6.68"/>
    <n v="161"/>
    <n v="665"/>
    <n v="623"/>
    <s v="AWD"/>
    <n v="5"/>
    <s v="Van"/>
    <n v="70.599999999999994"/>
    <n v="1500"/>
    <n v="5"/>
    <n v="1"/>
    <x v="2"/>
    <x v="1"/>
    <n v="60595"/>
    <n v="3.4"/>
    <n v="4"/>
    <x v="1"/>
    <n v="3.06"/>
    <s v="High"/>
  </r>
  <r>
    <x v="4"/>
    <s v="Model Y"/>
    <x v="2"/>
    <s v="Performance"/>
    <n v="162214.07999999999"/>
    <n v="80.599999999999994"/>
    <n v="269"/>
    <n v="202.5"/>
    <n v="2.82"/>
    <n v="200"/>
    <n v="1000"/>
    <n v="892"/>
    <s v="AWD"/>
    <n v="7"/>
    <s v="Hatchback"/>
    <n v="32.200000000000003"/>
    <n v="1852"/>
    <n v="5"/>
    <n v="2"/>
    <x v="2"/>
    <x v="0"/>
    <n v="443580"/>
    <n v="3.8"/>
    <n v="6"/>
    <x v="0"/>
    <n v="3.34"/>
    <s v="High"/>
  </r>
  <r>
    <x v="11"/>
    <s v="Q4 e-tron"/>
    <x v="0"/>
    <s v="Base"/>
    <n v="76292.22"/>
    <n v="51.4"/>
    <n v="180"/>
    <n v="50.9"/>
    <n v="5.28"/>
    <n v="174"/>
    <n v="435"/>
    <n v="384"/>
    <s v="RWD"/>
    <n v="7"/>
    <s v="Truck"/>
    <n v="77.7"/>
    <n v="2642"/>
    <n v="5"/>
    <n v="2"/>
    <x v="0"/>
    <x v="2"/>
    <n v="57167"/>
    <n v="3.3"/>
    <n v="8"/>
    <x v="1"/>
    <n v="3.5"/>
    <s v="High"/>
  </r>
  <r>
    <x v="3"/>
    <s v="EV9"/>
    <x v="6"/>
    <s v="Long Range"/>
    <n v="70023.960000000006"/>
    <n v="107.3"/>
    <n v="379"/>
    <n v="50.8"/>
    <n v="4.21"/>
    <n v="190"/>
    <n v="776"/>
    <n v="677"/>
    <s v="FWD"/>
    <n v="5"/>
    <s v="SUV"/>
    <n v="45.1"/>
    <n v="2118"/>
    <n v="5"/>
    <n v="0"/>
    <x v="3"/>
    <x v="2"/>
    <n v="63318"/>
    <n v="3.7"/>
    <n v="4"/>
    <x v="1"/>
    <n v="3.53"/>
    <s v="High"/>
  </r>
  <r>
    <x v="9"/>
    <s v="Explorer EV"/>
    <x v="5"/>
    <s v="Base"/>
    <n v="61243.81"/>
    <n v="76.7"/>
    <n v="281"/>
    <n v="98.6"/>
    <n v="5.96"/>
    <n v="163"/>
    <n v="647"/>
    <n v="644"/>
    <s v="RWD"/>
    <n v="7"/>
    <s v="Sedan"/>
    <n v="39.799999999999997"/>
    <n v="1714"/>
    <n v="4"/>
    <n v="0"/>
    <x v="2"/>
    <x v="1"/>
    <n v="57282"/>
    <n v="3.5"/>
    <n v="4"/>
    <x v="1"/>
    <n v="3.66"/>
    <s v="High"/>
  </r>
  <r>
    <x v="0"/>
    <s v="ID. Buzz"/>
    <x v="2"/>
    <s v="Performance"/>
    <n v="60928.37"/>
    <n v="119.9"/>
    <n v="406"/>
    <n v="157.6"/>
    <n v="3.7"/>
    <n v="200"/>
    <n v="633"/>
    <n v="585"/>
    <s v="AWD"/>
    <n v="7"/>
    <s v="Truck"/>
    <n v="58.9"/>
    <n v="2556"/>
    <n v="5"/>
    <n v="1"/>
    <x v="0"/>
    <x v="1"/>
    <n v="257710"/>
    <n v="3.6"/>
    <n v="3"/>
    <x v="0"/>
    <n v="3.39"/>
    <s v="High"/>
  </r>
  <r>
    <x v="10"/>
    <s v="i3"/>
    <x v="4"/>
    <s v="Premium"/>
    <n v="119496.22"/>
    <n v="73.8"/>
    <n v="254"/>
    <n v="88.4"/>
    <n v="7.75"/>
    <n v="133"/>
    <n v="1000"/>
    <n v="915"/>
    <s v="AWD"/>
    <n v="5"/>
    <s v="Van"/>
    <n v="73.900000000000006"/>
    <n v="1533"/>
    <n v="5"/>
    <n v="1"/>
    <x v="0"/>
    <x v="0"/>
    <n v="47944"/>
    <n v="3.4"/>
    <n v="6"/>
    <x v="2"/>
    <n v="3.44"/>
    <s v="High"/>
  </r>
  <r>
    <x v="8"/>
    <s v="i30"/>
    <x v="3"/>
    <s v="Standard"/>
    <n v="66375.02"/>
    <n v="59.8"/>
    <n v="232"/>
    <n v="84.1"/>
    <n v="7.25"/>
    <n v="143"/>
    <n v="741"/>
    <n v="638"/>
    <s v="FWD"/>
    <n v="7"/>
    <s v="Coupe"/>
    <n v="21.5"/>
    <n v="1500"/>
    <n v="4"/>
    <n v="0"/>
    <x v="3"/>
    <x v="2"/>
    <n v="125248"/>
    <n v="3.2"/>
    <n v="3"/>
    <x v="2"/>
    <n v="3.88"/>
    <s v="High"/>
  </r>
  <r>
    <x v="2"/>
    <s v="Bolt EUV"/>
    <x v="3"/>
    <s v="Performance"/>
    <n v="68553.58"/>
    <n v="80.599999999999994"/>
    <n v="282"/>
    <n v="184.7"/>
    <n v="3.59"/>
    <n v="193"/>
    <n v="978"/>
    <n v="870"/>
    <s v="FWD"/>
    <n v="5"/>
    <s v="SUV"/>
    <n v="36.5"/>
    <n v="2177"/>
    <n v="5"/>
    <n v="0"/>
    <x v="2"/>
    <x v="2"/>
    <n v="27343"/>
    <n v="3.6"/>
    <n v="4"/>
    <x v="0"/>
    <n v="3.5"/>
    <s v="High"/>
  </r>
  <r>
    <x v="4"/>
    <s v="Cybertruck"/>
    <x v="5"/>
    <s v="Standard"/>
    <n v="80796.91"/>
    <n v="64.599999999999994"/>
    <n v="239"/>
    <n v="287.60000000000002"/>
    <n v="6.99"/>
    <n v="148"/>
    <n v="622"/>
    <n v="531"/>
    <s v="RWD"/>
    <n v="7"/>
    <s v="Truck"/>
    <n v="60.2"/>
    <n v="2600"/>
    <n v="4"/>
    <n v="2"/>
    <x v="2"/>
    <x v="2"/>
    <n v="212130"/>
    <n v="3.7"/>
    <n v="4"/>
    <x v="1"/>
    <n v="3.7"/>
    <s v="High"/>
  </r>
  <r>
    <x v="4"/>
    <s v="Model Y"/>
    <x v="4"/>
    <s v="Base"/>
    <n v="59816.02"/>
    <n v="58.9"/>
    <n v="204"/>
    <n v="321.10000000000002"/>
    <n v="5.9"/>
    <n v="157"/>
    <n v="431"/>
    <n v="386"/>
    <s v="AWD"/>
    <n v="5"/>
    <s v="Van"/>
    <n v="63"/>
    <n v="1500"/>
    <n v="4"/>
    <n v="3"/>
    <x v="2"/>
    <x v="1"/>
    <n v="446207"/>
    <n v="3.7"/>
    <n v="6"/>
    <x v="1"/>
    <n v="3.46"/>
    <s v="High"/>
  </r>
  <r>
    <x v="7"/>
    <s v="Seagull"/>
    <x v="6"/>
    <s v="Performance"/>
    <n v="61584.07"/>
    <n v="117"/>
    <n v="409"/>
    <n v="225.5"/>
    <n v="3.84"/>
    <n v="196"/>
    <n v="687"/>
    <n v="636"/>
    <s v="AWD"/>
    <n v="5"/>
    <s v="Sedan"/>
    <n v="28.7"/>
    <n v="1600"/>
    <n v="5"/>
    <n v="0"/>
    <x v="4"/>
    <x v="1"/>
    <n v="190643"/>
    <n v="3.9"/>
    <n v="5"/>
    <x v="0"/>
    <n v="3.5"/>
    <s v="High"/>
  </r>
  <r>
    <x v="4"/>
    <s v="Model X"/>
    <x v="2"/>
    <s v="Base"/>
    <n v="99143.24"/>
    <n v="56.5"/>
    <n v="200"/>
    <n v="325.2"/>
    <n v="6.99"/>
    <n v="142"/>
    <n v="685"/>
    <n v="610"/>
    <s v="RWD"/>
    <n v="5"/>
    <s v="Coupe"/>
    <n v="26.4"/>
    <n v="1638"/>
    <n v="3"/>
    <n v="2"/>
    <x v="2"/>
    <x v="2"/>
    <n v="177987"/>
    <n v="3.6"/>
    <n v="6"/>
    <x v="1"/>
    <n v="3.54"/>
    <s v="High"/>
  </r>
  <r>
    <x v="5"/>
    <s v="EQS"/>
    <x v="0"/>
    <s v="Base"/>
    <n v="129584.74"/>
    <n v="64.2"/>
    <n v="260"/>
    <n v="81.2"/>
    <n v="7.72"/>
    <n v="126"/>
    <n v="788"/>
    <n v="737"/>
    <s v="FWD"/>
    <n v="7"/>
    <s v="Hatchback"/>
    <n v="30.6"/>
    <n v="1739"/>
    <n v="5"/>
    <n v="1"/>
    <x v="0"/>
    <x v="0"/>
    <n v="24901"/>
    <n v="3.8"/>
    <n v="6"/>
    <x v="2"/>
    <n v="4.05"/>
    <s v="High"/>
  </r>
  <r>
    <x v="7"/>
    <s v="Seagull"/>
    <x v="4"/>
    <s v="Performance"/>
    <n v="99786.36"/>
    <n v="108.9"/>
    <n v="369"/>
    <n v="206.4"/>
    <n v="3.23"/>
    <n v="200"/>
    <n v="1000"/>
    <n v="861"/>
    <s v="AWD"/>
    <n v="5"/>
    <s v="Sedan"/>
    <n v="32.5"/>
    <n v="1675"/>
    <n v="5"/>
    <n v="0"/>
    <x v="4"/>
    <x v="2"/>
    <n v="126447"/>
    <n v="3.9"/>
    <n v="3"/>
    <x v="0"/>
    <n v="3.39"/>
    <s v="High"/>
  </r>
  <r>
    <x v="16"/>
    <s v="Air"/>
    <x v="5"/>
    <s v="Base"/>
    <n v="137880.07999999999"/>
    <n v="41.3"/>
    <n v="150"/>
    <n v="291"/>
    <n v="7.96"/>
    <n v="127"/>
    <n v="488"/>
    <n v="458"/>
    <s v="FWD"/>
    <n v="7"/>
    <s v="Truck"/>
    <n v="53.2"/>
    <n v="2482"/>
    <n v="5"/>
    <n v="1"/>
    <x v="2"/>
    <x v="0"/>
    <n v="21377"/>
    <n v="3.2"/>
    <n v="5"/>
    <x v="2"/>
    <n v="3.63"/>
    <s v="High"/>
  </r>
  <r>
    <x v="7"/>
    <s v="Seagull"/>
    <x v="3"/>
    <s v="Long Range"/>
    <n v="57737.75"/>
    <n v="106.1"/>
    <n v="383"/>
    <n v="148.9"/>
    <n v="4.2300000000000004"/>
    <n v="189"/>
    <n v="660"/>
    <n v="579"/>
    <s v="AWD"/>
    <n v="5"/>
    <s v="Coupe"/>
    <n v="34.200000000000003"/>
    <n v="1878"/>
    <n v="4"/>
    <n v="2"/>
    <x v="4"/>
    <x v="1"/>
    <n v="108943"/>
    <n v="4.0999999999999996"/>
    <n v="4"/>
    <x v="1"/>
    <n v="3.61"/>
    <s v="High"/>
  </r>
  <r>
    <x v="4"/>
    <s v="Model Y"/>
    <x v="0"/>
    <s v="Base"/>
    <n v="112472.41"/>
    <n v="74.3"/>
    <n v="238"/>
    <n v="263.8"/>
    <n v="7.32"/>
    <n v="142"/>
    <n v="800"/>
    <n v="741"/>
    <s v="FWD"/>
    <n v="5"/>
    <s v="Van"/>
    <n v="63.4"/>
    <n v="1500"/>
    <n v="5"/>
    <n v="3"/>
    <x v="2"/>
    <x v="0"/>
    <n v="485203"/>
    <n v="3.7"/>
    <n v="4"/>
    <x v="2"/>
    <n v="3.2"/>
    <s v="High"/>
  </r>
  <r>
    <x v="9"/>
    <s v="E-Transit"/>
    <x v="3"/>
    <s v="Long Range"/>
    <n v="54602.2"/>
    <n v="96"/>
    <n v="344"/>
    <n v="102.3"/>
    <n v="4.45"/>
    <n v="181"/>
    <n v="560"/>
    <n v="508"/>
    <s v="AWD"/>
    <n v="5"/>
    <s v="Van"/>
    <n v="61.8"/>
    <n v="1886"/>
    <n v="3"/>
    <n v="1"/>
    <x v="2"/>
    <x v="1"/>
    <n v="50891"/>
    <n v="3.5"/>
    <n v="4"/>
    <x v="1"/>
    <n v="3.58"/>
    <s v="High"/>
  </r>
  <r>
    <x v="10"/>
    <s v="iX"/>
    <x v="4"/>
    <s v="Long Range"/>
    <n v="86702.14"/>
    <n v="97.3"/>
    <n v="331"/>
    <n v="69.099999999999994"/>
    <n v="5.0199999999999996"/>
    <n v="176"/>
    <n v="662"/>
    <n v="609"/>
    <s v="RWD"/>
    <n v="5"/>
    <s v="SUV"/>
    <n v="63.9"/>
    <n v="2095"/>
    <n v="3"/>
    <n v="2"/>
    <x v="0"/>
    <x v="2"/>
    <n v="40089"/>
    <n v="3.7"/>
    <n v="7"/>
    <x v="1"/>
    <n v="3.4"/>
    <s v="High"/>
  </r>
  <r>
    <x v="8"/>
    <s v="Ioniq 5"/>
    <x v="0"/>
    <s v="Performance"/>
    <n v="107017.27"/>
    <n v="75.2"/>
    <n v="259"/>
    <n v="223.3"/>
    <n v="4.08"/>
    <n v="184"/>
    <n v="1000"/>
    <n v="920"/>
    <s v="RWD"/>
    <n v="5"/>
    <s v="SUV"/>
    <n v="60.4"/>
    <n v="2285"/>
    <n v="5"/>
    <n v="0"/>
    <x v="3"/>
    <x v="0"/>
    <n v="67872"/>
    <n v="3.4"/>
    <n v="4"/>
    <x v="1"/>
    <n v="3.44"/>
    <s v="High"/>
  </r>
  <r>
    <x v="3"/>
    <s v="Sportage EV"/>
    <x v="3"/>
    <s v="Long Range"/>
    <n v="76787.3"/>
    <n v="75.400000000000006"/>
    <n v="275"/>
    <n v="121.5"/>
    <n v="5.81"/>
    <n v="171"/>
    <n v="887"/>
    <n v="779"/>
    <s v="RWD"/>
    <n v="5"/>
    <s v="SUV"/>
    <n v="60.2"/>
    <n v="2168"/>
    <n v="4"/>
    <n v="0"/>
    <x v="3"/>
    <x v="2"/>
    <n v="116634"/>
    <n v="3.7"/>
    <n v="3"/>
    <x v="1"/>
    <n v="3.65"/>
    <s v="High"/>
  </r>
  <r>
    <x v="2"/>
    <s v="Bolt EUV"/>
    <x v="2"/>
    <s v="Long Range"/>
    <n v="54182.3"/>
    <n v="85.5"/>
    <n v="299"/>
    <n v="106.1"/>
    <n v="5.9"/>
    <n v="165"/>
    <n v="666"/>
    <n v="603"/>
    <s v="AWD"/>
    <n v="7"/>
    <s v="Truck"/>
    <n v="59.3"/>
    <n v="2617"/>
    <n v="4"/>
    <n v="0"/>
    <x v="2"/>
    <x v="1"/>
    <n v="4380"/>
    <n v="3.5"/>
    <n v="4"/>
    <x v="1"/>
    <n v="3.5"/>
    <s v="Low"/>
  </r>
  <r>
    <x v="7"/>
    <s v="Dolphin"/>
    <x v="1"/>
    <s v="Long Range"/>
    <n v="43671.62"/>
    <n v="95.1"/>
    <n v="328"/>
    <n v="90.4"/>
    <n v="4.97"/>
    <n v="173"/>
    <n v="517"/>
    <n v="391"/>
    <s v="AWD"/>
    <n v="7"/>
    <s v="Coupe"/>
    <n v="21.4"/>
    <n v="1500"/>
    <n v="3"/>
    <n v="0"/>
    <x v="4"/>
    <x v="1"/>
    <n v="203792"/>
    <n v="3.5"/>
    <n v="3"/>
    <x v="1"/>
    <n v="3.45"/>
    <s v="High"/>
  </r>
  <r>
    <x v="18"/>
    <s v="SU7"/>
    <x v="3"/>
    <s v="Premium"/>
    <n v="55513.599999999999"/>
    <n v="48.7"/>
    <n v="150"/>
    <n v="126.5"/>
    <n v="5.94"/>
    <n v="162"/>
    <n v="434"/>
    <n v="369"/>
    <s v="AWD"/>
    <n v="5"/>
    <s v="Sedan"/>
    <n v="21"/>
    <n v="1521"/>
    <n v="4"/>
    <n v="0"/>
    <x v="4"/>
    <x v="1"/>
    <n v="22327"/>
    <n v="3.3"/>
    <n v="4"/>
    <x v="1"/>
    <n v="3.08"/>
    <s v="High"/>
  </r>
  <r>
    <x v="16"/>
    <s v="Air"/>
    <x v="2"/>
    <s v="Premium"/>
    <n v="269775.2"/>
    <n v="76.3"/>
    <n v="276"/>
    <n v="262.39999999999998"/>
    <n v="5.1100000000000003"/>
    <n v="163"/>
    <n v="1000"/>
    <n v="928"/>
    <s v="AWD"/>
    <n v="7"/>
    <s v="Hatchback"/>
    <n v="16.600000000000001"/>
    <n v="1560"/>
    <n v="4"/>
    <n v="1"/>
    <x v="2"/>
    <x v="0"/>
    <n v="4056"/>
    <n v="3.3"/>
    <n v="4"/>
    <x v="1"/>
    <n v="3.62"/>
    <s v="Low"/>
  </r>
  <r>
    <x v="10"/>
    <s v="i7"/>
    <x v="5"/>
    <s v="Premium"/>
    <n v="125637.29"/>
    <n v="67.5"/>
    <n v="240"/>
    <n v="56"/>
    <n v="7.12"/>
    <n v="151"/>
    <n v="1000"/>
    <n v="870"/>
    <s v="RWD"/>
    <n v="5"/>
    <s v="Hatchback"/>
    <n v="28.2"/>
    <n v="1713"/>
    <n v="5"/>
    <n v="2"/>
    <x v="0"/>
    <x v="0"/>
    <n v="47587"/>
    <n v="3.6"/>
    <n v="7"/>
    <x v="2"/>
    <n v="3.56"/>
    <s v="High"/>
  </r>
  <r>
    <x v="4"/>
    <s v="Model 3"/>
    <x v="2"/>
    <s v="Premium"/>
    <n v="111275.22"/>
    <n v="82.9"/>
    <n v="291"/>
    <n v="207.4"/>
    <n v="5.18"/>
    <n v="171"/>
    <n v="794"/>
    <n v="685"/>
    <s v="AWD"/>
    <n v="5"/>
    <s v="SUV"/>
    <n v="62.4"/>
    <n v="1551"/>
    <n v="5"/>
    <n v="2"/>
    <x v="2"/>
    <x v="0"/>
    <n v="172863"/>
    <n v="3.9"/>
    <n v="5"/>
    <x v="1"/>
    <n v="3.51"/>
    <s v="High"/>
  </r>
  <r>
    <x v="10"/>
    <s v="i4"/>
    <x v="3"/>
    <s v="Base"/>
    <n v="84529.75"/>
    <n v="77.3"/>
    <n v="276"/>
    <n v="118.7"/>
    <n v="5.17"/>
    <n v="176"/>
    <n v="611"/>
    <n v="549"/>
    <s v="AWD"/>
    <n v="5"/>
    <s v="Hatchback"/>
    <n v="32.4"/>
    <n v="1644"/>
    <n v="4"/>
    <n v="2"/>
    <x v="0"/>
    <x v="2"/>
    <n v="25679"/>
    <n v="3.7"/>
    <n v="7"/>
    <x v="1"/>
    <n v="3.57"/>
    <s v="High"/>
  </r>
  <r>
    <x v="4"/>
    <s v="Model S"/>
    <x v="3"/>
    <s v="Base"/>
    <n v="97308.1"/>
    <n v="56.4"/>
    <n v="188"/>
    <n v="210"/>
    <n v="7.16"/>
    <n v="153"/>
    <n v="714"/>
    <n v="652"/>
    <s v="FWD"/>
    <n v="7"/>
    <s v="SUV"/>
    <n v="41.8"/>
    <n v="2139"/>
    <n v="4"/>
    <n v="2"/>
    <x v="2"/>
    <x v="2"/>
    <n v="239872"/>
    <n v="3.7"/>
    <n v="5"/>
    <x v="2"/>
    <n v="3.33"/>
    <s v="High"/>
  </r>
  <r>
    <x v="4"/>
    <s v="Model X"/>
    <x v="3"/>
    <s v="Premium"/>
    <n v="35653.980000000003"/>
    <n v="52"/>
    <n v="162"/>
    <n v="274.8"/>
    <n v="6.58"/>
    <n v="146"/>
    <n v="182"/>
    <n v="200"/>
    <s v="FWD"/>
    <n v="5"/>
    <s v="Truck"/>
    <n v="60"/>
    <n v="2311"/>
    <n v="4"/>
    <n v="2"/>
    <x v="2"/>
    <x v="1"/>
    <n v="228295"/>
    <n v="3.6"/>
    <n v="4"/>
    <x v="1"/>
    <n v="3.12"/>
    <s v="High"/>
  </r>
  <r>
    <x v="7"/>
    <s v="Leaf 50X"/>
    <x v="5"/>
    <s v="Long Range"/>
    <n v="101979.86"/>
    <n v="105.4"/>
    <n v="376"/>
    <n v="140.19999999999999"/>
    <n v="4.62"/>
    <n v="183"/>
    <n v="1000"/>
    <n v="924"/>
    <s v="FWD"/>
    <n v="5"/>
    <s v="Van"/>
    <n v="74.5"/>
    <n v="1500"/>
    <n v="4"/>
    <n v="0"/>
    <x v="4"/>
    <x v="0"/>
    <n v="128300"/>
    <n v="4"/>
    <n v="5"/>
    <x v="1"/>
    <n v="3.57"/>
    <s v="High"/>
  </r>
  <r>
    <x v="8"/>
    <s v="Ioniq 6"/>
    <x v="3"/>
    <s v="Long Range"/>
    <n v="80040.399999999994"/>
    <n v="81.099999999999994"/>
    <n v="284"/>
    <n v="105.4"/>
    <n v="4.38"/>
    <n v="181"/>
    <n v="1000"/>
    <n v="895"/>
    <s v="AWD"/>
    <n v="5"/>
    <s v="Truck"/>
    <n v="59.1"/>
    <n v="2281"/>
    <n v="5"/>
    <n v="0"/>
    <x v="3"/>
    <x v="2"/>
    <n v="146157"/>
    <n v="3.7"/>
    <n v="4"/>
    <x v="1"/>
    <n v="3.5"/>
    <s v="High"/>
  </r>
  <r>
    <x v="5"/>
    <s v="GLE EV"/>
    <x v="5"/>
    <s v="Performance"/>
    <n v="104553.67"/>
    <n v="111.7"/>
    <n v="412"/>
    <n v="187.5"/>
    <n v="3.3"/>
    <n v="192"/>
    <n v="554"/>
    <n v="463"/>
    <s v="FWD"/>
    <n v="5"/>
    <s v="Hatchback"/>
    <n v="25.3"/>
    <n v="1664"/>
    <n v="4"/>
    <n v="1"/>
    <x v="0"/>
    <x v="0"/>
    <n v="68955"/>
    <n v="4.4000000000000004"/>
    <n v="7"/>
    <x v="0"/>
    <n v="3.69"/>
    <s v="High"/>
  </r>
  <r>
    <x v="2"/>
    <s v="Equinox EV"/>
    <x v="0"/>
    <s v="Long Range"/>
    <n v="65559.399999999994"/>
    <n v="97.3"/>
    <n v="331"/>
    <n v="105"/>
    <n v="5.0199999999999996"/>
    <n v="177"/>
    <n v="844"/>
    <n v="702"/>
    <s v="FWD"/>
    <n v="5"/>
    <s v="SUV"/>
    <n v="45.3"/>
    <n v="1966"/>
    <n v="4"/>
    <n v="1"/>
    <x v="2"/>
    <x v="2"/>
    <n v="6658"/>
    <n v="3.7"/>
    <n v="4"/>
    <x v="1"/>
    <n v="3.4"/>
    <s v="Medium"/>
  </r>
  <r>
    <x v="2"/>
    <s v="Equinox EV"/>
    <x v="3"/>
    <s v="Base"/>
    <n v="64750.83"/>
    <n v="60.4"/>
    <n v="230"/>
    <n v="72.2"/>
    <n v="7.58"/>
    <n v="137"/>
    <n v="899"/>
    <n v="829"/>
    <s v="AWD"/>
    <n v="7"/>
    <s v="SUV"/>
    <n v="45.9"/>
    <n v="2008"/>
    <n v="4"/>
    <n v="2"/>
    <x v="2"/>
    <x v="1"/>
    <n v="23069"/>
    <n v="3.6"/>
    <n v="5"/>
    <x v="2"/>
    <n v="3.81"/>
    <s v="High"/>
  </r>
  <r>
    <x v="0"/>
    <s v="ID.3"/>
    <x v="0"/>
    <s v="Standard"/>
    <n v="32332.16"/>
    <n v="53.1"/>
    <n v="184"/>
    <n v="146.1"/>
    <n v="5.64"/>
    <n v="170"/>
    <n v="169"/>
    <n v="200"/>
    <s v="RWD"/>
    <n v="5"/>
    <s v="Hatchback"/>
    <n v="22.5"/>
    <n v="1596"/>
    <n v="5"/>
    <n v="1"/>
    <x v="0"/>
    <x v="3"/>
    <n v="283336"/>
    <n v="3.5"/>
    <n v="3"/>
    <x v="1"/>
    <n v="3.47"/>
    <s v="High"/>
  </r>
  <r>
    <x v="7"/>
    <s v="Qin"/>
    <x v="5"/>
    <s v="Performance"/>
    <n v="112008.03"/>
    <n v="112.5"/>
    <n v="389"/>
    <n v="190.5"/>
    <n v="3.29"/>
    <n v="200"/>
    <n v="1000"/>
    <n v="897"/>
    <s v="RWD"/>
    <n v="7"/>
    <s v="SUV"/>
    <n v="38.6"/>
    <n v="2173"/>
    <n v="3"/>
    <n v="0"/>
    <x v="4"/>
    <x v="0"/>
    <n v="201649"/>
    <n v="3.6"/>
    <n v="5"/>
    <x v="0"/>
    <n v="3.46"/>
    <s v="High"/>
  </r>
  <r>
    <x v="0"/>
    <s v="ID. Buzz"/>
    <x v="0"/>
    <s v="Performance"/>
    <n v="114648.63"/>
    <n v="104.8"/>
    <n v="352"/>
    <n v="221.6"/>
    <n v="3.92"/>
    <n v="197"/>
    <n v="1000"/>
    <n v="934"/>
    <s v="RWD"/>
    <n v="7"/>
    <s v="SUV"/>
    <n v="35.700000000000003"/>
    <n v="2254"/>
    <n v="4"/>
    <n v="1"/>
    <x v="0"/>
    <x v="0"/>
    <n v="297615"/>
    <n v="3.7"/>
    <n v="4"/>
    <x v="0"/>
    <n v="3.36"/>
    <s v="High"/>
  </r>
  <r>
    <x v="14"/>
    <s v="Taycan"/>
    <x v="3"/>
    <s v="Premium"/>
    <n v="111303.96"/>
    <n v="67.099999999999994"/>
    <n v="242"/>
    <n v="317.89999999999998"/>
    <n v="7.4"/>
    <n v="145"/>
    <n v="387"/>
    <n v="369"/>
    <s v="RWD"/>
    <n v="7"/>
    <s v="Van"/>
    <n v="79"/>
    <n v="1500"/>
    <n v="5"/>
    <n v="1"/>
    <x v="0"/>
    <x v="0"/>
    <n v="5234"/>
    <n v="3.8"/>
    <n v="6"/>
    <x v="2"/>
    <n v="3.61"/>
    <s v="Medium"/>
  </r>
  <r>
    <x v="4"/>
    <s v="Model Y"/>
    <x v="4"/>
    <s v="Premium"/>
    <n v="60365.37"/>
    <n v="70.3"/>
    <n v="225"/>
    <n v="248"/>
    <n v="5.77"/>
    <n v="155"/>
    <n v="390"/>
    <n v="337"/>
    <s v="AWD"/>
    <n v="7"/>
    <s v="Sedan"/>
    <n v="17.399999999999999"/>
    <n v="1624"/>
    <n v="5"/>
    <n v="2"/>
    <x v="2"/>
    <x v="1"/>
    <n v="438670"/>
    <n v="3.7"/>
    <n v="4"/>
    <x v="1"/>
    <n v="3.2"/>
    <s v="High"/>
  </r>
  <r>
    <x v="5"/>
    <s v="EQE"/>
    <x v="3"/>
    <s v="Premium"/>
    <n v="198768.13"/>
    <n v="55.6"/>
    <n v="194"/>
    <n v="83.6"/>
    <n v="5.28"/>
    <n v="170"/>
    <n v="1000"/>
    <n v="936"/>
    <s v="RWD"/>
    <n v="5"/>
    <s v="SUV"/>
    <n v="66.5"/>
    <n v="2382"/>
    <n v="5"/>
    <n v="1"/>
    <x v="0"/>
    <x v="0"/>
    <n v="77200"/>
    <n v="3.7"/>
    <n v="6"/>
    <x v="1"/>
    <n v="3.49"/>
    <s v="High"/>
  </r>
  <r>
    <x v="3"/>
    <s v="Picanto EV"/>
    <x v="2"/>
    <s v="Standard"/>
    <n v="32564.1"/>
    <n v="46.2"/>
    <n v="180"/>
    <n v="117.7"/>
    <n v="6.66"/>
    <n v="156"/>
    <n v="221"/>
    <n v="217"/>
    <s v="FWD"/>
    <n v="5"/>
    <s v="Hatchback"/>
    <n v="20.8"/>
    <n v="1510"/>
    <n v="4"/>
    <n v="0"/>
    <x v="3"/>
    <x v="3"/>
    <n v="123543"/>
    <n v="3"/>
    <n v="3"/>
    <x v="1"/>
    <n v="3.9"/>
    <s v="High"/>
  </r>
  <r>
    <x v="0"/>
    <s v="ID. Buzz"/>
    <x v="3"/>
    <s v="Premium"/>
    <n v="116578.08"/>
    <n v="55.4"/>
    <n v="182"/>
    <n v="112.5"/>
    <n v="7.11"/>
    <n v="147"/>
    <n v="1000"/>
    <n v="920"/>
    <s v="RWD"/>
    <n v="5"/>
    <s v="Van"/>
    <n v="61.6"/>
    <n v="1580"/>
    <n v="3"/>
    <n v="2"/>
    <x v="0"/>
    <x v="0"/>
    <n v="202014"/>
    <n v="3.2"/>
    <n v="3"/>
    <x v="2"/>
    <n v="3.29"/>
    <s v="High"/>
  </r>
  <r>
    <x v="2"/>
    <s v="Bolt EV"/>
    <x v="1"/>
    <s v="Base"/>
    <n v="44453.56"/>
    <n v="69.7"/>
    <n v="242"/>
    <n v="54.4"/>
    <n v="7.29"/>
    <n v="145"/>
    <n v="498"/>
    <n v="426"/>
    <s v="FWD"/>
    <n v="5"/>
    <s v="Van"/>
    <n v="78"/>
    <n v="1500"/>
    <n v="5"/>
    <n v="1"/>
    <x v="2"/>
    <x v="1"/>
    <n v="19383"/>
    <n v="3.4"/>
    <n v="4"/>
    <x v="2"/>
    <n v="3.47"/>
    <s v="Medium"/>
  </r>
  <r>
    <x v="8"/>
    <s v="Ioniq"/>
    <x v="4"/>
    <s v="Standard"/>
    <n v="33847.360000000001"/>
    <n v="58.9"/>
    <n v="209"/>
    <n v="107.8"/>
    <n v="6.1"/>
    <n v="158"/>
    <n v="254"/>
    <n v="208"/>
    <s v="AWD"/>
    <n v="7"/>
    <s v="Sedan"/>
    <n v="37"/>
    <n v="1766"/>
    <n v="3"/>
    <n v="0"/>
    <x v="3"/>
    <x v="3"/>
    <n v="145242"/>
    <n v="3.3"/>
    <n v="3"/>
    <x v="1"/>
    <n v="3.55"/>
    <s v="High"/>
  </r>
  <r>
    <x v="11"/>
    <s v="Q6 e-tron"/>
    <x v="2"/>
    <s v="Base"/>
    <n v="51267.23"/>
    <n v="71.400000000000006"/>
    <n v="241"/>
    <n v="63.6"/>
    <n v="6"/>
    <n v="155"/>
    <n v="194"/>
    <n v="200"/>
    <s v="RWD"/>
    <n v="7"/>
    <s v="Sedan"/>
    <n v="32.4"/>
    <n v="1704"/>
    <n v="4"/>
    <n v="1"/>
    <x v="0"/>
    <x v="1"/>
    <n v="64472"/>
    <n v="3.5"/>
    <n v="6"/>
    <x v="1"/>
    <n v="3.38"/>
    <s v="High"/>
  </r>
  <r>
    <x v="11"/>
    <s v="e-tron"/>
    <x v="3"/>
    <s v="Standard"/>
    <n v="77807.960000000006"/>
    <n v="46.7"/>
    <n v="186"/>
    <n v="100.6"/>
    <n v="7.48"/>
    <n v="131"/>
    <n v="428"/>
    <n v="409"/>
    <s v="FWD"/>
    <n v="5"/>
    <s v="Van"/>
    <n v="70.099999999999994"/>
    <n v="1701"/>
    <n v="5"/>
    <n v="2"/>
    <x v="0"/>
    <x v="2"/>
    <n v="67104"/>
    <n v="3.1"/>
    <n v="5"/>
    <x v="2"/>
    <n v="3.98"/>
    <s v="High"/>
  </r>
  <r>
    <x v="0"/>
    <s v="ID.4"/>
    <x v="3"/>
    <s v="Base"/>
    <n v="78903.539999999994"/>
    <n v="67.099999999999994"/>
    <n v="237"/>
    <n v="95"/>
    <n v="5.41"/>
    <n v="169"/>
    <n v="869"/>
    <n v="785"/>
    <s v="FWD"/>
    <n v="7"/>
    <s v="Van"/>
    <n v="61.9"/>
    <n v="1553"/>
    <n v="5"/>
    <n v="0"/>
    <x v="0"/>
    <x v="2"/>
    <n v="283626"/>
    <n v="3.4"/>
    <n v="4"/>
    <x v="1"/>
    <n v="3.53"/>
    <s v="High"/>
  </r>
  <r>
    <x v="7"/>
    <s v="Leaf 50X"/>
    <x v="2"/>
    <s v="Long Range"/>
    <n v="75118.039999999994"/>
    <n v="88.3"/>
    <n v="325"/>
    <n v="84.8"/>
    <n v="4.1399999999999997"/>
    <n v="189"/>
    <n v="840"/>
    <n v="797"/>
    <s v="FWD"/>
    <n v="5"/>
    <s v="Sedan"/>
    <n v="32.200000000000003"/>
    <n v="1759"/>
    <n v="4"/>
    <n v="0"/>
    <x v="4"/>
    <x v="2"/>
    <n v="220772"/>
    <n v="3.7"/>
    <n v="3"/>
    <x v="1"/>
    <n v="3.68"/>
    <s v="High"/>
  </r>
  <r>
    <x v="3"/>
    <s v="EV9"/>
    <x v="0"/>
    <s v="Performance"/>
    <n v="76777.22"/>
    <n v="72.5"/>
    <n v="254"/>
    <n v="171.5"/>
    <n v="2.52"/>
    <n v="200"/>
    <n v="894"/>
    <n v="748"/>
    <s v="AWD"/>
    <n v="5"/>
    <s v="SUV"/>
    <n v="55.3"/>
    <n v="2179"/>
    <n v="4"/>
    <n v="0"/>
    <x v="3"/>
    <x v="2"/>
    <n v="99948"/>
    <n v="3.7"/>
    <n v="5"/>
    <x v="0"/>
    <n v="3.5"/>
    <s v="High"/>
  </r>
  <r>
    <x v="11"/>
    <s v="Q4 e-tron"/>
    <x v="3"/>
    <s v="Standard"/>
    <n v="119850.54"/>
    <n v="74.400000000000006"/>
    <n v="257"/>
    <n v="54.1"/>
    <n v="6.24"/>
    <n v="160"/>
    <n v="936"/>
    <n v="892"/>
    <s v="RWD"/>
    <n v="5"/>
    <s v="Sedan"/>
    <n v="28.1"/>
    <n v="1635"/>
    <n v="5"/>
    <n v="2"/>
    <x v="0"/>
    <x v="0"/>
    <n v="48973"/>
    <n v="3.7"/>
    <n v="6"/>
    <x v="1"/>
    <n v="3.45"/>
    <s v="High"/>
  </r>
  <r>
    <x v="7"/>
    <s v="Atto 3"/>
    <x v="3"/>
    <s v="Premium"/>
    <n v="45553.77"/>
    <n v="71.900000000000006"/>
    <n v="240"/>
    <n v="73.900000000000006"/>
    <n v="7.84"/>
    <n v="134"/>
    <n v="460"/>
    <n v="455"/>
    <s v="AWD"/>
    <n v="5"/>
    <s v="SUV"/>
    <n v="43.8"/>
    <n v="2109"/>
    <n v="5"/>
    <n v="0"/>
    <x v="4"/>
    <x v="1"/>
    <n v="119429"/>
    <n v="3.2"/>
    <n v="5"/>
    <x v="2"/>
    <n v="3.34"/>
    <s v="High"/>
  </r>
  <r>
    <x v="10"/>
    <s v="i3"/>
    <x v="0"/>
    <s v="Performance"/>
    <n v="111495.73"/>
    <n v="82.7"/>
    <n v="283"/>
    <n v="247"/>
    <n v="4.09"/>
    <n v="188"/>
    <n v="953"/>
    <n v="813"/>
    <s v="RWD"/>
    <n v="5"/>
    <s v="Coupe"/>
    <n v="24.4"/>
    <n v="1636"/>
    <n v="4"/>
    <n v="1"/>
    <x v="0"/>
    <x v="0"/>
    <n v="41408"/>
    <n v="3.7"/>
    <n v="6"/>
    <x v="1"/>
    <n v="3.42"/>
    <s v="High"/>
  </r>
  <r>
    <x v="10"/>
    <s v="iX"/>
    <x v="2"/>
    <s v="Performance"/>
    <n v="134617.67000000001"/>
    <n v="90.5"/>
    <n v="308"/>
    <n v="215.3"/>
    <n v="4.1500000000000004"/>
    <n v="190"/>
    <n v="1000"/>
    <n v="928"/>
    <s v="AWD"/>
    <n v="5"/>
    <s v="Coupe"/>
    <n v="32.5"/>
    <n v="1939"/>
    <n v="5"/>
    <n v="2"/>
    <x v="0"/>
    <x v="0"/>
    <n v="68965"/>
    <n v="3.8"/>
    <n v="7"/>
    <x v="1"/>
    <n v="3.4"/>
    <s v="High"/>
  </r>
  <r>
    <x v="2"/>
    <s v="Bolt EV"/>
    <x v="2"/>
    <s v="Long Range"/>
    <n v="55216.4"/>
    <n v="81.900000000000006"/>
    <n v="299"/>
    <n v="82.8"/>
    <n v="5.75"/>
    <n v="153"/>
    <n v="668"/>
    <n v="609"/>
    <s v="RWD"/>
    <n v="5"/>
    <s v="Coupe"/>
    <n v="28.5"/>
    <n v="1500"/>
    <n v="5"/>
    <n v="1"/>
    <x v="2"/>
    <x v="1"/>
    <n v="805"/>
    <n v="3.8"/>
    <n v="3"/>
    <x v="1"/>
    <n v="3.65"/>
    <s v="Low"/>
  </r>
  <r>
    <x v="4"/>
    <s v="Model S"/>
    <x v="0"/>
    <s v="Premium"/>
    <n v="163320.60999999999"/>
    <n v="72.8"/>
    <n v="240"/>
    <n v="346.7"/>
    <n v="6.75"/>
    <n v="147"/>
    <n v="1000"/>
    <n v="870"/>
    <s v="AWD"/>
    <n v="7"/>
    <s v="Hatchback"/>
    <n v="38.9"/>
    <n v="1689"/>
    <n v="4"/>
    <n v="2"/>
    <x v="2"/>
    <x v="0"/>
    <n v="220716"/>
    <n v="3.7"/>
    <n v="5"/>
    <x v="1"/>
    <n v="3.3"/>
    <s v="High"/>
  </r>
  <r>
    <x v="2"/>
    <s v="Bolt EUV"/>
    <x v="5"/>
    <s v="Premium"/>
    <n v="52994.74"/>
    <n v="63.4"/>
    <n v="206"/>
    <n v="127.9"/>
    <n v="7.67"/>
    <n v="130"/>
    <n v="679"/>
    <n v="612"/>
    <s v="AWD"/>
    <n v="5"/>
    <s v="Truck"/>
    <n v="64.7"/>
    <n v="2568"/>
    <n v="5"/>
    <n v="1"/>
    <x v="2"/>
    <x v="1"/>
    <n v="5490"/>
    <n v="3.3"/>
    <n v="3"/>
    <x v="2"/>
    <n v="3.25"/>
    <s v="Medium"/>
  </r>
  <r>
    <x v="11"/>
    <s v="e-tron"/>
    <x v="2"/>
    <s v="Standard"/>
    <n v="111572.71"/>
    <n v="71.599999999999994"/>
    <n v="265"/>
    <n v="61"/>
    <n v="7.14"/>
    <n v="144"/>
    <n v="835"/>
    <n v="749"/>
    <s v="FWD"/>
    <n v="5"/>
    <s v="Hatchback"/>
    <n v="26.3"/>
    <n v="1707"/>
    <n v="5"/>
    <n v="1"/>
    <x v="0"/>
    <x v="0"/>
    <n v="58813"/>
    <n v="3.3"/>
    <n v="8"/>
    <x v="2"/>
    <n v="3.7"/>
    <s v="High"/>
  </r>
  <r>
    <x v="4"/>
    <s v="Model X"/>
    <x v="2"/>
    <s v="Performance"/>
    <n v="79743.44"/>
    <n v="90.1"/>
    <n v="322"/>
    <n v="230.5"/>
    <n v="4.29"/>
    <n v="182"/>
    <n v="533"/>
    <n v="444"/>
    <s v="RWD"/>
    <n v="5"/>
    <s v="SUV"/>
    <n v="40.6"/>
    <n v="2108"/>
    <n v="5"/>
    <n v="3"/>
    <x v="2"/>
    <x v="2"/>
    <n v="136484"/>
    <n v="3.8"/>
    <n v="6"/>
    <x v="1"/>
    <n v="3.57"/>
    <s v="High"/>
  </r>
  <r>
    <x v="7"/>
    <s v="Atto 3"/>
    <x v="3"/>
    <s v="Premium"/>
    <n v="26326.68"/>
    <n v="42.7"/>
    <n v="150"/>
    <n v="61.8"/>
    <n v="6.28"/>
    <n v="152"/>
    <n v="265"/>
    <n v="221"/>
    <s v="RWD"/>
    <n v="5"/>
    <s v="Van"/>
    <n v="75.900000000000006"/>
    <n v="1505"/>
    <n v="4"/>
    <n v="0"/>
    <x v="4"/>
    <x v="3"/>
    <n v="129109"/>
    <n v="3.1"/>
    <n v="4"/>
    <x v="1"/>
    <n v="3.51"/>
    <s v="High"/>
  </r>
  <r>
    <x v="6"/>
    <s v="Ocean"/>
    <x v="5"/>
    <s v="Standard"/>
    <n v="67825.009999999995"/>
    <n v="82.9"/>
    <n v="297"/>
    <n v="69.2"/>
    <n v="5.74"/>
    <n v="160"/>
    <n v="483"/>
    <n v="473"/>
    <s v="AWD"/>
    <n v="5"/>
    <s v="Sedan"/>
    <n v="16"/>
    <n v="1500"/>
    <n v="5"/>
    <n v="0"/>
    <x v="2"/>
    <x v="2"/>
    <n v="26063"/>
    <n v="3.6"/>
    <n v="4"/>
    <x v="1"/>
    <n v="3.58"/>
    <s v="High"/>
  </r>
  <r>
    <x v="4"/>
    <s v="Model X"/>
    <x v="1"/>
    <s v="Premium"/>
    <n v="78153.08"/>
    <n v="79.8"/>
    <n v="277"/>
    <n v="278.10000000000002"/>
    <n v="7.96"/>
    <n v="130"/>
    <n v="554"/>
    <n v="483"/>
    <s v="AWD"/>
    <n v="5"/>
    <s v="Hatchback"/>
    <n v="37.4"/>
    <n v="1500"/>
    <n v="4"/>
    <n v="2"/>
    <x v="2"/>
    <x v="2"/>
    <n v="114033"/>
    <n v="3.6"/>
    <n v="4"/>
    <x v="2"/>
    <n v="3.47"/>
    <s v="High"/>
  </r>
  <r>
    <x v="5"/>
    <s v="GLE EV"/>
    <x v="1"/>
    <s v="Premium"/>
    <n v="93751.44"/>
    <n v="73.400000000000006"/>
    <n v="267"/>
    <n v="92.8"/>
    <n v="5.52"/>
    <n v="166"/>
    <n v="505"/>
    <n v="508"/>
    <s v="AWD"/>
    <n v="7"/>
    <s v="Van"/>
    <n v="62.1"/>
    <n v="1800"/>
    <n v="5"/>
    <n v="1"/>
    <x v="0"/>
    <x v="2"/>
    <n v="32471"/>
    <n v="3.8"/>
    <n v="8"/>
    <x v="1"/>
    <n v="3.64"/>
    <s v="High"/>
  </r>
  <r>
    <x v="8"/>
    <s v="Kona Electric"/>
    <x v="5"/>
    <s v="Standard"/>
    <n v="68247.960000000006"/>
    <n v="73.099999999999994"/>
    <n v="240"/>
    <n v="121.2"/>
    <n v="6.35"/>
    <n v="151"/>
    <n v="876"/>
    <n v="791"/>
    <s v="FWD"/>
    <n v="5"/>
    <s v="Hatchback"/>
    <n v="25.8"/>
    <n v="1607"/>
    <n v="5"/>
    <n v="1"/>
    <x v="3"/>
    <x v="2"/>
    <n v="75804"/>
    <n v="3.3"/>
    <n v="3"/>
    <x v="1"/>
    <n v="3.28"/>
    <s v="High"/>
  </r>
  <r>
    <x v="7"/>
    <s v="Qin"/>
    <x v="0"/>
    <s v="Performance"/>
    <n v="89614.35"/>
    <n v="100.7"/>
    <n v="334"/>
    <n v="174.7"/>
    <n v="4.07"/>
    <n v="192"/>
    <n v="1000"/>
    <n v="911"/>
    <s v="AWD"/>
    <n v="5"/>
    <s v="Hatchback"/>
    <n v="19.7"/>
    <n v="1555"/>
    <n v="5"/>
    <n v="0"/>
    <x v="4"/>
    <x v="2"/>
    <n v="198687"/>
    <n v="4"/>
    <n v="3"/>
    <x v="1"/>
    <n v="3.32"/>
    <s v="High"/>
  </r>
  <r>
    <x v="5"/>
    <s v="EQC"/>
    <x v="5"/>
    <s v="Performance"/>
    <n v="185592.86"/>
    <n v="107.8"/>
    <n v="359"/>
    <n v="201.1"/>
    <n v="4.37"/>
    <n v="192"/>
    <n v="1000"/>
    <n v="953"/>
    <s v="FWD"/>
    <n v="7"/>
    <s v="Coupe"/>
    <n v="26.6"/>
    <n v="1500"/>
    <n v="4"/>
    <n v="1"/>
    <x v="0"/>
    <x v="0"/>
    <n v="51560"/>
    <n v="4"/>
    <n v="7"/>
    <x v="1"/>
    <n v="3.33"/>
    <s v="High"/>
  </r>
  <r>
    <x v="0"/>
    <s v="ID. Aero"/>
    <x v="2"/>
    <s v="Base"/>
    <n v="52450.92"/>
    <n v="70.3"/>
    <n v="257"/>
    <n v="112.6"/>
    <n v="7.73"/>
    <n v="135"/>
    <n v="452"/>
    <n v="424"/>
    <s v="AWD"/>
    <n v="5"/>
    <s v="SUV"/>
    <n v="47.3"/>
    <n v="2163"/>
    <n v="5"/>
    <n v="1"/>
    <x v="0"/>
    <x v="1"/>
    <n v="231690"/>
    <n v="3.6"/>
    <n v="4"/>
    <x v="2"/>
    <n v="3.66"/>
    <s v="High"/>
  </r>
  <r>
    <x v="8"/>
    <s v="i30"/>
    <x v="2"/>
    <s v="Base"/>
    <n v="53836.77"/>
    <n v="69.5"/>
    <n v="265"/>
    <n v="98.2"/>
    <n v="7.64"/>
    <n v="135"/>
    <n v="563"/>
    <n v="541"/>
    <s v="FWD"/>
    <n v="7"/>
    <s v="Sedan"/>
    <n v="22.6"/>
    <n v="1500"/>
    <n v="5"/>
    <n v="0"/>
    <x v="3"/>
    <x v="1"/>
    <n v="55119"/>
    <n v="3.5"/>
    <n v="5"/>
    <x v="2"/>
    <n v="3.81"/>
    <s v="High"/>
  </r>
  <r>
    <x v="0"/>
    <s v="ID. Aero"/>
    <x v="1"/>
    <s v="Base"/>
    <n v="29912.83"/>
    <n v="40.5"/>
    <n v="150"/>
    <n v="50.1"/>
    <n v="6.74"/>
    <n v="140"/>
    <n v="150"/>
    <n v="200"/>
    <s v="AWD"/>
    <n v="5"/>
    <s v="Van"/>
    <n v="69.599999999999994"/>
    <n v="1799"/>
    <n v="5"/>
    <n v="0"/>
    <x v="0"/>
    <x v="3"/>
    <n v="200434"/>
    <n v="3.2"/>
    <n v="5"/>
    <x v="1"/>
    <n v="3.7"/>
    <s v="High"/>
  </r>
  <r>
    <x v="3"/>
    <s v="Picanto EV"/>
    <x v="2"/>
    <s v="Base"/>
    <n v="34300.06"/>
    <n v="68.3"/>
    <n v="242"/>
    <n v="105.5"/>
    <n v="5.23"/>
    <n v="165"/>
    <n v="188"/>
    <n v="200"/>
    <s v="FWD"/>
    <n v="5"/>
    <s v="Van"/>
    <n v="69.599999999999994"/>
    <n v="1642"/>
    <n v="4"/>
    <n v="2"/>
    <x v="3"/>
    <x v="3"/>
    <n v="143619"/>
    <n v="3.3"/>
    <n v="4"/>
    <x v="1"/>
    <n v="3.54"/>
    <s v="High"/>
  </r>
  <r>
    <x v="4"/>
    <s v="Model 3"/>
    <x v="3"/>
    <s v="Premium"/>
    <n v="130541.56"/>
    <n v="71.2"/>
    <n v="238"/>
    <n v="296"/>
    <n v="6.85"/>
    <n v="152"/>
    <n v="1000"/>
    <n v="867"/>
    <s v="AWD"/>
    <n v="7"/>
    <s v="Hatchback"/>
    <n v="20.3"/>
    <n v="1630"/>
    <n v="4"/>
    <n v="2"/>
    <x v="2"/>
    <x v="0"/>
    <n v="190536"/>
    <n v="3.8"/>
    <n v="5"/>
    <x v="1"/>
    <n v="3.34"/>
    <s v="High"/>
  </r>
  <r>
    <x v="0"/>
    <s v="ID.4"/>
    <x v="5"/>
    <s v="Base"/>
    <n v="49575.71"/>
    <n v="47.3"/>
    <n v="158"/>
    <n v="104.7"/>
    <n v="7.32"/>
    <n v="141"/>
    <n v="438"/>
    <n v="401"/>
    <s v="AWD"/>
    <n v="5"/>
    <s v="Sedan"/>
    <n v="37.1"/>
    <n v="1759"/>
    <n v="4"/>
    <n v="1"/>
    <x v="0"/>
    <x v="1"/>
    <n v="295672"/>
    <n v="3.2"/>
    <n v="5"/>
    <x v="2"/>
    <n v="3.34"/>
    <s v="High"/>
  </r>
  <r>
    <x v="6"/>
    <s v="Ronin"/>
    <x v="3"/>
    <s v="Base"/>
    <n v="60986.5"/>
    <n v="42.7"/>
    <n v="150"/>
    <n v="112"/>
    <n v="7.34"/>
    <n v="137"/>
    <n v="471"/>
    <n v="426"/>
    <s v="AWD"/>
    <n v="7"/>
    <s v="Van"/>
    <n v="69.2"/>
    <n v="1757"/>
    <n v="5"/>
    <n v="0"/>
    <x v="2"/>
    <x v="1"/>
    <n v="2488"/>
    <n v="3.2"/>
    <n v="4"/>
    <x v="2"/>
    <n v="3.51"/>
    <s v="Low"/>
  </r>
  <r>
    <x v="7"/>
    <s v="Leaf 50X"/>
    <x v="3"/>
    <s v="Premium"/>
    <n v="96175.42"/>
    <n v="50.5"/>
    <n v="159"/>
    <n v="144.6"/>
    <n v="5.51"/>
    <n v="164"/>
    <n v="1000"/>
    <n v="925"/>
    <s v="AWD"/>
    <n v="7"/>
    <s v="Hatchback"/>
    <n v="37"/>
    <n v="1619"/>
    <n v="3"/>
    <n v="1"/>
    <x v="4"/>
    <x v="2"/>
    <n v="232340"/>
    <n v="3.3"/>
    <n v="5"/>
    <x v="1"/>
    <n v="3.15"/>
    <s v="High"/>
  </r>
  <r>
    <x v="10"/>
    <s v="i7"/>
    <x v="3"/>
    <s v="Performance"/>
    <n v="162797.03"/>
    <n v="103.1"/>
    <n v="369"/>
    <n v="248.9"/>
    <n v="4.1399999999999997"/>
    <n v="193"/>
    <n v="1000"/>
    <n v="910"/>
    <s v="RWD"/>
    <n v="5"/>
    <s v="Van"/>
    <n v="66.900000000000006"/>
    <n v="1847"/>
    <n v="5"/>
    <n v="2"/>
    <x v="0"/>
    <x v="0"/>
    <n v="27119"/>
    <n v="3.5"/>
    <n v="6"/>
    <x v="1"/>
    <n v="3.58"/>
    <s v="High"/>
  </r>
  <r>
    <x v="7"/>
    <s v="Max"/>
    <x v="0"/>
    <s v="Performance"/>
    <n v="102394.49"/>
    <n v="115.2"/>
    <n v="421"/>
    <n v="220.6"/>
    <n v="4.41"/>
    <n v="174"/>
    <n v="1000"/>
    <n v="925"/>
    <s v="AWD"/>
    <n v="7"/>
    <s v="Truck"/>
    <n v="67.099999999999994"/>
    <n v="2715"/>
    <n v="5"/>
    <n v="0"/>
    <x v="4"/>
    <x v="0"/>
    <n v="226612"/>
    <n v="4"/>
    <n v="4"/>
    <x v="1"/>
    <n v="3.65"/>
    <s v="High"/>
  </r>
  <r>
    <x v="9"/>
    <s v="Explorer EV"/>
    <x v="3"/>
    <s v="Premium"/>
    <n v="59495.32"/>
    <n v="76.8"/>
    <n v="282"/>
    <n v="58.9"/>
    <n v="5.94"/>
    <n v="161"/>
    <n v="592"/>
    <n v="477"/>
    <s v="RWD"/>
    <n v="5"/>
    <s v="Truck"/>
    <n v="54.1"/>
    <n v="2327"/>
    <n v="5"/>
    <n v="0"/>
    <x v="2"/>
    <x v="1"/>
    <n v="62617"/>
    <n v="3.8"/>
    <n v="5"/>
    <x v="1"/>
    <n v="3.67"/>
    <s v="High"/>
  </r>
  <r>
    <x v="4"/>
    <s v="Model 3"/>
    <x v="2"/>
    <s v="Performance"/>
    <n v="99778.09"/>
    <n v="102.4"/>
    <n v="352"/>
    <n v="231.4"/>
    <n v="2.58"/>
    <n v="200"/>
    <n v="751"/>
    <n v="684"/>
    <s v="AWD"/>
    <n v="5"/>
    <s v="Truck"/>
    <n v="53.4"/>
    <n v="2409"/>
    <n v="4"/>
    <n v="2"/>
    <x v="2"/>
    <x v="2"/>
    <n v="186712"/>
    <n v="4.2"/>
    <n v="5"/>
    <x v="0"/>
    <n v="3.44"/>
    <s v="High"/>
  </r>
  <r>
    <x v="6"/>
    <s v="Ocean"/>
    <x v="3"/>
    <s v="Long Range"/>
    <n v="66660.45"/>
    <n v="93.7"/>
    <n v="290"/>
    <n v="139.69999999999999"/>
    <n v="4.1399999999999997"/>
    <n v="186"/>
    <n v="523"/>
    <n v="477"/>
    <s v="RWD"/>
    <n v="7"/>
    <s v="Coupe"/>
    <n v="25.3"/>
    <n v="1773"/>
    <n v="5"/>
    <n v="1"/>
    <x v="2"/>
    <x v="2"/>
    <n v="12789"/>
    <n v="3.3"/>
    <n v="4"/>
    <x v="1"/>
    <n v="3.09"/>
    <s v="Medium"/>
  </r>
  <r>
    <x v="0"/>
    <s v="ID.4"/>
    <x v="0"/>
    <s v="Premium"/>
    <n v="78484.960000000006"/>
    <n v="48.2"/>
    <n v="168"/>
    <n v="65.900000000000006"/>
    <n v="6.73"/>
    <n v="144"/>
    <n v="867"/>
    <n v="845"/>
    <s v="AWD"/>
    <n v="5"/>
    <s v="Sedan"/>
    <n v="22.4"/>
    <n v="1560"/>
    <n v="4"/>
    <n v="1"/>
    <x v="0"/>
    <x v="2"/>
    <n v="208905"/>
    <n v="3.4"/>
    <n v="4"/>
    <x v="1"/>
    <n v="3.49"/>
    <s v="High"/>
  </r>
  <r>
    <x v="7"/>
    <s v="Max"/>
    <x v="0"/>
    <s v="Long Range"/>
    <n v="30609.19"/>
    <n v="78.599999999999994"/>
    <n v="268"/>
    <n v="75.5"/>
    <n v="4.4000000000000004"/>
    <n v="184"/>
    <n v="292"/>
    <n v="262"/>
    <s v="FWD"/>
    <n v="7"/>
    <s v="Hatchback"/>
    <n v="36.5"/>
    <n v="1560"/>
    <n v="5"/>
    <n v="0"/>
    <x v="4"/>
    <x v="3"/>
    <n v="111239"/>
    <n v="3.5"/>
    <n v="4"/>
    <x v="1"/>
    <n v="3.41"/>
    <s v="High"/>
  </r>
  <r>
    <x v="4"/>
    <s v="Model X"/>
    <x v="1"/>
    <s v="Performance"/>
    <n v="117706.38"/>
    <n v="71.400000000000006"/>
    <n v="249"/>
    <n v="304.3"/>
    <n v="4.12"/>
    <n v="189"/>
    <n v="885"/>
    <n v="771"/>
    <s v="RWD"/>
    <n v="5"/>
    <s v="Truck"/>
    <n v="67.599999999999994"/>
    <n v="2497"/>
    <n v="5"/>
    <n v="2"/>
    <x v="2"/>
    <x v="0"/>
    <n v="160982"/>
    <n v="3.8"/>
    <n v="4"/>
    <x v="1"/>
    <n v="3.49"/>
    <s v="High"/>
  </r>
  <r>
    <x v="4"/>
    <s v="Cybertruck"/>
    <x v="2"/>
    <s v="Performance"/>
    <n v="106068.73"/>
    <n v="114.9"/>
    <n v="357"/>
    <n v="318.10000000000002"/>
    <n v="3.04"/>
    <n v="200"/>
    <n v="766"/>
    <n v="686"/>
    <s v="RWD"/>
    <n v="7"/>
    <s v="Truck"/>
    <n v="52.7"/>
    <n v="2604"/>
    <n v="3"/>
    <n v="2"/>
    <x v="2"/>
    <x v="0"/>
    <n v="156874"/>
    <n v="4.0999999999999996"/>
    <n v="5"/>
    <x v="0"/>
    <n v="3.11"/>
    <s v="High"/>
  </r>
  <r>
    <x v="8"/>
    <s v="i30"/>
    <x v="3"/>
    <s v="Long Range"/>
    <n v="70681.91"/>
    <n v="86.7"/>
    <n v="309"/>
    <n v="50"/>
    <n v="4.66"/>
    <n v="176"/>
    <n v="861"/>
    <n v="735"/>
    <s v="FWD"/>
    <n v="7"/>
    <s v="SUV"/>
    <n v="54.6"/>
    <n v="2251"/>
    <n v="4"/>
    <n v="2"/>
    <x v="3"/>
    <x v="2"/>
    <n v="50014"/>
    <n v="3.6"/>
    <n v="4"/>
    <x v="1"/>
    <n v="3.56"/>
    <s v="High"/>
  </r>
  <r>
    <x v="7"/>
    <s v="Atto 3"/>
    <x v="2"/>
    <s v="Long Range"/>
    <n v="41904.83"/>
    <n v="88.3"/>
    <n v="325"/>
    <n v="60.2"/>
    <n v="5.33"/>
    <n v="168"/>
    <n v="435"/>
    <n v="398"/>
    <s v="RWD"/>
    <n v="5"/>
    <s v="Truck"/>
    <n v="63.7"/>
    <n v="2686"/>
    <n v="3"/>
    <n v="1"/>
    <x v="4"/>
    <x v="1"/>
    <n v="239018"/>
    <n v="3.7"/>
    <n v="3"/>
    <x v="1"/>
    <n v="3.68"/>
    <s v="High"/>
  </r>
  <r>
    <x v="5"/>
    <s v="EQS"/>
    <x v="3"/>
    <s v="Performance"/>
    <n v="94342.22"/>
    <n v="95.8"/>
    <n v="324"/>
    <n v="184.3"/>
    <n v="3.79"/>
    <n v="192"/>
    <n v="446"/>
    <n v="356"/>
    <s v="AWD"/>
    <n v="5"/>
    <s v="SUV"/>
    <n v="38.200000000000003"/>
    <n v="1893"/>
    <n v="4"/>
    <n v="1"/>
    <x v="0"/>
    <x v="2"/>
    <n v="56423"/>
    <n v="3.9"/>
    <n v="7"/>
    <x v="0"/>
    <n v="3.38"/>
    <s v="High"/>
  </r>
  <r>
    <x v="0"/>
    <s v="ID. Aero"/>
    <x v="2"/>
    <s v="Premium"/>
    <n v="40586.730000000003"/>
    <n v="45"/>
    <n v="173"/>
    <n v="82.3"/>
    <n v="6.42"/>
    <n v="159"/>
    <n v="335"/>
    <n v="274"/>
    <s v="RWD"/>
    <n v="7"/>
    <s v="Coupe"/>
    <n v="32.4"/>
    <n v="1615"/>
    <n v="4"/>
    <n v="1"/>
    <x v="0"/>
    <x v="1"/>
    <n v="268842"/>
    <n v="3.3"/>
    <n v="4"/>
    <x v="1"/>
    <n v="3.84"/>
    <s v="High"/>
  </r>
  <r>
    <x v="7"/>
    <s v="Atto 3"/>
    <x v="1"/>
    <s v="Performance"/>
    <n v="98782.03"/>
    <n v="77.8"/>
    <n v="278"/>
    <n v="211.2"/>
    <n v="3.71"/>
    <n v="192"/>
    <n v="1000"/>
    <n v="876"/>
    <s v="RWD"/>
    <n v="7"/>
    <s v="Coupe"/>
    <n v="33.299999999999997"/>
    <n v="1500"/>
    <n v="4"/>
    <n v="0"/>
    <x v="4"/>
    <x v="2"/>
    <n v="130723"/>
    <n v="3.5"/>
    <n v="4"/>
    <x v="0"/>
    <n v="3.57"/>
    <s v="High"/>
  </r>
  <r>
    <x v="3"/>
    <s v="EV6"/>
    <x v="1"/>
    <s v="Premium"/>
    <n v="40060.04"/>
    <n v="63"/>
    <n v="235"/>
    <n v="90.5"/>
    <n v="6.78"/>
    <n v="153"/>
    <n v="281"/>
    <n v="246"/>
    <s v="RWD"/>
    <n v="7"/>
    <s v="Sedan"/>
    <n v="28.9"/>
    <n v="1500"/>
    <n v="4"/>
    <n v="0"/>
    <x v="3"/>
    <x v="1"/>
    <n v="51025"/>
    <n v="3.4"/>
    <n v="5"/>
    <x v="1"/>
    <n v="3.73"/>
    <s v="High"/>
  </r>
  <r>
    <x v="2"/>
    <s v="Bolt EUV"/>
    <x v="0"/>
    <s v="Performance"/>
    <n v="73854.22"/>
    <n v="104.5"/>
    <n v="365"/>
    <n v="221.3"/>
    <n v="3.22"/>
    <n v="200"/>
    <n v="999"/>
    <n v="887"/>
    <s v="AWD"/>
    <n v="5"/>
    <s v="Coupe"/>
    <n v="20.399999999999999"/>
    <n v="2090"/>
    <n v="4"/>
    <n v="1"/>
    <x v="2"/>
    <x v="2"/>
    <n v="27191"/>
    <n v="3.6"/>
    <n v="3"/>
    <x v="0"/>
    <n v="3.49"/>
    <s v="High"/>
  </r>
  <r>
    <x v="4"/>
    <s v="Model X"/>
    <x v="1"/>
    <s v="Base"/>
    <n v="43328.14"/>
    <n v="65.3"/>
    <n v="226"/>
    <n v="244.2"/>
    <n v="7.71"/>
    <n v="134"/>
    <n v="305"/>
    <n v="255"/>
    <s v="RWD"/>
    <n v="5"/>
    <s v="Van"/>
    <n v="63.8"/>
    <n v="1526"/>
    <n v="3"/>
    <n v="2"/>
    <x v="2"/>
    <x v="1"/>
    <n v="148395"/>
    <n v="3.6"/>
    <n v="6"/>
    <x v="2"/>
    <n v="3.46"/>
    <s v="High"/>
  </r>
  <r>
    <x v="4"/>
    <s v="Model X"/>
    <x v="3"/>
    <s v="Long Range"/>
    <n v="100199.56"/>
    <n v="90.8"/>
    <n v="321"/>
    <n v="252.4"/>
    <n v="5.42"/>
    <n v="171"/>
    <n v="669"/>
    <n v="631"/>
    <s v="RWD"/>
    <n v="7"/>
    <s v="Hatchback"/>
    <n v="36.6"/>
    <n v="1849"/>
    <n v="4"/>
    <n v="3"/>
    <x v="2"/>
    <x v="0"/>
    <n v="197625"/>
    <n v="3.8"/>
    <n v="5"/>
    <x v="1"/>
    <n v="3.54"/>
    <s v="High"/>
  </r>
  <r>
    <x v="4"/>
    <s v="Model Y"/>
    <x v="3"/>
    <s v="Performance"/>
    <n v="135068.35"/>
    <n v="116.4"/>
    <n v="393"/>
    <n v="277.5"/>
    <n v="3.52"/>
    <n v="193"/>
    <n v="1000"/>
    <n v="870"/>
    <s v="AWD"/>
    <n v="7"/>
    <s v="Sedan"/>
    <n v="19.2"/>
    <n v="1500"/>
    <n v="5"/>
    <n v="3"/>
    <x v="2"/>
    <x v="0"/>
    <n v="419874"/>
    <n v="4.3"/>
    <n v="6"/>
    <x v="0"/>
    <n v="3.38"/>
    <s v="High"/>
  </r>
  <r>
    <x v="2"/>
    <s v="Silverado EV"/>
    <x v="5"/>
    <s v="Standard"/>
    <n v="64854.51"/>
    <n v="76"/>
    <n v="264"/>
    <n v="124.2"/>
    <n v="5.66"/>
    <n v="158"/>
    <n v="863"/>
    <n v="753"/>
    <s v="RWD"/>
    <n v="7"/>
    <s v="Van"/>
    <n v="66.599999999999994"/>
    <n v="1781"/>
    <n v="4"/>
    <n v="2"/>
    <x v="2"/>
    <x v="1"/>
    <n v="16372"/>
    <n v="3.3"/>
    <n v="5"/>
    <x v="1"/>
    <n v="3.47"/>
    <s v="Medium"/>
  </r>
  <r>
    <x v="10"/>
    <s v="i4"/>
    <x v="1"/>
    <s v="Performance"/>
    <n v="102335.06"/>
    <n v="106.5"/>
    <n v="365"/>
    <n v="241.1"/>
    <n v="2.73"/>
    <n v="200"/>
    <n v="873"/>
    <n v="817"/>
    <s v="AWD"/>
    <n v="7"/>
    <s v="Hatchback"/>
    <n v="31.3"/>
    <n v="1526"/>
    <n v="5"/>
    <n v="1"/>
    <x v="0"/>
    <x v="0"/>
    <n v="57345"/>
    <n v="3.9"/>
    <n v="5"/>
    <x v="0"/>
    <n v="3.43"/>
    <s v="High"/>
  </r>
  <r>
    <x v="8"/>
    <s v="Kona Electric"/>
    <x v="5"/>
    <s v="Premium"/>
    <n v="78808.06"/>
    <n v="83.8"/>
    <n v="310"/>
    <n v="141.6"/>
    <n v="5.71"/>
    <n v="163"/>
    <n v="989"/>
    <n v="868"/>
    <s v="AWD"/>
    <n v="7"/>
    <s v="Truck"/>
    <n v="78.400000000000006"/>
    <n v="2368"/>
    <n v="4"/>
    <n v="2"/>
    <x v="3"/>
    <x v="2"/>
    <n v="79142"/>
    <n v="3.3"/>
    <n v="3"/>
    <x v="1"/>
    <n v="3.7"/>
    <s v="High"/>
  </r>
  <r>
    <x v="5"/>
    <s v="EQC"/>
    <x v="5"/>
    <s v="Premium"/>
    <n v="89766.7"/>
    <n v="44.8"/>
    <n v="150"/>
    <n v="131.6"/>
    <n v="7.04"/>
    <n v="131"/>
    <n v="402"/>
    <n v="345"/>
    <s v="AWD"/>
    <n v="5"/>
    <s v="Sedan"/>
    <n v="33.200000000000003"/>
    <n v="1697"/>
    <n v="4"/>
    <n v="1"/>
    <x v="0"/>
    <x v="2"/>
    <n v="44745"/>
    <n v="3.4"/>
    <n v="7"/>
    <x v="2"/>
    <n v="3.35"/>
    <s v="High"/>
  </r>
  <r>
    <x v="9"/>
    <s v="Explorer EV"/>
    <x v="2"/>
    <s v="Base"/>
    <n v="54161.53"/>
    <n v="80.099999999999994"/>
    <n v="289"/>
    <n v="75.900000000000006"/>
    <n v="7.58"/>
    <n v="137"/>
    <n v="517"/>
    <n v="412"/>
    <s v="AWD"/>
    <n v="7"/>
    <s v="Hatchback"/>
    <n v="22"/>
    <n v="1624"/>
    <n v="4"/>
    <n v="0"/>
    <x v="2"/>
    <x v="1"/>
    <n v="26655"/>
    <n v="3.5"/>
    <n v="4"/>
    <x v="2"/>
    <n v="3.61"/>
    <s v="High"/>
  </r>
  <r>
    <x v="3"/>
    <s v="Sportage EV"/>
    <x v="1"/>
    <s v="Standard"/>
    <n v="38543.18"/>
    <n v="45.8"/>
    <n v="159"/>
    <n v="126.3"/>
    <n v="5.27"/>
    <n v="175"/>
    <n v="312"/>
    <n v="260"/>
    <s v="FWD"/>
    <n v="5"/>
    <s v="SUV"/>
    <n v="41.4"/>
    <n v="1872"/>
    <n v="5"/>
    <n v="0"/>
    <x v="3"/>
    <x v="1"/>
    <n v="117943"/>
    <n v="3.1"/>
    <n v="3"/>
    <x v="1"/>
    <n v="3.47"/>
    <s v="High"/>
  </r>
  <r>
    <x v="5"/>
    <s v="EQE"/>
    <x v="0"/>
    <s v="Performance"/>
    <n v="91688.58"/>
    <n v="90.5"/>
    <n v="311"/>
    <n v="240.9"/>
    <n v="4.2300000000000004"/>
    <n v="192"/>
    <n v="427"/>
    <n v="373"/>
    <s v="RWD"/>
    <n v="5"/>
    <s v="Van"/>
    <n v="78.099999999999994"/>
    <n v="1713"/>
    <n v="5"/>
    <n v="2"/>
    <x v="0"/>
    <x v="2"/>
    <n v="45385"/>
    <n v="4.0999999999999996"/>
    <n v="5"/>
    <x v="1"/>
    <n v="3.44"/>
    <s v="High"/>
  </r>
  <r>
    <x v="7"/>
    <s v="Atto 3"/>
    <x v="0"/>
    <s v="Premium"/>
    <n v="72252.78"/>
    <n v="40.799999999999997"/>
    <n v="150"/>
    <n v="132.5"/>
    <n v="6.07"/>
    <n v="162"/>
    <n v="772"/>
    <n v="689"/>
    <s v="RWD"/>
    <n v="5"/>
    <s v="Hatchback"/>
    <n v="38.799999999999997"/>
    <n v="1553"/>
    <n v="4"/>
    <n v="0"/>
    <x v="4"/>
    <x v="2"/>
    <n v="245833"/>
    <n v="3.1"/>
    <n v="3"/>
    <x v="1"/>
    <n v="3.68"/>
    <s v="High"/>
  </r>
  <r>
    <x v="4"/>
    <s v="Model Y"/>
    <x v="3"/>
    <s v="Standard"/>
    <n v="28188.639999999999"/>
    <n v="40.299999999999997"/>
    <n v="150"/>
    <n v="268.7"/>
    <n v="6.76"/>
    <n v="141"/>
    <n v="157"/>
    <n v="200"/>
    <s v="AWD"/>
    <n v="7"/>
    <s v="SUV"/>
    <n v="48.1"/>
    <n v="1677"/>
    <n v="3"/>
    <n v="2"/>
    <x v="2"/>
    <x v="3"/>
    <n v="412935"/>
    <n v="3.5"/>
    <n v="4"/>
    <x v="1"/>
    <n v="3.72"/>
    <s v="High"/>
  </r>
  <r>
    <x v="7"/>
    <s v="Yuan Plus"/>
    <x v="3"/>
    <s v="Standard"/>
    <n v="32633.03"/>
    <n v="80"/>
    <n v="279"/>
    <n v="131.69999999999999"/>
    <n v="6.72"/>
    <n v="144"/>
    <n v="320"/>
    <n v="282"/>
    <s v="RWD"/>
    <n v="5"/>
    <s v="Truck"/>
    <n v="53.4"/>
    <n v="2335"/>
    <n v="5"/>
    <n v="1"/>
    <x v="4"/>
    <x v="3"/>
    <n v="106393"/>
    <n v="3.6"/>
    <n v="5"/>
    <x v="1"/>
    <n v="3.49"/>
    <s v="High"/>
  </r>
  <r>
    <x v="4"/>
    <s v="Model S"/>
    <x v="3"/>
    <s v="Performance"/>
    <n v="61791.69"/>
    <n v="82"/>
    <n v="283"/>
    <n v="322.8"/>
    <n v="3.07"/>
    <n v="200"/>
    <n v="416"/>
    <n v="357"/>
    <s v="AWD"/>
    <n v="5"/>
    <s v="Sedan"/>
    <n v="16.600000000000001"/>
    <n v="1663"/>
    <n v="5"/>
    <n v="2"/>
    <x v="2"/>
    <x v="1"/>
    <n v="214239"/>
    <n v="3.6"/>
    <n v="6"/>
    <x v="0"/>
    <n v="3.45"/>
    <s v="High"/>
  </r>
  <r>
    <x v="8"/>
    <s v="Ioniq 5"/>
    <x v="3"/>
    <s v="Performance"/>
    <n v="97448.38"/>
    <n v="102"/>
    <n v="335"/>
    <n v="186.2"/>
    <n v="4.32"/>
    <n v="187"/>
    <n v="1000"/>
    <n v="874"/>
    <s v="RWD"/>
    <n v="5"/>
    <s v="Coupe"/>
    <n v="15.7"/>
    <n v="1500"/>
    <n v="3"/>
    <n v="1"/>
    <x v="3"/>
    <x v="2"/>
    <n v="81695"/>
    <n v="3.7"/>
    <n v="3"/>
    <x v="1"/>
    <n v="3.28"/>
    <s v="High"/>
  </r>
  <r>
    <x v="12"/>
    <s v="ET6"/>
    <x v="3"/>
    <s v="Base"/>
    <n v="75082.66"/>
    <n v="69"/>
    <n v="236"/>
    <n v="113.7"/>
    <n v="5.3"/>
    <n v="173"/>
    <n v="685"/>
    <n v="654"/>
    <s v="AWD"/>
    <n v="5"/>
    <s v="Sedan"/>
    <n v="15.2"/>
    <n v="1800"/>
    <n v="5"/>
    <n v="0"/>
    <x v="4"/>
    <x v="2"/>
    <n v="6090"/>
    <n v="3.6"/>
    <n v="4"/>
    <x v="1"/>
    <n v="3.42"/>
    <s v="Medium"/>
  </r>
  <r>
    <x v="4"/>
    <s v="Model Y"/>
    <x v="3"/>
    <s v="Premium"/>
    <n v="56042.12"/>
    <n v="66.900000000000006"/>
    <n v="222"/>
    <n v="343.9"/>
    <n v="6.66"/>
    <n v="139"/>
    <n v="381"/>
    <n v="308"/>
    <s v="AWD"/>
    <n v="5"/>
    <s v="Coupe"/>
    <n v="24"/>
    <n v="1801"/>
    <n v="4"/>
    <n v="3"/>
    <x v="2"/>
    <x v="1"/>
    <n v="439817"/>
    <n v="3.5"/>
    <n v="4"/>
    <x v="1"/>
    <n v="3.32"/>
    <s v="High"/>
  </r>
  <r>
    <x v="4"/>
    <s v="Model Y"/>
    <x v="3"/>
    <s v="Base"/>
    <n v="102064.68"/>
    <n v="49.3"/>
    <n v="183"/>
    <n v="218.6"/>
    <n v="5.76"/>
    <n v="163"/>
    <n v="752"/>
    <n v="628"/>
    <s v="FWD"/>
    <n v="5"/>
    <s v="SUV"/>
    <n v="46.7"/>
    <n v="1950"/>
    <n v="5"/>
    <n v="2"/>
    <x v="2"/>
    <x v="0"/>
    <n v="469259"/>
    <n v="3.7"/>
    <n v="4"/>
    <x v="1"/>
    <n v="3.71"/>
    <s v="High"/>
  </r>
  <r>
    <x v="0"/>
    <s v="ID. Aero"/>
    <x v="2"/>
    <s v="Performance"/>
    <n v="92355.03"/>
    <n v="70.8"/>
    <n v="243"/>
    <n v="217.8"/>
    <n v="3.65"/>
    <n v="193"/>
    <n v="1000"/>
    <n v="926"/>
    <s v="RWD"/>
    <n v="5"/>
    <s v="Truck"/>
    <n v="54"/>
    <n v="2436"/>
    <n v="4"/>
    <n v="1"/>
    <x v="0"/>
    <x v="2"/>
    <n v="216375"/>
    <n v="3.4"/>
    <n v="5"/>
    <x v="0"/>
    <n v="3.43"/>
    <s v="High"/>
  </r>
  <r>
    <x v="13"/>
    <s v="R3"/>
    <x v="3"/>
    <s v="Long Range"/>
    <n v="105185.41"/>
    <n v="109.2"/>
    <n v="352"/>
    <n v="76.3"/>
    <n v="4.17"/>
    <n v="187"/>
    <n v="1000"/>
    <n v="900"/>
    <s v="FWD"/>
    <n v="5"/>
    <s v="Hatchback"/>
    <n v="25.5"/>
    <n v="1527"/>
    <n v="4"/>
    <n v="1"/>
    <x v="2"/>
    <x v="0"/>
    <n v="20140"/>
    <n v="3.5"/>
    <n v="5"/>
    <x v="1"/>
    <n v="3.22"/>
    <s v="High"/>
  </r>
  <r>
    <x v="7"/>
    <s v="Max"/>
    <x v="0"/>
    <s v="Base"/>
    <n v="20788.8"/>
    <n v="46.9"/>
    <n v="161"/>
    <n v="93.6"/>
    <n v="6.51"/>
    <n v="150"/>
    <n v="150"/>
    <n v="200"/>
    <s v="RWD"/>
    <n v="5"/>
    <s v="Van"/>
    <n v="79.400000000000006"/>
    <n v="1923"/>
    <n v="4"/>
    <n v="1"/>
    <x v="4"/>
    <x v="3"/>
    <n v="208014"/>
    <n v="3.2"/>
    <n v="4"/>
    <x v="1"/>
    <n v="3.43"/>
    <s v="High"/>
  </r>
  <r>
    <x v="8"/>
    <s v="Ioniq 6"/>
    <x v="2"/>
    <s v="Performance"/>
    <n v="97949.17"/>
    <n v="88.6"/>
    <n v="324"/>
    <n v="170.9"/>
    <n v="2.96"/>
    <n v="200"/>
    <n v="1000"/>
    <n v="850"/>
    <s v="AWD"/>
    <n v="5"/>
    <s v="Hatchback"/>
    <n v="19.7"/>
    <n v="1500"/>
    <n v="5"/>
    <n v="1"/>
    <x v="3"/>
    <x v="2"/>
    <n v="105426"/>
    <n v="3.8"/>
    <n v="4"/>
    <x v="0"/>
    <n v="3.66"/>
    <s v="High"/>
  </r>
  <r>
    <x v="4"/>
    <s v="Cybertruck"/>
    <x v="2"/>
    <s v="Premium"/>
    <n v="112719.54"/>
    <n v="67.5"/>
    <n v="240"/>
    <n v="242.8"/>
    <n v="5.41"/>
    <n v="170"/>
    <n v="810"/>
    <n v="732"/>
    <s v="AWD"/>
    <n v="5"/>
    <s v="Truck"/>
    <n v="56.2"/>
    <n v="2564"/>
    <n v="5"/>
    <n v="2"/>
    <x v="2"/>
    <x v="0"/>
    <n v="138409"/>
    <n v="3.9"/>
    <n v="5"/>
    <x v="1"/>
    <n v="3.56"/>
    <s v="High"/>
  </r>
  <r>
    <x v="4"/>
    <s v="Model X"/>
    <x v="3"/>
    <s v="Premium"/>
    <n v="155604.37"/>
    <n v="46.7"/>
    <n v="150"/>
    <n v="305.39999999999998"/>
    <n v="5.0599999999999996"/>
    <n v="177"/>
    <n v="1000"/>
    <n v="909"/>
    <s v="AWD"/>
    <n v="7"/>
    <s v="Van"/>
    <n v="78.099999999999994"/>
    <n v="1625"/>
    <n v="4"/>
    <n v="2"/>
    <x v="2"/>
    <x v="0"/>
    <n v="240825"/>
    <n v="3.2"/>
    <n v="6"/>
    <x v="1"/>
    <n v="3.21"/>
    <s v="High"/>
  </r>
  <r>
    <x v="14"/>
    <s v="Macan Electric"/>
    <x v="0"/>
    <s v="Standard"/>
    <n v="107490.34"/>
    <n v="61.7"/>
    <n v="224"/>
    <n v="251.6"/>
    <n v="6.15"/>
    <n v="161"/>
    <n v="337"/>
    <n v="320"/>
    <s v="AWD"/>
    <n v="5"/>
    <s v="SUV"/>
    <n v="39.700000000000003"/>
    <n v="1666"/>
    <n v="4"/>
    <n v="2"/>
    <x v="0"/>
    <x v="0"/>
    <n v="2249"/>
    <n v="3.5"/>
    <n v="8"/>
    <x v="1"/>
    <n v="3.63"/>
    <s v="Low"/>
  </r>
  <r>
    <x v="6"/>
    <s v="Ocean"/>
    <x v="0"/>
    <s v="Premium"/>
    <n v="100837.22"/>
    <n v="71.599999999999994"/>
    <n v="259"/>
    <n v="138.19999999999999"/>
    <n v="5.42"/>
    <n v="163"/>
    <n v="841"/>
    <n v="735"/>
    <s v="AWD"/>
    <n v="5"/>
    <s v="Sedan"/>
    <n v="36.700000000000003"/>
    <n v="1500"/>
    <n v="5"/>
    <n v="0"/>
    <x v="2"/>
    <x v="0"/>
    <n v="27700"/>
    <n v="3.3"/>
    <n v="5"/>
    <x v="1"/>
    <n v="3.62"/>
    <s v="High"/>
  </r>
  <r>
    <x v="4"/>
    <s v="Cybertruck"/>
    <x v="2"/>
    <s v="Base"/>
    <n v="112537.97"/>
    <n v="73.400000000000006"/>
    <n v="256"/>
    <n v="247.7"/>
    <n v="7.93"/>
    <n v="125"/>
    <n v="851"/>
    <n v="715"/>
    <s v="FWD"/>
    <n v="5"/>
    <s v="Truck"/>
    <n v="69.8"/>
    <n v="2742"/>
    <n v="4"/>
    <n v="3"/>
    <x v="2"/>
    <x v="0"/>
    <n v="200169"/>
    <n v="3.6"/>
    <n v="5"/>
    <x v="2"/>
    <n v="3.49"/>
    <s v="High"/>
  </r>
  <r>
    <x v="1"/>
    <s v="bZ4X"/>
    <x v="2"/>
    <s v="Standard"/>
    <n v="65164.24"/>
    <n v="66"/>
    <n v="218"/>
    <n v="67.5"/>
    <n v="6.6"/>
    <n v="152"/>
    <n v="771"/>
    <n v="727"/>
    <s v="FWD"/>
    <n v="5"/>
    <s v="SUV"/>
    <n v="41.6"/>
    <n v="2093"/>
    <n v="5"/>
    <n v="0"/>
    <x v="1"/>
    <x v="2"/>
    <n v="21633"/>
    <n v="3.4"/>
    <n v="5"/>
    <x v="1"/>
    <n v="3.3"/>
    <s v="High"/>
  </r>
  <r>
    <x v="10"/>
    <s v="i4"/>
    <x v="3"/>
    <s v="Premium"/>
    <n v="134002.07"/>
    <n v="78.3"/>
    <n v="245"/>
    <n v="120.2"/>
    <n v="7.71"/>
    <n v="132"/>
    <n v="1000"/>
    <n v="918"/>
    <s v="AWD"/>
    <n v="7"/>
    <s v="Coupe"/>
    <n v="16"/>
    <n v="1795"/>
    <n v="5"/>
    <n v="1"/>
    <x v="0"/>
    <x v="0"/>
    <n v="54751"/>
    <n v="3.4"/>
    <n v="8"/>
    <x v="2"/>
    <n v="3.13"/>
    <s v="High"/>
  </r>
  <r>
    <x v="5"/>
    <s v="EQE"/>
    <x v="3"/>
    <s v="Base"/>
    <n v="125283.58"/>
    <n v="75.599999999999994"/>
    <n v="264"/>
    <n v="123.7"/>
    <n v="7.57"/>
    <n v="138"/>
    <n v="747"/>
    <n v="634"/>
    <s v="FWD"/>
    <n v="7"/>
    <s v="Truck"/>
    <n v="74.400000000000006"/>
    <n v="2720"/>
    <n v="4"/>
    <n v="1"/>
    <x v="0"/>
    <x v="0"/>
    <n v="50741"/>
    <n v="4.2"/>
    <n v="7"/>
    <x v="2"/>
    <n v="3.49"/>
    <s v="High"/>
  </r>
  <r>
    <x v="0"/>
    <s v="ID.3"/>
    <x v="1"/>
    <s v="Base"/>
    <n v="53614.66"/>
    <n v="63.7"/>
    <n v="213"/>
    <n v="138.19999999999999"/>
    <n v="5.95"/>
    <n v="160"/>
    <n v="530"/>
    <n v="526"/>
    <s v="FWD"/>
    <n v="5"/>
    <s v="SUV"/>
    <n v="44.8"/>
    <n v="2264"/>
    <n v="4"/>
    <n v="0"/>
    <x v="0"/>
    <x v="1"/>
    <n v="208794"/>
    <n v="3.4"/>
    <n v="4"/>
    <x v="1"/>
    <n v="3.34"/>
    <s v="High"/>
  </r>
  <r>
    <x v="8"/>
    <s v="Ioniq"/>
    <x v="4"/>
    <s v="Performance"/>
    <n v="54289.29"/>
    <n v="101.8"/>
    <n v="323"/>
    <n v="214.9"/>
    <n v="3.67"/>
    <n v="196"/>
    <n v="603"/>
    <n v="568"/>
    <s v="FWD"/>
    <n v="7"/>
    <s v="Hatchback"/>
    <n v="17.8"/>
    <n v="1707"/>
    <n v="4"/>
    <n v="1"/>
    <x v="3"/>
    <x v="1"/>
    <n v="110889"/>
    <n v="3.7"/>
    <n v="4"/>
    <x v="0"/>
    <n v="3.17"/>
    <s v="High"/>
  </r>
  <r>
    <x v="8"/>
    <s v="Ioniq"/>
    <x v="0"/>
    <s v="Performance"/>
    <n v="69817.039999999994"/>
    <n v="113.2"/>
    <n v="415"/>
    <n v="171.3"/>
    <n v="3.01"/>
    <n v="198"/>
    <n v="899"/>
    <n v="830"/>
    <s v="AWD"/>
    <n v="5"/>
    <s v="Van"/>
    <n v="62"/>
    <n v="1643"/>
    <n v="5"/>
    <n v="1"/>
    <x v="3"/>
    <x v="2"/>
    <n v="127527"/>
    <n v="3.6"/>
    <n v="4"/>
    <x v="0"/>
    <n v="3.67"/>
    <s v="High"/>
  </r>
  <r>
    <x v="10"/>
    <s v="i4"/>
    <x v="2"/>
    <s v="Base"/>
    <n v="47596.94"/>
    <n v="81.099999999999994"/>
    <n v="287"/>
    <n v="123"/>
    <n v="7.53"/>
    <n v="135"/>
    <n v="169"/>
    <n v="200"/>
    <s v="FWD"/>
    <n v="7"/>
    <s v="Sedan"/>
    <n v="15.4"/>
    <n v="1577"/>
    <n v="5"/>
    <n v="1"/>
    <x v="0"/>
    <x v="1"/>
    <n v="22877"/>
    <n v="3.6"/>
    <n v="7"/>
    <x v="2"/>
    <n v="3.54"/>
    <s v="High"/>
  </r>
  <r>
    <x v="4"/>
    <s v="Model Y"/>
    <x v="2"/>
    <s v="Long Range"/>
    <n v="50416.800000000003"/>
    <n v="92.4"/>
    <n v="336"/>
    <n v="349.4"/>
    <n v="5.31"/>
    <n v="170"/>
    <n v="355"/>
    <n v="348"/>
    <s v="RWD"/>
    <n v="5"/>
    <s v="Sedan"/>
    <n v="24.1"/>
    <n v="1587"/>
    <n v="4"/>
    <n v="2"/>
    <x v="2"/>
    <x v="1"/>
    <n v="444988"/>
    <n v="3.8"/>
    <n v="5"/>
    <x v="1"/>
    <n v="3.64"/>
    <s v="High"/>
  </r>
  <r>
    <x v="4"/>
    <s v="Model 3"/>
    <x v="3"/>
    <s v="Premium"/>
    <n v="127858.88"/>
    <n v="71.8"/>
    <n v="285"/>
    <n v="260.5"/>
    <n v="7.39"/>
    <n v="142"/>
    <n v="928"/>
    <n v="848"/>
    <s v="FWD"/>
    <n v="5"/>
    <s v="SUV"/>
    <n v="61.8"/>
    <n v="2152"/>
    <n v="5"/>
    <n v="2"/>
    <x v="2"/>
    <x v="0"/>
    <n v="125874"/>
    <n v="3.9"/>
    <n v="4"/>
    <x v="2"/>
    <n v="3.97"/>
    <s v="High"/>
  </r>
  <r>
    <x v="7"/>
    <s v="Dolphin"/>
    <x v="5"/>
    <s v="Base"/>
    <n v="27881.47"/>
    <n v="60.3"/>
    <n v="202"/>
    <n v="109.7"/>
    <n v="5.27"/>
    <n v="169"/>
    <n v="272"/>
    <n v="248"/>
    <s v="RWD"/>
    <n v="5"/>
    <s v="Van"/>
    <n v="68.900000000000006"/>
    <n v="1867"/>
    <n v="4"/>
    <n v="1"/>
    <x v="4"/>
    <x v="3"/>
    <n v="131662"/>
    <n v="3.4"/>
    <n v="5"/>
    <x v="1"/>
    <n v="3.35"/>
    <s v="High"/>
  </r>
  <r>
    <x v="2"/>
    <s v="Bolt EUV"/>
    <x v="2"/>
    <s v="Performance"/>
    <n v="98117.57"/>
    <n v="90.3"/>
    <n v="335"/>
    <n v="227.3"/>
    <n v="3.97"/>
    <n v="195"/>
    <n v="1000"/>
    <n v="866"/>
    <s v="FWD"/>
    <n v="5"/>
    <s v="Sedan"/>
    <n v="17.100000000000001"/>
    <n v="1500"/>
    <n v="5"/>
    <n v="0"/>
    <x v="2"/>
    <x v="2"/>
    <n v="23127"/>
    <n v="3.6"/>
    <n v="4"/>
    <x v="0"/>
    <n v="3.71"/>
    <s v="High"/>
  </r>
  <r>
    <x v="4"/>
    <s v="Cybertruck"/>
    <x v="3"/>
    <s v="Standard"/>
    <n v="114028.98"/>
    <n v="65.3"/>
    <n v="249"/>
    <n v="327.3"/>
    <n v="7.5"/>
    <n v="137"/>
    <n v="815"/>
    <n v="721"/>
    <s v="AWD"/>
    <n v="7"/>
    <s v="Truck"/>
    <n v="60.4"/>
    <n v="2681"/>
    <n v="5"/>
    <n v="2"/>
    <x v="2"/>
    <x v="0"/>
    <n v="169238"/>
    <n v="3.5"/>
    <n v="4"/>
    <x v="2"/>
    <n v="3.81"/>
    <s v="High"/>
  </r>
  <r>
    <x v="10"/>
    <s v="i7"/>
    <x v="4"/>
    <s v="Base"/>
    <n v="76431.360000000001"/>
    <n v="47"/>
    <n v="150"/>
    <n v="90.1"/>
    <n v="6.06"/>
    <n v="160"/>
    <n v="524"/>
    <n v="510"/>
    <s v="RWD"/>
    <n v="7"/>
    <s v="Sedan"/>
    <n v="34.1"/>
    <n v="1776"/>
    <n v="4"/>
    <n v="2"/>
    <x v="0"/>
    <x v="2"/>
    <n v="30267"/>
    <n v="3.1"/>
    <n v="5"/>
    <x v="1"/>
    <n v="3.19"/>
    <s v="High"/>
  </r>
  <r>
    <x v="6"/>
    <s v="Ocean"/>
    <x v="3"/>
    <s v="Standard"/>
    <n v="47756.59"/>
    <n v="60.7"/>
    <n v="225"/>
    <n v="136.4"/>
    <n v="6.02"/>
    <n v="158"/>
    <n v="298"/>
    <n v="265"/>
    <s v="AWD"/>
    <n v="7"/>
    <s v="Sedan"/>
    <n v="16.100000000000001"/>
    <n v="1812"/>
    <n v="4"/>
    <n v="1"/>
    <x v="2"/>
    <x v="1"/>
    <n v="6983"/>
    <n v="3.2"/>
    <n v="3"/>
    <x v="1"/>
    <n v="3.71"/>
    <s v="Medium"/>
  </r>
  <r>
    <x v="4"/>
    <s v="Model S"/>
    <x v="0"/>
    <s v="Long Range"/>
    <n v="122960.47"/>
    <n v="98.5"/>
    <n v="350"/>
    <n v="323"/>
    <n v="4.9000000000000004"/>
    <n v="178"/>
    <n v="897"/>
    <n v="749"/>
    <s v="FWD"/>
    <n v="5"/>
    <s v="SUV"/>
    <n v="55.8"/>
    <n v="2239"/>
    <n v="4"/>
    <n v="2"/>
    <x v="2"/>
    <x v="0"/>
    <n v="114585"/>
    <n v="4.0999999999999996"/>
    <n v="4"/>
    <x v="1"/>
    <n v="3.55"/>
    <s v="High"/>
  </r>
  <r>
    <x v="10"/>
    <s v="i5"/>
    <x v="2"/>
    <s v="Standard"/>
    <n v="91502.74"/>
    <n v="75.2"/>
    <n v="250"/>
    <n v="75.7"/>
    <n v="5.77"/>
    <n v="161"/>
    <n v="650"/>
    <n v="613"/>
    <s v="RWD"/>
    <n v="7"/>
    <s v="Coupe"/>
    <n v="32.6"/>
    <n v="1500"/>
    <n v="5"/>
    <n v="1"/>
    <x v="0"/>
    <x v="2"/>
    <n v="64217"/>
    <n v="3.6"/>
    <n v="6"/>
    <x v="1"/>
    <n v="3.32"/>
    <s v="High"/>
  </r>
  <r>
    <x v="0"/>
    <s v="ID. Buzz"/>
    <x v="5"/>
    <s v="Base"/>
    <n v="77633.039999999994"/>
    <n v="74"/>
    <n v="273"/>
    <n v="79.5"/>
    <n v="5.33"/>
    <n v="165"/>
    <n v="818"/>
    <n v="753"/>
    <s v="AWD"/>
    <n v="5"/>
    <s v="Truck"/>
    <n v="55.8"/>
    <n v="2544"/>
    <n v="5"/>
    <n v="2"/>
    <x v="0"/>
    <x v="2"/>
    <n v="203039"/>
    <n v="3.5"/>
    <n v="5"/>
    <x v="1"/>
    <n v="3.69"/>
    <s v="High"/>
  </r>
  <r>
    <x v="5"/>
    <s v="EQG"/>
    <x v="1"/>
    <s v="Long Range"/>
    <n v="74524.3"/>
    <n v="84.1"/>
    <n v="298"/>
    <n v="141.9"/>
    <n v="4.8899999999999997"/>
    <n v="180"/>
    <n v="277"/>
    <n v="271"/>
    <s v="AWD"/>
    <n v="5"/>
    <s v="Hatchback"/>
    <n v="23.3"/>
    <n v="1690"/>
    <n v="5"/>
    <n v="2"/>
    <x v="0"/>
    <x v="2"/>
    <n v="75343"/>
    <n v="3.9"/>
    <n v="7"/>
    <x v="1"/>
    <n v="3.54"/>
    <s v="High"/>
  </r>
  <r>
    <x v="4"/>
    <s v="Model X"/>
    <x v="5"/>
    <s v="Base"/>
    <n v="27570.57"/>
    <n v="44.6"/>
    <n v="153"/>
    <n v="215"/>
    <n v="7.41"/>
    <n v="137"/>
    <n v="161"/>
    <n v="200"/>
    <s v="AWD"/>
    <n v="5"/>
    <s v="Coupe"/>
    <n v="36.9"/>
    <n v="1682"/>
    <n v="5"/>
    <n v="2"/>
    <x v="2"/>
    <x v="3"/>
    <n v="203167"/>
    <n v="3.2"/>
    <n v="5"/>
    <x v="2"/>
    <n v="3.43"/>
    <s v="High"/>
  </r>
  <r>
    <x v="2"/>
    <s v="Silverado EV"/>
    <x v="0"/>
    <s v="Performance"/>
    <n v="42948.13"/>
    <n v="93.8"/>
    <n v="328"/>
    <n v="156.4"/>
    <n v="2.96"/>
    <n v="200"/>
    <n v="422"/>
    <n v="385"/>
    <s v="AWD"/>
    <n v="5"/>
    <s v="Sedan"/>
    <n v="31.4"/>
    <n v="1903"/>
    <n v="4"/>
    <n v="2"/>
    <x v="2"/>
    <x v="1"/>
    <n v="14040"/>
    <n v="3.8"/>
    <n v="4"/>
    <x v="0"/>
    <n v="3.5"/>
    <s v="Medium"/>
  </r>
  <r>
    <x v="5"/>
    <s v="GLE EV"/>
    <x v="1"/>
    <s v="Long Range"/>
    <n v="100017.14"/>
    <n v="108.6"/>
    <n v="382"/>
    <n v="123.5"/>
    <n v="5.74"/>
    <n v="157"/>
    <n v="539"/>
    <n v="494"/>
    <s v="FWD"/>
    <n v="5"/>
    <s v="Hatchback"/>
    <n v="33.799999999999997"/>
    <n v="1500"/>
    <n v="5"/>
    <n v="2"/>
    <x v="0"/>
    <x v="0"/>
    <n v="39100"/>
    <n v="4"/>
    <n v="8"/>
    <x v="1"/>
    <n v="3.52"/>
    <s v="High"/>
  </r>
  <r>
    <x v="1"/>
    <s v="bZ4X"/>
    <x v="5"/>
    <s v="Performance"/>
    <n v="108712.63"/>
    <n v="111.4"/>
    <n v="366"/>
    <n v="193.2"/>
    <n v="3.3"/>
    <n v="195"/>
    <n v="1000"/>
    <n v="924"/>
    <s v="RWD"/>
    <n v="5"/>
    <s v="Sedan"/>
    <n v="37.5"/>
    <n v="1549"/>
    <n v="4"/>
    <n v="0"/>
    <x v="1"/>
    <x v="0"/>
    <n v="12763"/>
    <n v="3.9"/>
    <n v="4"/>
    <x v="0"/>
    <n v="3.29"/>
    <s v="Medium"/>
  </r>
  <r>
    <x v="10"/>
    <s v="i7"/>
    <x v="5"/>
    <s v="Performance"/>
    <n v="96474.96"/>
    <n v="76.8"/>
    <n v="250"/>
    <n v="236"/>
    <n v="3.59"/>
    <n v="200"/>
    <n v="757"/>
    <n v="661"/>
    <s v="AWD"/>
    <n v="7"/>
    <s v="Van"/>
    <n v="70.599999999999994"/>
    <n v="1639"/>
    <n v="5"/>
    <n v="1"/>
    <x v="0"/>
    <x v="2"/>
    <n v="54809"/>
    <n v="3.5"/>
    <n v="7"/>
    <x v="0"/>
    <n v="3.26"/>
    <s v="High"/>
  </r>
  <r>
    <x v="8"/>
    <s v="i30"/>
    <x v="3"/>
    <s v="Standard"/>
    <n v="33127.96"/>
    <n v="41.6"/>
    <n v="164"/>
    <n v="118.9"/>
    <n v="7.91"/>
    <n v="129"/>
    <n v="245"/>
    <n v="205"/>
    <s v="AWD"/>
    <n v="5"/>
    <s v="SUV"/>
    <n v="62.9"/>
    <n v="2024"/>
    <n v="5"/>
    <n v="2"/>
    <x v="3"/>
    <x v="3"/>
    <n v="138439"/>
    <n v="3.1"/>
    <n v="5"/>
    <x v="2"/>
    <n v="3.94"/>
    <s v="High"/>
  </r>
  <r>
    <x v="3"/>
    <s v="Niro EV"/>
    <x v="3"/>
    <s v="Premium"/>
    <n v="52664.7"/>
    <n v="45"/>
    <n v="151"/>
    <n v="107.3"/>
    <n v="7.64"/>
    <n v="133"/>
    <n v="568"/>
    <n v="443"/>
    <s v="AWD"/>
    <n v="5"/>
    <s v="SUV"/>
    <n v="49.3"/>
    <n v="1711"/>
    <n v="5"/>
    <n v="2"/>
    <x v="3"/>
    <x v="1"/>
    <n v="62015"/>
    <n v="3.3"/>
    <n v="3"/>
    <x v="2"/>
    <n v="3.36"/>
    <s v="High"/>
  </r>
  <r>
    <x v="5"/>
    <s v="EQC"/>
    <x v="1"/>
    <s v="Long Range"/>
    <n v="117361.83"/>
    <n v="91.3"/>
    <n v="335"/>
    <n v="136"/>
    <n v="5.26"/>
    <n v="158"/>
    <n v="673"/>
    <n v="601"/>
    <s v="AWD"/>
    <n v="7"/>
    <s v="SUV"/>
    <n v="68.400000000000006"/>
    <n v="1923"/>
    <n v="4"/>
    <n v="1"/>
    <x v="0"/>
    <x v="0"/>
    <n v="75929"/>
    <n v="3.9"/>
    <n v="5"/>
    <x v="1"/>
    <n v="3.67"/>
    <s v="High"/>
  </r>
  <r>
    <x v="3"/>
    <s v="Picanto EV"/>
    <x v="2"/>
    <s v="Premium"/>
    <n v="91917.06"/>
    <n v="68.900000000000006"/>
    <n v="237"/>
    <n v="140.80000000000001"/>
    <n v="6.23"/>
    <n v="166"/>
    <n v="1000"/>
    <n v="904"/>
    <s v="FWD"/>
    <n v="5"/>
    <s v="Van"/>
    <n v="79.400000000000006"/>
    <n v="1684"/>
    <n v="4"/>
    <n v="1"/>
    <x v="3"/>
    <x v="2"/>
    <n v="124978"/>
    <n v="3.6"/>
    <n v="5"/>
    <x v="1"/>
    <n v="3.44"/>
    <s v="High"/>
  </r>
  <r>
    <x v="4"/>
    <s v="Model 3"/>
    <x v="0"/>
    <s v="Standard"/>
    <n v="128698.36"/>
    <n v="60.8"/>
    <n v="240"/>
    <n v="203"/>
    <n v="6.56"/>
    <n v="154"/>
    <n v="923"/>
    <n v="819"/>
    <s v="RWD"/>
    <n v="5"/>
    <s v="Truck"/>
    <n v="73.7"/>
    <n v="2335"/>
    <n v="5"/>
    <n v="2"/>
    <x v="2"/>
    <x v="0"/>
    <n v="132614"/>
    <n v="3.6"/>
    <n v="5"/>
    <x v="1"/>
    <n v="3.95"/>
    <s v="High"/>
  </r>
  <r>
    <x v="13"/>
    <s v="R2"/>
    <x v="3"/>
    <s v="Premium"/>
    <n v="100224.89"/>
    <n v="43.2"/>
    <n v="157"/>
    <n v="106.2"/>
    <n v="6.8"/>
    <n v="137"/>
    <n v="1000"/>
    <n v="909"/>
    <s v="RWD"/>
    <n v="5"/>
    <s v="Sedan"/>
    <n v="33.5"/>
    <n v="1592"/>
    <n v="4"/>
    <n v="1"/>
    <x v="2"/>
    <x v="0"/>
    <n v="10726"/>
    <n v="3"/>
    <n v="6"/>
    <x v="1"/>
    <n v="3.63"/>
    <s v="Medium"/>
  </r>
  <r>
    <x v="10"/>
    <s v="i4"/>
    <x v="3"/>
    <s v="Base"/>
    <n v="66795.11"/>
    <n v="65"/>
    <n v="246"/>
    <n v="73.400000000000006"/>
    <n v="5.68"/>
    <n v="171"/>
    <n v="358"/>
    <n v="333"/>
    <s v="RWD"/>
    <n v="7"/>
    <s v="Coupe"/>
    <n v="33"/>
    <n v="1861"/>
    <n v="5"/>
    <n v="1"/>
    <x v="0"/>
    <x v="2"/>
    <n v="50876"/>
    <n v="3.3"/>
    <n v="6"/>
    <x v="1"/>
    <n v="3.78"/>
    <s v="High"/>
  </r>
  <r>
    <x v="10"/>
    <s v="i3"/>
    <x v="3"/>
    <s v="Long Range"/>
    <n v="102396.37"/>
    <n v="96.6"/>
    <n v="340"/>
    <n v="102"/>
    <n v="4.37"/>
    <n v="184"/>
    <n v="852"/>
    <n v="737"/>
    <s v="FWD"/>
    <n v="5"/>
    <s v="Hatchback"/>
    <n v="18.7"/>
    <n v="1822"/>
    <n v="5"/>
    <n v="2"/>
    <x v="0"/>
    <x v="0"/>
    <n v="35285"/>
    <n v="3.7"/>
    <n v="5"/>
    <x v="1"/>
    <n v="3.52"/>
    <s v="High"/>
  </r>
  <r>
    <x v="7"/>
    <s v="Seagull"/>
    <x v="3"/>
    <s v="Long Range"/>
    <n v="53276.57"/>
    <n v="102.1"/>
    <n v="367"/>
    <n v="72.599999999999994"/>
    <n v="4.72"/>
    <n v="177"/>
    <n v="518"/>
    <n v="453"/>
    <s v="RWD"/>
    <n v="5"/>
    <s v="Coupe"/>
    <n v="36.5"/>
    <n v="1807"/>
    <n v="4"/>
    <n v="1"/>
    <x v="4"/>
    <x v="1"/>
    <n v="242908"/>
    <n v="4.3"/>
    <n v="3"/>
    <x v="1"/>
    <n v="3.59"/>
    <s v="High"/>
  </r>
  <r>
    <x v="10"/>
    <s v="i5"/>
    <x v="3"/>
    <s v="Base"/>
    <n v="102104.07"/>
    <n v="55.1"/>
    <n v="174"/>
    <n v="128.9"/>
    <n v="5.42"/>
    <n v="165"/>
    <n v="817"/>
    <n v="704"/>
    <s v="FWD"/>
    <n v="5"/>
    <s v="SUV"/>
    <n v="58.4"/>
    <n v="2165"/>
    <n v="3"/>
    <n v="2"/>
    <x v="0"/>
    <x v="0"/>
    <n v="30235"/>
    <n v="3.3"/>
    <n v="6"/>
    <x v="1"/>
    <n v="3.16"/>
    <s v="High"/>
  </r>
  <r>
    <x v="0"/>
    <s v="ID.3"/>
    <x v="3"/>
    <s v="Standard"/>
    <n v="62840.41"/>
    <n v="71.400000000000006"/>
    <n v="268"/>
    <n v="73.900000000000006"/>
    <n v="6.29"/>
    <n v="159"/>
    <n v="621"/>
    <n v="524"/>
    <s v="RWD"/>
    <n v="7"/>
    <s v="Hatchback"/>
    <n v="18.600000000000001"/>
    <n v="1960"/>
    <n v="5"/>
    <n v="0"/>
    <x v="0"/>
    <x v="1"/>
    <n v="242781"/>
    <n v="3.8"/>
    <n v="4"/>
    <x v="1"/>
    <n v="3.75"/>
    <s v="High"/>
  </r>
  <r>
    <x v="10"/>
    <s v="i5"/>
    <x v="2"/>
    <s v="Performance"/>
    <n v="131247.26"/>
    <n v="113.3"/>
    <n v="405"/>
    <n v="155.80000000000001"/>
    <n v="2.74"/>
    <n v="200"/>
    <n v="1000"/>
    <n v="891"/>
    <s v="AWD"/>
    <n v="5"/>
    <s v="Truck"/>
    <n v="65.400000000000006"/>
    <n v="2302"/>
    <n v="4"/>
    <n v="2"/>
    <x v="0"/>
    <x v="0"/>
    <n v="65041"/>
    <n v="3.9"/>
    <n v="8"/>
    <x v="0"/>
    <n v="3.57"/>
    <s v="High"/>
  </r>
  <r>
    <x v="4"/>
    <s v="Model S"/>
    <x v="3"/>
    <s v="Premium"/>
    <n v="84149.31"/>
    <n v="75.3"/>
    <n v="252"/>
    <n v="335.6"/>
    <n v="7.31"/>
    <n v="143"/>
    <n v="552"/>
    <n v="524"/>
    <s v="RWD"/>
    <n v="5"/>
    <s v="Sedan"/>
    <n v="36.5"/>
    <n v="1606"/>
    <n v="4"/>
    <n v="3"/>
    <x v="2"/>
    <x v="2"/>
    <n v="224851"/>
    <n v="3.6"/>
    <n v="6"/>
    <x v="2"/>
    <n v="3.35"/>
    <s v="High"/>
  </r>
  <r>
    <x v="10"/>
    <s v="iX"/>
    <x v="3"/>
    <s v="Standard"/>
    <n v="71216.91"/>
    <n v="62.4"/>
    <n v="239"/>
    <n v="72.7"/>
    <n v="5.38"/>
    <n v="171"/>
    <n v="396"/>
    <n v="355"/>
    <s v="FWD"/>
    <n v="5"/>
    <s v="Van"/>
    <n v="74.400000000000006"/>
    <n v="1623"/>
    <n v="4"/>
    <n v="1"/>
    <x v="0"/>
    <x v="2"/>
    <n v="70121"/>
    <n v="3.5"/>
    <n v="7"/>
    <x v="1"/>
    <n v="3.83"/>
    <s v="High"/>
  </r>
  <r>
    <x v="17"/>
    <s v="e"/>
    <x v="1"/>
    <s v="Premium"/>
    <n v="60662.04"/>
    <n v="67.2"/>
    <n v="242"/>
    <n v="144.9"/>
    <n v="6.09"/>
    <n v="154"/>
    <n v="943"/>
    <n v="887"/>
    <s v="AWD"/>
    <n v="5"/>
    <s v="SUV"/>
    <n v="36.4"/>
    <n v="1943"/>
    <n v="4"/>
    <n v="2"/>
    <x v="1"/>
    <x v="1"/>
    <n v="10748"/>
    <n v="3.5"/>
    <n v="3"/>
    <x v="1"/>
    <n v="3.6"/>
    <s v="Medium"/>
  </r>
  <r>
    <x v="4"/>
    <s v="Model X"/>
    <x v="2"/>
    <s v="Premium"/>
    <n v="46217.919999999998"/>
    <n v="55.9"/>
    <n v="205"/>
    <n v="259.60000000000002"/>
    <n v="6.69"/>
    <n v="151"/>
    <n v="293"/>
    <n v="270"/>
    <s v="AWD"/>
    <n v="7"/>
    <s v="Truck"/>
    <n v="68.2"/>
    <n v="2198"/>
    <n v="4"/>
    <n v="2"/>
    <x v="2"/>
    <x v="1"/>
    <n v="108494"/>
    <n v="3.7"/>
    <n v="5"/>
    <x v="1"/>
    <n v="3.67"/>
    <s v="High"/>
  </r>
  <r>
    <x v="16"/>
    <s v="Air"/>
    <x v="5"/>
    <s v="Premium"/>
    <n v="225594.15"/>
    <n v="63.1"/>
    <n v="216"/>
    <n v="285.89999999999998"/>
    <n v="8"/>
    <n v="125"/>
    <n v="1000"/>
    <n v="889"/>
    <s v="RWD"/>
    <n v="7"/>
    <s v="Van"/>
    <n v="62.9"/>
    <n v="1500"/>
    <n v="5"/>
    <n v="0"/>
    <x v="2"/>
    <x v="0"/>
    <n v="21994"/>
    <n v="3.4"/>
    <n v="5"/>
    <x v="2"/>
    <n v="3.42"/>
    <s v="High"/>
  </r>
  <r>
    <x v="0"/>
    <s v="ID. Buzz"/>
    <x v="3"/>
    <s v="Standard"/>
    <n v="87726.28"/>
    <n v="40.6"/>
    <n v="161"/>
    <n v="79.3"/>
    <n v="6.58"/>
    <n v="133"/>
    <n v="1000"/>
    <n v="936"/>
    <s v="AWD"/>
    <n v="7"/>
    <s v="Van"/>
    <n v="76.400000000000006"/>
    <n v="1646"/>
    <n v="5"/>
    <n v="1"/>
    <x v="0"/>
    <x v="2"/>
    <n v="253183"/>
    <n v="3.5"/>
    <n v="3"/>
    <x v="1"/>
    <n v="3.97"/>
    <s v="High"/>
  </r>
  <r>
    <x v="5"/>
    <s v="EQE"/>
    <x v="2"/>
    <s v="Premium"/>
    <n v="146623.72"/>
    <n v="69.099999999999994"/>
    <n v="262"/>
    <n v="117.9"/>
    <n v="5.33"/>
    <n v="176"/>
    <n v="935"/>
    <n v="806"/>
    <s v="AWD"/>
    <n v="7"/>
    <s v="Coupe"/>
    <n v="16.8"/>
    <n v="1586"/>
    <n v="4"/>
    <n v="2"/>
    <x v="0"/>
    <x v="0"/>
    <n v="43244"/>
    <n v="3.6"/>
    <n v="7"/>
    <x v="1"/>
    <n v="3.79"/>
    <s v="High"/>
  </r>
  <r>
    <x v="9"/>
    <s v="Mustang Mach-E"/>
    <x v="1"/>
    <s v="Base"/>
    <n v="64696.27"/>
    <n v="51.7"/>
    <n v="165"/>
    <n v="60.6"/>
    <n v="6.94"/>
    <n v="144"/>
    <n v="704"/>
    <n v="642"/>
    <s v="RWD"/>
    <n v="5"/>
    <s v="Van"/>
    <n v="67.400000000000006"/>
    <n v="1771"/>
    <n v="4"/>
    <n v="1"/>
    <x v="2"/>
    <x v="1"/>
    <n v="37967"/>
    <n v="3.1"/>
    <n v="4"/>
    <x v="1"/>
    <n v="3.19"/>
    <s v="High"/>
  </r>
  <r>
    <x v="3"/>
    <s v="Picanto EV"/>
    <x v="2"/>
    <s v="Base"/>
    <n v="26810.33"/>
    <n v="75.599999999999994"/>
    <n v="247"/>
    <n v="71.5"/>
    <n v="5.79"/>
    <n v="166"/>
    <n v="174"/>
    <n v="223"/>
    <s v="AWD"/>
    <n v="7"/>
    <s v="SUV"/>
    <n v="48.7"/>
    <n v="2204"/>
    <n v="5"/>
    <n v="1"/>
    <x v="3"/>
    <x v="3"/>
    <n v="138862"/>
    <n v="3.5"/>
    <n v="5"/>
    <x v="1"/>
    <n v="3.27"/>
    <s v="High"/>
  </r>
  <r>
    <x v="2"/>
    <s v="Blazer EV"/>
    <x v="2"/>
    <s v="Premium"/>
    <n v="45723.03"/>
    <n v="55"/>
    <n v="207"/>
    <n v="69.5"/>
    <n v="6.64"/>
    <n v="148"/>
    <n v="515"/>
    <n v="479"/>
    <s v="RWD"/>
    <n v="5"/>
    <s v="SUV"/>
    <n v="68.5"/>
    <n v="1728"/>
    <n v="5"/>
    <n v="0"/>
    <x v="2"/>
    <x v="1"/>
    <n v="19610"/>
    <n v="3.4"/>
    <n v="4"/>
    <x v="1"/>
    <n v="3.76"/>
    <s v="Medium"/>
  </r>
  <r>
    <x v="11"/>
    <s v="Q6 e-tron"/>
    <x v="3"/>
    <s v="Performance"/>
    <n v="99175.33"/>
    <n v="93.3"/>
    <n v="334"/>
    <n v="217"/>
    <n v="3.73"/>
    <n v="185"/>
    <n v="706"/>
    <n v="646"/>
    <s v="FWD"/>
    <n v="5"/>
    <s v="Coupe"/>
    <n v="31.9"/>
    <n v="1897"/>
    <n v="5"/>
    <n v="2"/>
    <x v="0"/>
    <x v="2"/>
    <n v="77677"/>
    <n v="3.7"/>
    <n v="6"/>
    <x v="0"/>
    <n v="3.58"/>
    <s v="High"/>
  </r>
  <r>
    <x v="0"/>
    <s v="ID. Aero"/>
    <x v="3"/>
    <s v="Standard"/>
    <n v="87997.46"/>
    <n v="42.5"/>
    <n v="150"/>
    <n v="88.7"/>
    <n v="7.75"/>
    <n v="129"/>
    <n v="1000"/>
    <n v="893"/>
    <s v="FWD"/>
    <n v="7"/>
    <s v="SUV"/>
    <n v="63.2"/>
    <n v="1931"/>
    <n v="4"/>
    <n v="2"/>
    <x v="0"/>
    <x v="2"/>
    <n v="228031"/>
    <n v="3.2"/>
    <n v="4"/>
    <x v="2"/>
    <n v="3.53"/>
    <s v="High"/>
  </r>
  <r>
    <x v="7"/>
    <s v="Leaf 50X"/>
    <x v="3"/>
    <s v="Base"/>
    <n v="25853.85"/>
    <n v="83.7"/>
    <n v="278"/>
    <n v="69.900000000000006"/>
    <n v="6.22"/>
    <n v="157"/>
    <n v="204"/>
    <n v="200"/>
    <s v="AWD"/>
    <n v="7"/>
    <s v="Truck"/>
    <n v="74.599999999999994"/>
    <n v="2589"/>
    <n v="5"/>
    <n v="0"/>
    <x v="4"/>
    <x v="3"/>
    <n v="106382"/>
    <n v="3.6"/>
    <n v="4"/>
    <x v="1"/>
    <n v="3.32"/>
    <s v="High"/>
  </r>
  <r>
    <x v="10"/>
    <s v="i3"/>
    <x v="3"/>
    <s v="Long Range"/>
    <n v="66806.73"/>
    <n v="104.8"/>
    <n v="353"/>
    <n v="86.3"/>
    <n v="5"/>
    <n v="170"/>
    <n v="376"/>
    <n v="398"/>
    <s v="RWD"/>
    <n v="5"/>
    <s v="Coupe"/>
    <n v="25.6"/>
    <n v="1736"/>
    <n v="4"/>
    <n v="1"/>
    <x v="0"/>
    <x v="2"/>
    <n v="37357"/>
    <n v="3.7"/>
    <n v="7"/>
    <x v="1"/>
    <n v="3.37"/>
    <s v="High"/>
  </r>
  <r>
    <x v="9"/>
    <s v="F-150 Lightning"/>
    <x v="2"/>
    <s v="Standard"/>
    <n v="38587"/>
    <n v="78"/>
    <n v="278"/>
    <n v="149.30000000000001"/>
    <n v="6.77"/>
    <n v="145"/>
    <n v="282"/>
    <n v="248"/>
    <s v="FWD"/>
    <n v="2"/>
    <s v="Truck"/>
    <n v="77.3"/>
    <n v="2728"/>
    <n v="5"/>
    <n v="2"/>
    <x v="2"/>
    <x v="1"/>
    <n v="66132"/>
    <n v="3.6"/>
    <n v="5"/>
    <x v="1"/>
    <n v="3.56"/>
    <s v="High"/>
  </r>
  <r>
    <x v="9"/>
    <s v="Explorer EV"/>
    <x v="2"/>
    <s v="Performance"/>
    <n v="61417.24"/>
    <n v="107.1"/>
    <n v="370"/>
    <n v="237.9"/>
    <n v="3.91"/>
    <n v="189"/>
    <n v="606"/>
    <n v="524"/>
    <s v="AWD"/>
    <n v="5"/>
    <s v="Coupe"/>
    <n v="31.7"/>
    <n v="1689"/>
    <n v="5"/>
    <n v="0"/>
    <x v="2"/>
    <x v="1"/>
    <n v="29374"/>
    <n v="3.7"/>
    <n v="3"/>
    <x v="0"/>
    <n v="3.45"/>
    <s v="High"/>
  </r>
  <r>
    <x v="9"/>
    <s v="F-150 Lightning"/>
    <x v="5"/>
    <s v="Premium"/>
    <n v="73146.64"/>
    <n v="40.1"/>
    <n v="150"/>
    <n v="143.80000000000001"/>
    <n v="6.78"/>
    <n v="157"/>
    <n v="837"/>
    <n v="763"/>
    <s v="AWD"/>
    <n v="2"/>
    <s v="Truck"/>
    <n v="68.599999999999994"/>
    <n v="2484"/>
    <n v="5"/>
    <n v="2"/>
    <x v="2"/>
    <x v="2"/>
    <n v="26454"/>
    <n v="3.2"/>
    <n v="4"/>
    <x v="1"/>
    <n v="3.74"/>
    <s v="High"/>
  </r>
  <r>
    <x v="0"/>
    <s v="ID.4"/>
    <x v="2"/>
    <s v="Performance"/>
    <n v="80127.240000000005"/>
    <n v="106.2"/>
    <n v="352"/>
    <n v="207.6"/>
    <n v="3.59"/>
    <n v="193"/>
    <n v="890"/>
    <n v="825"/>
    <s v="AWD"/>
    <n v="7"/>
    <s v="SUV"/>
    <n v="68"/>
    <n v="2269"/>
    <n v="5"/>
    <n v="0"/>
    <x v="0"/>
    <x v="2"/>
    <n v="267416"/>
    <n v="3.5"/>
    <n v="4"/>
    <x v="0"/>
    <n v="3.31"/>
    <s v="High"/>
  </r>
  <r>
    <x v="9"/>
    <s v="F-150 Lightning"/>
    <x v="3"/>
    <s v="Long Range"/>
    <n v="69759.03"/>
    <n v="87.5"/>
    <n v="324"/>
    <n v="69.5"/>
    <n v="5.88"/>
    <n v="162"/>
    <n v="803"/>
    <n v="740"/>
    <s v="FWD"/>
    <n v="4"/>
    <s v="Truck"/>
    <n v="75.3"/>
    <n v="2664"/>
    <n v="4"/>
    <n v="0"/>
    <x v="2"/>
    <x v="2"/>
    <n v="57497"/>
    <n v="3.7"/>
    <n v="4"/>
    <x v="1"/>
    <n v="3.7"/>
    <s v="High"/>
  </r>
  <r>
    <x v="4"/>
    <s v="Model 3"/>
    <x v="0"/>
    <s v="Standard"/>
    <n v="68205.179999999993"/>
    <n v="50.5"/>
    <n v="178"/>
    <n v="305.39999999999998"/>
    <n v="7.89"/>
    <n v="121"/>
    <n v="492"/>
    <n v="417"/>
    <s v="AWD"/>
    <n v="5"/>
    <s v="Van"/>
    <n v="79.599999999999994"/>
    <n v="1512"/>
    <n v="4"/>
    <n v="3"/>
    <x v="2"/>
    <x v="2"/>
    <n v="179048"/>
    <n v="3.6"/>
    <n v="4"/>
    <x v="2"/>
    <n v="3.52"/>
    <s v="High"/>
  </r>
  <r>
    <x v="3"/>
    <s v="EV9"/>
    <x v="5"/>
    <s v="Standard"/>
    <n v="52324.87"/>
    <n v="44.4"/>
    <n v="154"/>
    <n v="84.3"/>
    <n v="6.34"/>
    <n v="158"/>
    <n v="517"/>
    <n v="461"/>
    <s v="AWD"/>
    <n v="5"/>
    <s v="SUV"/>
    <n v="41.9"/>
    <n v="2334"/>
    <n v="5"/>
    <n v="0"/>
    <x v="3"/>
    <x v="1"/>
    <n v="142095"/>
    <n v="3"/>
    <n v="5"/>
    <x v="1"/>
    <n v="3.47"/>
    <s v="High"/>
  </r>
  <r>
    <x v="4"/>
    <s v="Model X"/>
    <x v="3"/>
    <s v="Long Range"/>
    <n v="119926.96"/>
    <n v="80.900000000000006"/>
    <n v="277"/>
    <n v="248.9"/>
    <n v="4.9800000000000004"/>
    <n v="177"/>
    <n v="912"/>
    <n v="883"/>
    <s v="AWD"/>
    <n v="5"/>
    <s v="Van"/>
    <n v="77.400000000000006"/>
    <n v="1826"/>
    <n v="4"/>
    <n v="2"/>
    <x v="2"/>
    <x v="0"/>
    <n v="137895"/>
    <n v="4.0999999999999996"/>
    <n v="5"/>
    <x v="1"/>
    <n v="3.42"/>
    <s v="High"/>
  </r>
  <r>
    <x v="7"/>
    <s v="Max"/>
    <x v="1"/>
    <s v="Standard"/>
    <n v="59138.53"/>
    <n v="43.2"/>
    <n v="160"/>
    <n v="81.3"/>
    <n v="7.03"/>
    <n v="141"/>
    <n v="665"/>
    <n v="586"/>
    <s v="FWD"/>
    <n v="7"/>
    <s v="Sedan"/>
    <n v="19.899999999999999"/>
    <n v="1666"/>
    <n v="4"/>
    <n v="2"/>
    <x v="4"/>
    <x v="1"/>
    <n v="241442"/>
    <n v="3.2"/>
    <n v="4"/>
    <x v="2"/>
    <n v="3.7"/>
    <s v="High"/>
  </r>
  <r>
    <x v="0"/>
    <s v="ID.3"/>
    <x v="3"/>
    <s v="Base"/>
    <n v="73427.05"/>
    <n v="43.7"/>
    <n v="150"/>
    <n v="145.80000000000001"/>
    <n v="5.35"/>
    <n v="164"/>
    <n v="778"/>
    <n v="730"/>
    <s v="AWD"/>
    <n v="7"/>
    <s v="Hatchback"/>
    <n v="20.9"/>
    <n v="1532"/>
    <n v="4"/>
    <n v="0"/>
    <x v="0"/>
    <x v="2"/>
    <n v="258880"/>
    <n v="3.3"/>
    <n v="4"/>
    <x v="1"/>
    <n v="3.43"/>
    <s v="High"/>
  </r>
  <r>
    <x v="0"/>
    <s v="ID.4"/>
    <x v="4"/>
    <s v="Premium"/>
    <n v="105115.96"/>
    <n v="73.099999999999994"/>
    <n v="242"/>
    <n v="57.4"/>
    <n v="7.41"/>
    <n v="143"/>
    <n v="1000"/>
    <n v="918"/>
    <s v="RWD"/>
    <n v="5"/>
    <s v="Truck"/>
    <n v="76.900000000000006"/>
    <n v="2408"/>
    <n v="4"/>
    <n v="1"/>
    <x v="0"/>
    <x v="0"/>
    <n v="297514"/>
    <n v="3.4"/>
    <n v="5"/>
    <x v="2"/>
    <n v="3.31"/>
    <s v="High"/>
  </r>
  <r>
    <x v="2"/>
    <s v="Bolt EV"/>
    <x v="2"/>
    <s v="Performance"/>
    <n v="54375.97"/>
    <n v="88.9"/>
    <n v="299"/>
    <n v="200.1"/>
    <n v="2.85"/>
    <n v="200"/>
    <n v="612"/>
    <n v="507"/>
    <s v="AWD"/>
    <n v="7"/>
    <s v="Sedan"/>
    <n v="31.1"/>
    <n v="1654"/>
    <n v="5"/>
    <n v="0"/>
    <x v="2"/>
    <x v="1"/>
    <n v="24792"/>
    <n v="3.6"/>
    <n v="3"/>
    <x v="0"/>
    <n v="3.36"/>
    <s v="High"/>
  </r>
  <r>
    <x v="0"/>
    <s v="ID. Aero"/>
    <x v="3"/>
    <s v="Long Range"/>
    <n v="61721.97"/>
    <n v="88.9"/>
    <n v="293"/>
    <n v="121"/>
    <n v="4.49"/>
    <n v="174"/>
    <n v="611"/>
    <n v="538"/>
    <s v="FWD"/>
    <n v="5"/>
    <s v="SUV"/>
    <n v="38.9"/>
    <n v="2029"/>
    <n v="4"/>
    <n v="1"/>
    <x v="0"/>
    <x v="1"/>
    <n v="292808"/>
    <n v="3.7"/>
    <n v="3"/>
    <x v="1"/>
    <n v="3.3"/>
    <s v="High"/>
  </r>
  <r>
    <x v="0"/>
    <s v="ID.4"/>
    <x v="3"/>
    <s v="Base"/>
    <n v="70848.39"/>
    <n v="47.9"/>
    <n v="178"/>
    <n v="115.1"/>
    <n v="6.3"/>
    <n v="160"/>
    <n v="723"/>
    <n v="644"/>
    <s v="FWD"/>
    <n v="7"/>
    <s v="Hatchback"/>
    <n v="21.5"/>
    <n v="1500"/>
    <n v="4"/>
    <n v="1"/>
    <x v="0"/>
    <x v="2"/>
    <n v="282558"/>
    <n v="3.3"/>
    <n v="4"/>
    <x v="1"/>
    <n v="3.72"/>
    <s v="High"/>
  </r>
  <r>
    <x v="7"/>
    <s v="Seagull"/>
    <x v="2"/>
    <s v="Long Range"/>
    <n v="51370.62"/>
    <n v="105.7"/>
    <n v="403"/>
    <n v="99.6"/>
    <n v="4.91"/>
    <n v="177"/>
    <n v="534"/>
    <n v="505"/>
    <s v="AWD"/>
    <n v="7"/>
    <s v="Coupe"/>
    <n v="28.1"/>
    <n v="1598"/>
    <n v="5"/>
    <n v="1"/>
    <x v="4"/>
    <x v="1"/>
    <n v="177642"/>
    <n v="3.8"/>
    <n v="4"/>
    <x v="1"/>
    <n v="3.81"/>
    <s v="High"/>
  </r>
  <r>
    <x v="0"/>
    <s v="ID.5"/>
    <x v="4"/>
    <s v="Long Range"/>
    <n v="44741.31"/>
    <n v="93.3"/>
    <n v="312"/>
    <n v="57.6"/>
    <n v="4.33"/>
    <n v="186"/>
    <n v="326"/>
    <n v="304"/>
    <s v="AWD"/>
    <n v="7"/>
    <s v="Sedan"/>
    <n v="24.9"/>
    <n v="1689"/>
    <n v="5"/>
    <n v="2"/>
    <x v="0"/>
    <x v="1"/>
    <n v="254746"/>
    <n v="3.4"/>
    <n v="4"/>
    <x v="1"/>
    <n v="3.34"/>
    <s v="High"/>
  </r>
  <r>
    <x v="7"/>
    <s v="Qin"/>
    <x v="4"/>
    <s v="Base"/>
    <n v="25493.200000000001"/>
    <n v="79"/>
    <n v="290"/>
    <n v="50.3"/>
    <n v="6.89"/>
    <n v="147"/>
    <n v="244"/>
    <n v="200"/>
    <s v="RWD"/>
    <n v="5"/>
    <s v="SUV"/>
    <n v="59.6"/>
    <n v="1716"/>
    <n v="4"/>
    <n v="0"/>
    <x v="4"/>
    <x v="3"/>
    <n v="203716"/>
    <n v="3.6"/>
    <n v="3"/>
    <x v="1"/>
    <n v="3.67"/>
    <s v="High"/>
  </r>
  <r>
    <x v="4"/>
    <s v="Model Y"/>
    <x v="3"/>
    <s v="Long Range"/>
    <n v="139788.5"/>
    <n v="103.7"/>
    <n v="335"/>
    <n v="289.7"/>
    <n v="5.62"/>
    <n v="164"/>
    <n v="990"/>
    <n v="941"/>
    <s v="FWD"/>
    <n v="5"/>
    <s v="Coupe"/>
    <n v="36.9"/>
    <n v="1711"/>
    <n v="4"/>
    <n v="2"/>
    <x v="2"/>
    <x v="0"/>
    <n v="402120"/>
    <n v="3.8"/>
    <n v="5"/>
    <x v="1"/>
    <n v="3.23"/>
    <s v="High"/>
  </r>
  <r>
    <x v="3"/>
    <s v="EV6"/>
    <x v="6"/>
    <s v="Standard"/>
    <n v="29338.85"/>
    <n v="40.5"/>
    <n v="157"/>
    <n v="85.7"/>
    <n v="6.13"/>
    <n v="165"/>
    <n v="185"/>
    <n v="200"/>
    <s v="FWD"/>
    <n v="5"/>
    <s v="SUV"/>
    <n v="68.7"/>
    <n v="2266"/>
    <n v="4"/>
    <n v="1"/>
    <x v="3"/>
    <x v="3"/>
    <n v="61921"/>
    <n v="3.2"/>
    <n v="3"/>
    <x v="1"/>
    <n v="3.88"/>
    <s v="High"/>
  </r>
  <r>
    <x v="10"/>
    <s v="iX"/>
    <x v="2"/>
    <s v="Long Range"/>
    <n v="73854.83"/>
    <n v="96.9"/>
    <n v="322"/>
    <n v="135.19999999999999"/>
    <n v="4.66"/>
    <n v="181"/>
    <n v="435"/>
    <n v="336"/>
    <s v="FWD"/>
    <n v="5"/>
    <s v="Hatchback"/>
    <n v="24.9"/>
    <n v="1829"/>
    <n v="5"/>
    <n v="2"/>
    <x v="0"/>
    <x v="2"/>
    <n v="33084"/>
    <n v="3.6"/>
    <n v="8"/>
    <x v="1"/>
    <n v="3.32"/>
    <s v="High"/>
  </r>
  <r>
    <x v="10"/>
    <s v="i3"/>
    <x v="3"/>
    <s v="Premium"/>
    <n v="108403.17"/>
    <n v="84.9"/>
    <n v="286"/>
    <n v="52.2"/>
    <n v="5.55"/>
    <n v="165"/>
    <n v="939"/>
    <n v="836"/>
    <s v="AWD"/>
    <n v="7"/>
    <s v="Truck"/>
    <n v="72.3"/>
    <n v="2516"/>
    <n v="5"/>
    <n v="2"/>
    <x v="0"/>
    <x v="0"/>
    <n v="60610"/>
    <n v="3.5"/>
    <n v="8"/>
    <x v="1"/>
    <n v="3.37"/>
    <s v="High"/>
  </r>
  <r>
    <x v="8"/>
    <s v="Kona Electric"/>
    <x v="2"/>
    <s v="Performance"/>
    <n v="50241.81"/>
    <n v="101.5"/>
    <n v="340"/>
    <n v="152.69999999999999"/>
    <n v="3.86"/>
    <n v="193"/>
    <n v="556"/>
    <n v="549"/>
    <s v="RWD"/>
    <n v="5"/>
    <s v="SUV"/>
    <n v="41.1"/>
    <n v="2084"/>
    <n v="5"/>
    <n v="0"/>
    <x v="3"/>
    <x v="1"/>
    <n v="106270"/>
    <n v="3.7"/>
    <n v="3"/>
    <x v="0"/>
    <n v="3.35"/>
    <s v="High"/>
  </r>
  <r>
    <x v="0"/>
    <s v="ID. Aero"/>
    <x v="0"/>
    <s v="Premium"/>
    <n v="107650.74"/>
    <n v="66"/>
    <n v="238"/>
    <n v="70.599999999999994"/>
    <n v="5.43"/>
    <n v="169"/>
    <n v="1000"/>
    <n v="931"/>
    <s v="AWD"/>
    <n v="5"/>
    <s v="Hatchback"/>
    <n v="31.9"/>
    <n v="1500"/>
    <n v="4"/>
    <n v="1"/>
    <x v="0"/>
    <x v="0"/>
    <n v="215531"/>
    <n v="3.4"/>
    <n v="4"/>
    <x v="1"/>
    <n v="3.61"/>
    <s v="High"/>
  </r>
  <r>
    <x v="5"/>
    <s v="GLE EV"/>
    <x v="5"/>
    <s v="Long Range"/>
    <n v="89516.61"/>
    <n v="78.7"/>
    <n v="296"/>
    <n v="115.6"/>
    <n v="4.2300000000000004"/>
    <n v="185"/>
    <n v="381"/>
    <n v="309"/>
    <s v="FWD"/>
    <n v="5"/>
    <s v="Van"/>
    <n v="62"/>
    <n v="1692"/>
    <n v="4"/>
    <n v="1"/>
    <x v="0"/>
    <x v="2"/>
    <n v="50182"/>
    <n v="4.0999999999999996"/>
    <n v="5"/>
    <x v="1"/>
    <n v="3.76"/>
    <s v="High"/>
  </r>
  <r>
    <x v="8"/>
    <s v="Ioniq 6"/>
    <x v="2"/>
    <s v="Performance"/>
    <n v="106647.79"/>
    <n v="98.5"/>
    <n v="363"/>
    <n v="152.4"/>
    <n v="2.76"/>
    <n v="200"/>
    <n v="1000"/>
    <n v="921"/>
    <s v="AWD"/>
    <n v="7"/>
    <s v="Coupe"/>
    <n v="36.4"/>
    <n v="1549"/>
    <n v="5"/>
    <n v="1"/>
    <x v="3"/>
    <x v="0"/>
    <n v="149654"/>
    <n v="3.9"/>
    <n v="5"/>
    <x v="0"/>
    <n v="3.69"/>
    <s v="High"/>
  </r>
  <r>
    <x v="8"/>
    <s v="Ioniq"/>
    <x v="0"/>
    <s v="Long Range"/>
    <n v="85387.82"/>
    <n v="78.5"/>
    <n v="251"/>
    <n v="130.4"/>
    <n v="5.18"/>
    <n v="178"/>
    <n v="1000"/>
    <n v="899"/>
    <s v="AWD"/>
    <n v="5"/>
    <s v="Sedan"/>
    <n v="26.9"/>
    <n v="1500"/>
    <n v="4"/>
    <n v="2"/>
    <x v="3"/>
    <x v="2"/>
    <n v="131774"/>
    <n v="3.5"/>
    <n v="3"/>
    <x v="1"/>
    <n v="3.2"/>
    <s v="High"/>
  </r>
  <r>
    <x v="4"/>
    <s v="Model S"/>
    <x v="0"/>
    <s v="Premium"/>
    <n v="84622.11"/>
    <n v="73.7"/>
    <n v="264"/>
    <n v="297"/>
    <n v="7.3"/>
    <n v="143"/>
    <n v="599"/>
    <n v="590"/>
    <s v="AWD"/>
    <n v="5"/>
    <s v="SUV"/>
    <n v="44.8"/>
    <n v="1922"/>
    <n v="4"/>
    <n v="2"/>
    <x v="2"/>
    <x v="2"/>
    <n v="193331"/>
    <n v="3.6"/>
    <n v="5"/>
    <x v="2"/>
    <n v="3.58"/>
    <s v="High"/>
  </r>
  <r>
    <x v="7"/>
    <s v="Atto 3"/>
    <x v="3"/>
    <s v="Long Range"/>
    <n v="28903.55"/>
    <n v="96.2"/>
    <n v="330"/>
    <n v="61.7"/>
    <n v="4.7300000000000004"/>
    <n v="180"/>
    <n v="255"/>
    <n v="210"/>
    <s v="AWD"/>
    <n v="5"/>
    <s v="Hatchback"/>
    <n v="34.4"/>
    <n v="1559"/>
    <n v="4"/>
    <n v="1"/>
    <x v="4"/>
    <x v="3"/>
    <n v="225650"/>
    <n v="3.6"/>
    <n v="3"/>
    <x v="1"/>
    <n v="3.43"/>
    <s v="High"/>
  </r>
  <r>
    <x v="0"/>
    <s v="ID. Buzz"/>
    <x v="3"/>
    <s v="Premium"/>
    <n v="88650.96"/>
    <n v="83.9"/>
    <n v="297"/>
    <n v="85.7"/>
    <n v="6.87"/>
    <n v="146"/>
    <n v="1000"/>
    <n v="880"/>
    <s v="RWD"/>
    <n v="7"/>
    <s v="Sedan"/>
    <n v="32.200000000000003"/>
    <n v="1768"/>
    <n v="4"/>
    <n v="0"/>
    <x v="0"/>
    <x v="2"/>
    <n v="243258"/>
    <n v="3.6"/>
    <n v="5"/>
    <x v="1"/>
    <n v="3.54"/>
    <s v="High"/>
  </r>
  <r>
    <x v="0"/>
    <s v="ID.4"/>
    <x v="2"/>
    <s v="Long Range"/>
    <n v="69709.16"/>
    <n v="99.7"/>
    <n v="349"/>
    <n v="60.9"/>
    <n v="4.74"/>
    <n v="184"/>
    <n v="662"/>
    <n v="636"/>
    <s v="AWD"/>
    <n v="5"/>
    <s v="Truck"/>
    <n v="61.1"/>
    <n v="2597"/>
    <n v="5"/>
    <n v="0"/>
    <x v="0"/>
    <x v="2"/>
    <n v="273314"/>
    <n v="3.8"/>
    <n v="4"/>
    <x v="1"/>
    <n v="3.5"/>
    <s v="High"/>
  </r>
  <r>
    <x v="3"/>
    <s v="EV6"/>
    <x v="0"/>
    <s v="Long Range"/>
    <n v="68881.259999999995"/>
    <n v="85.2"/>
    <n v="297"/>
    <n v="97.4"/>
    <n v="4.5999999999999996"/>
    <n v="172"/>
    <n v="787"/>
    <n v="717"/>
    <s v="AWD"/>
    <n v="5"/>
    <s v="SUV"/>
    <n v="36.4"/>
    <n v="1755"/>
    <n v="4"/>
    <n v="0"/>
    <x v="3"/>
    <x v="2"/>
    <n v="85490"/>
    <n v="3.5"/>
    <n v="4"/>
    <x v="1"/>
    <n v="3.49"/>
    <s v="High"/>
  </r>
  <r>
    <x v="8"/>
    <s v="Ioniq 5"/>
    <x v="5"/>
    <s v="Performance"/>
    <n v="46435.85"/>
    <n v="100.4"/>
    <n v="359"/>
    <n v="204.9"/>
    <n v="3.97"/>
    <n v="189"/>
    <n v="429"/>
    <n v="426"/>
    <s v="RWD"/>
    <n v="7"/>
    <s v="SUV"/>
    <n v="52.7"/>
    <n v="2075"/>
    <n v="4"/>
    <n v="0"/>
    <x v="3"/>
    <x v="1"/>
    <n v="73520"/>
    <n v="3.7"/>
    <n v="4"/>
    <x v="0"/>
    <n v="3.58"/>
    <s v="High"/>
  </r>
  <r>
    <x v="3"/>
    <s v="Niro EV"/>
    <x v="0"/>
    <s v="Base"/>
    <n v="53627.18"/>
    <n v="75.2"/>
    <n v="266"/>
    <n v="132.80000000000001"/>
    <n v="6.62"/>
    <n v="154"/>
    <n v="573"/>
    <n v="518"/>
    <s v="FWD"/>
    <n v="5"/>
    <s v="Sedan"/>
    <n v="16.600000000000001"/>
    <n v="1500"/>
    <n v="3"/>
    <n v="0"/>
    <x v="3"/>
    <x v="1"/>
    <n v="65815"/>
    <n v="3.7"/>
    <n v="4"/>
    <x v="1"/>
    <n v="3.54"/>
    <s v="High"/>
  </r>
  <r>
    <x v="9"/>
    <s v="Explorer EV"/>
    <x v="3"/>
    <s v="Base"/>
    <n v="31999.38"/>
    <n v="73.5"/>
    <n v="219"/>
    <n v="63"/>
    <n v="6.24"/>
    <n v="163"/>
    <n v="192"/>
    <n v="210"/>
    <s v="AWD"/>
    <n v="5"/>
    <s v="Truck"/>
    <n v="74.2"/>
    <n v="2364"/>
    <n v="4"/>
    <n v="1"/>
    <x v="2"/>
    <x v="3"/>
    <n v="25220"/>
    <n v="3.4"/>
    <n v="4"/>
    <x v="1"/>
    <n v="2.98"/>
    <s v="High"/>
  </r>
  <r>
    <x v="9"/>
    <s v="E-Transit"/>
    <x v="3"/>
    <s v="Long Range"/>
    <n v="97440.5"/>
    <n v="95"/>
    <n v="331"/>
    <n v="63.3"/>
    <n v="5.16"/>
    <n v="173"/>
    <n v="1000"/>
    <n v="897"/>
    <s v="RWD"/>
    <n v="5"/>
    <s v="Coupe"/>
    <n v="18.100000000000001"/>
    <n v="1680"/>
    <n v="4"/>
    <n v="1"/>
    <x v="2"/>
    <x v="2"/>
    <n v="26936"/>
    <n v="3.7"/>
    <n v="4"/>
    <x v="1"/>
    <n v="3.48"/>
    <s v="High"/>
  </r>
  <r>
    <x v="2"/>
    <s v="Equinox EV"/>
    <x v="1"/>
    <s v="Base"/>
    <n v="33771.620000000003"/>
    <n v="73.400000000000006"/>
    <n v="250"/>
    <n v="77.5"/>
    <n v="5.72"/>
    <n v="157"/>
    <n v="262"/>
    <n v="240"/>
    <s v="RWD"/>
    <n v="5"/>
    <s v="SUV"/>
    <n v="64"/>
    <n v="2124"/>
    <n v="4"/>
    <n v="0"/>
    <x v="2"/>
    <x v="3"/>
    <n v="22698"/>
    <n v="3.3"/>
    <n v="4"/>
    <x v="1"/>
    <n v="3.41"/>
    <s v="High"/>
  </r>
  <r>
    <x v="1"/>
    <s v="bZ Compact SUV"/>
    <x v="0"/>
    <s v="Long Range"/>
    <n v="79916.17"/>
    <n v="85.7"/>
    <n v="295"/>
    <n v="79.3"/>
    <n v="4.43"/>
    <n v="176"/>
    <n v="1000"/>
    <n v="898"/>
    <s v="FWD"/>
    <n v="5"/>
    <s v="SUV"/>
    <n v="44.3"/>
    <n v="2030"/>
    <n v="4"/>
    <n v="1"/>
    <x v="1"/>
    <x v="2"/>
    <n v="29619"/>
    <n v="3.5"/>
    <n v="3"/>
    <x v="1"/>
    <n v="3.44"/>
    <s v="High"/>
  </r>
  <r>
    <x v="4"/>
    <s v="Model X"/>
    <x v="3"/>
    <s v="Premium"/>
    <n v="133807.79999999999"/>
    <n v="41.7"/>
    <n v="150"/>
    <n v="336.7"/>
    <n v="5.38"/>
    <n v="161"/>
    <n v="994"/>
    <n v="865"/>
    <s v="AWD"/>
    <n v="7"/>
    <s v="Truck"/>
    <n v="52.9"/>
    <n v="2540"/>
    <n v="4"/>
    <n v="2"/>
    <x v="2"/>
    <x v="0"/>
    <n v="225294"/>
    <n v="3.4"/>
    <n v="5"/>
    <x v="1"/>
    <n v="3.6"/>
    <s v="High"/>
  </r>
  <r>
    <x v="4"/>
    <s v="Model S"/>
    <x v="3"/>
    <s v="Long Range"/>
    <n v="43022.879999999997"/>
    <n v="101.7"/>
    <n v="396"/>
    <n v="299.8"/>
    <n v="5"/>
    <n v="178"/>
    <n v="286"/>
    <n v="363"/>
    <s v="FWD"/>
    <n v="7"/>
    <s v="Coupe"/>
    <n v="37.5"/>
    <n v="1723"/>
    <n v="5"/>
    <n v="2"/>
    <x v="2"/>
    <x v="1"/>
    <n v="177801"/>
    <n v="4.2"/>
    <n v="6"/>
    <x v="1"/>
    <n v="3.89"/>
    <s v="High"/>
  </r>
  <r>
    <x v="4"/>
    <s v="Model X"/>
    <x v="5"/>
    <s v="Premium"/>
    <n v="88927.83"/>
    <n v="60.1"/>
    <n v="213"/>
    <n v="331.3"/>
    <n v="7.27"/>
    <n v="143"/>
    <n v="671"/>
    <n v="574"/>
    <s v="AWD"/>
    <n v="5"/>
    <s v="SUV"/>
    <n v="56.9"/>
    <n v="1899"/>
    <n v="4"/>
    <n v="3"/>
    <x v="2"/>
    <x v="2"/>
    <n v="116766"/>
    <n v="3.8"/>
    <n v="4"/>
    <x v="2"/>
    <n v="3.54"/>
    <s v="High"/>
  </r>
  <r>
    <x v="10"/>
    <s v="i5"/>
    <x v="3"/>
    <s v="Long Range"/>
    <n v="119539.21"/>
    <n v="109.1"/>
    <n v="391"/>
    <n v="54.4"/>
    <n v="4.24"/>
    <n v="183"/>
    <n v="1000"/>
    <n v="900"/>
    <s v="RWD"/>
    <n v="5"/>
    <s v="Sedan"/>
    <n v="38.6"/>
    <n v="1669"/>
    <n v="3"/>
    <n v="2"/>
    <x v="0"/>
    <x v="0"/>
    <n v="49676"/>
    <n v="3.7"/>
    <n v="6"/>
    <x v="1"/>
    <n v="3.58"/>
    <s v="High"/>
  </r>
  <r>
    <x v="11"/>
    <s v="e-tron"/>
    <x v="3"/>
    <s v="Base"/>
    <n v="71446.39"/>
    <n v="60.1"/>
    <n v="202"/>
    <n v="146.6"/>
    <n v="6.43"/>
    <n v="150"/>
    <n v="451"/>
    <n v="409"/>
    <s v="FWD"/>
    <n v="5"/>
    <s v="Sedan"/>
    <n v="19.100000000000001"/>
    <n v="1500"/>
    <n v="5"/>
    <n v="2"/>
    <x v="0"/>
    <x v="2"/>
    <n v="60589"/>
    <n v="3.5"/>
    <n v="5"/>
    <x v="1"/>
    <n v="3.36"/>
    <s v="High"/>
  </r>
  <r>
    <x v="7"/>
    <s v="Max"/>
    <x v="0"/>
    <s v="Performance"/>
    <n v="93434.880000000005"/>
    <n v="89.1"/>
    <n v="321"/>
    <n v="249.5"/>
    <n v="2.9"/>
    <n v="200"/>
    <n v="1000"/>
    <n v="912"/>
    <s v="AWD"/>
    <n v="5"/>
    <s v="Van"/>
    <n v="68.599999999999994"/>
    <n v="1500"/>
    <n v="5"/>
    <n v="0"/>
    <x v="4"/>
    <x v="2"/>
    <n v="220329"/>
    <n v="3.4"/>
    <n v="4"/>
    <x v="0"/>
    <n v="3.6"/>
    <s v="High"/>
  </r>
  <r>
    <x v="13"/>
    <s v="R2"/>
    <x v="2"/>
    <s v="Long Range"/>
    <n v="96777.2"/>
    <n v="98.9"/>
    <n v="341"/>
    <n v="130.19999999999999"/>
    <n v="4.47"/>
    <n v="179"/>
    <n v="1000"/>
    <n v="896"/>
    <s v="FWD"/>
    <n v="7"/>
    <s v="Hatchback"/>
    <n v="36.700000000000003"/>
    <n v="1807"/>
    <n v="5"/>
    <n v="0"/>
    <x v="2"/>
    <x v="2"/>
    <n v="20918"/>
    <n v="3.8"/>
    <n v="6"/>
    <x v="1"/>
    <n v="3.45"/>
    <s v="High"/>
  </r>
  <r>
    <x v="4"/>
    <s v="Model 3"/>
    <x v="2"/>
    <s v="Performance"/>
    <n v="142117.21"/>
    <n v="102.9"/>
    <n v="353"/>
    <n v="265.10000000000002"/>
    <n v="3.97"/>
    <n v="184"/>
    <n v="1000"/>
    <n v="906"/>
    <s v="AWD"/>
    <n v="5"/>
    <s v="SUV"/>
    <n v="39.700000000000003"/>
    <n v="1870"/>
    <n v="5"/>
    <n v="2"/>
    <x v="2"/>
    <x v="0"/>
    <n v="232616"/>
    <n v="3.9"/>
    <n v="4"/>
    <x v="0"/>
    <n v="3.43"/>
    <s v="High"/>
  </r>
  <r>
    <x v="12"/>
    <s v="EL8"/>
    <x v="2"/>
    <s v="Long Range"/>
    <n v="119324.89"/>
    <n v="90.9"/>
    <n v="308"/>
    <n v="123.3"/>
    <n v="5.39"/>
    <n v="168"/>
    <n v="1000"/>
    <n v="871"/>
    <s v="FWD"/>
    <n v="5"/>
    <s v="Truck"/>
    <n v="63.8"/>
    <n v="2732"/>
    <n v="5"/>
    <n v="0"/>
    <x v="4"/>
    <x v="0"/>
    <n v="11219"/>
    <n v="3.7"/>
    <n v="5"/>
    <x v="1"/>
    <n v="3.39"/>
    <s v="Medium"/>
  </r>
  <r>
    <x v="7"/>
    <s v="Atto 3"/>
    <x v="3"/>
    <s v="Base"/>
    <n v="61646.7"/>
    <n v="48.1"/>
    <n v="150"/>
    <n v="66.900000000000006"/>
    <n v="6.74"/>
    <n v="145"/>
    <n v="651"/>
    <n v="520"/>
    <s v="AWD"/>
    <n v="7"/>
    <s v="Truck"/>
    <n v="74.400000000000006"/>
    <n v="2640"/>
    <n v="4"/>
    <n v="1"/>
    <x v="4"/>
    <x v="1"/>
    <n v="115977"/>
    <n v="3.2"/>
    <n v="4"/>
    <x v="1"/>
    <n v="3.12"/>
    <s v="High"/>
  </r>
  <r>
    <x v="4"/>
    <s v="Model 3"/>
    <x v="3"/>
    <s v="Long Range"/>
    <n v="112948.48"/>
    <n v="78.099999999999994"/>
    <n v="261"/>
    <n v="325.7"/>
    <n v="5.89"/>
    <n v="169"/>
    <n v="787"/>
    <n v="637"/>
    <s v="FWD"/>
    <n v="5"/>
    <s v="Truck"/>
    <n v="79.900000000000006"/>
    <n v="2409"/>
    <n v="5"/>
    <n v="2"/>
    <x v="2"/>
    <x v="0"/>
    <n v="130244"/>
    <n v="3.5"/>
    <n v="4"/>
    <x v="1"/>
    <n v="3.34"/>
    <s v="High"/>
  </r>
  <r>
    <x v="8"/>
    <s v="Kona Electric"/>
    <x v="3"/>
    <s v="Performance"/>
    <n v="91101"/>
    <n v="93.1"/>
    <n v="300"/>
    <n v="167.8"/>
    <n v="3.9"/>
    <n v="193"/>
    <n v="1000"/>
    <n v="880"/>
    <s v="AWD"/>
    <n v="7"/>
    <s v="Van"/>
    <n v="70.099999999999994"/>
    <n v="1500"/>
    <n v="5"/>
    <n v="1"/>
    <x v="3"/>
    <x v="2"/>
    <n v="95350"/>
    <n v="3.5"/>
    <n v="4"/>
    <x v="0"/>
    <n v="3.22"/>
    <s v="High"/>
  </r>
  <r>
    <x v="7"/>
    <s v="Qin"/>
    <x v="1"/>
    <s v="Base"/>
    <n v="30225.18"/>
    <n v="54.4"/>
    <n v="172"/>
    <n v="86.1"/>
    <n v="5.71"/>
    <n v="162"/>
    <n v="266"/>
    <n v="255"/>
    <s v="RWD"/>
    <n v="5"/>
    <s v="Coupe"/>
    <n v="22.3"/>
    <n v="1704"/>
    <n v="4"/>
    <n v="0"/>
    <x v="4"/>
    <x v="3"/>
    <n v="237770"/>
    <n v="3.4"/>
    <n v="4"/>
    <x v="1"/>
    <n v="3.16"/>
    <s v="High"/>
  </r>
  <r>
    <x v="7"/>
    <s v="Atto 3"/>
    <x v="3"/>
    <s v="Long Range"/>
    <n v="104231.93"/>
    <n v="79.599999999999994"/>
    <n v="254"/>
    <n v="106.6"/>
    <n v="4.1900000000000004"/>
    <n v="186"/>
    <n v="1000"/>
    <n v="903"/>
    <s v="FWD"/>
    <n v="5"/>
    <s v="Van"/>
    <n v="62.5"/>
    <n v="1649"/>
    <n v="4"/>
    <n v="2"/>
    <x v="4"/>
    <x v="0"/>
    <n v="190907"/>
    <n v="3.5"/>
    <n v="4"/>
    <x v="1"/>
    <n v="3.19"/>
    <s v="High"/>
  </r>
  <r>
    <x v="7"/>
    <s v="Leaf 50X"/>
    <x v="2"/>
    <s v="Base"/>
    <n v="45940.66"/>
    <n v="72.5"/>
    <n v="255"/>
    <n v="76.400000000000006"/>
    <n v="5.42"/>
    <n v="176"/>
    <n v="484"/>
    <n v="435"/>
    <s v="AWD"/>
    <n v="5"/>
    <s v="Truck"/>
    <n v="76"/>
    <n v="2531"/>
    <n v="5"/>
    <n v="2"/>
    <x v="4"/>
    <x v="1"/>
    <n v="114800"/>
    <n v="3.5"/>
    <n v="3"/>
    <x v="1"/>
    <n v="3.52"/>
    <s v="High"/>
  </r>
  <r>
    <x v="9"/>
    <s v="Mustang Mach-E"/>
    <x v="3"/>
    <s v="Standard"/>
    <n v="68547.740000000005"/>
    <n v="40.5"/>
    <n v="153"/>
    <n v="104"/>
    <n v="5.31"/>
    <n v="168"/>
    <n v="738"/>
    <n v="635"/>
    <s v="RWD"/>
    <n v="5"/>
    <s v="Coupe"/>
    <n v="22"/>
    <n v="1696"/>
    <n v="5"/>
    <n v="1"/>
    <x v="2"/>
    <x v="2"/>
    <n v="25642"/>
    <n v="3.3"/>
    <n v="5"/>
    <x v="1"/>
    <n v="3.78"/>
    <s v="High"/>
  </r>
  <r>
    <x v="3"/>
    <s v="EV6"/>
    <x v="3"/>
    <s v="Long Range"/>
    <n v="46513"/>
    <n v="99"/>
    <n v="349"/>
    <n v="87.7"/>
    <n v="4.41"/>
    <n v="182"/>
    <n v="443"/>
    <n v="412"/>
    <s v="FWD"/>
    <n v="5"/>
    <s v="Truck"/>
    <n v="75.099999999999994"/>
    <n v="2677"/>
    <n v="4"/>
    <n v="2"/>
    <x v="3"/>
    <x v="1"/>
    <n v="124966"/>
    <n v="3.9"/>
    <n v="4"/>
    <x v="1"/>
    <n v="3.53"/>
    <s v="High"/>
  </r>
  <r>
    <x v="7"/>
    <s v="Max"/>
    <x v="1"/>
    <s v="Standard"/>
    <n v="72612.58"/>
    <n v="73.400000000000006"/>
    <n v="257"/>
    <n v="112.5"/>
    <n v="7.56"/>
    <n v="142"/>
    <n v="793"/>
    <n v="668"/>
    <s v="FWD"/>
    <n v="7"/>
    <s v="Van"/>
    <n v="64.3"/>
    <n v="1500"/>
    <n v="4"/>
    <n v="1"/>
    <x v="4"/>
    <x v="2"/>
    <n v="232843"/>
    <n v="3.3"/>
    <n v="4"/>
    <x v="2"/>
    <n v="3.5"/>
    <s v="High"/>
  </r>
  <r>
    <x v="3"/>
    <s v="Niro EV"/>
    <x v="1"/>
    <s v="Base"/>
    <n v="34817.25"/>
    <n v="56.3"/>
    <n v="207"/>
    <n v="107.7"/>
    <n v="5.43"/>
    <n v="173"/>
    <n v="236"/>
    <n v="242"/>
    <s v="RWD"/>
    <n v="7"/>
    <s v="Truck"/>
    <n v="56.4"/>
    <n v="2426"/>
    <n v="4"/>
    <n v="1"/>
    <x v="3"/>
    <x v="3"/>
    <n v="109878"/>
    <n v="3.3"/>
    <n v="4"/>
    <x v="1"/>
    <n v="3.68"/>
    <s v="High"/>
  </r>
  <r>
    <x v="2"/>
    <s v="Bolt EV"/>
    <x v="3"/>
    <s v="Base"/>
    <n v="34507.25"/>
    <n v="66.400000000000006"/>
    <n v="230"/>
    <n v="125.8"/>
    <n v="6.28"/>
    <n v="167"/>
    <n v="291"/>
    <n v="200"/>
    <s v="RWD"/>
    <n v="7"/>
    <s v="Truck"/>
    <n v="64.599999999999994"/>
    <n v="2166"/>
    <n v="5"/>
    <n v="1"/>
    <x v="2"/>
    <x v="3"/>
    <n v="18832"/>
    <n v="3.2"/>
    <n v="4"/>
    <x v="1"/>
    <n v="3.46"/>
    <s v="Medium"/>
  </r>
  <r>
    <x v="7"/>
    <s v="Qin"/>
    <x v="0"/>
    <s v="Long Range"/>
    <n v="27057.77"/>
    <n v="108.5"/>
    <n v="385"/>
    <n v="77.2"/>
    <n v="5.89"/>
    <n v="162"/>
    <n v="295"/>
    <n v="278"/>
    <s v="AWD"/>
    <n v="5"/>
    <s v="Sedan"/>
    <n v="31.5"/>
    <n v="1500"/>
    <n v="4"/>
    <n v="1"/>
    <x v="4"/>
    <x v="3"/>
    <n v="176350"/>
    <n v="3.6"/>
    <n v="4"/>
    <x v="1"/>
    <n v="3.55"/>
    <s v="High"/>
  </r>
  <r>
    <x v="0"/>
    <s v="ID.4"/>
    <x v="6"/>
    <s v="Premium"/>
    <n v="48608.56"/>
    <n v="41.4"/>
    <n v="163"/>
    <n v="71.099999999999994"/>
    <n v="5.45"/>
    <n v="175"/>
    <n v="443"/>
    <n v="450"/>
    <s v="AWD"/>
    <n v="5"/>
    <s v="Truck"/>
    <n v="57.3"/>
    <n v="2188"/>
    <n v="5"/>
    <n v="1"/>
    <x v="0"/>
    <x v="1"/>
    <n v="221203"/>
    <n v="3.4"/>
    <n v="4"/>
    <x v="1"/>
    <n v="3.94"/>
    <s v="High"/>
  </r>
  <r>
    <x v="4"/>
    <s v="Model X"/>
    <x v="3"/>
    <s v="Base"/>
    <n v="30686.17"/>
    <n v="65.2"/>
    <n v="245"/>
    <n v="343.2"/>
    <n v="7.58"/>
    <n v="138"/>
    <n v="162"/>
    <n v="200"/>
    <s v="AWD"/>
    <n v="5"/>
    <s v="Sedan"/>
    <n v="24.8"/>
    <n v="1533"/>
    <n v="5"/>
    <n v="2"/>
    <x v="2"/>
    <x v="3"/>
    <n v="248383"/>
    <n v="3.6"/>
    <n v="4"/>
    <x v="2"/>
    <n v="3.76"/>
    <s v="High"/>
  </r>
  <r>
    <x v="4"/>
    <s v="Cybertruck"/>
    <x v="0"/>
    <s v="Performance"/>
    <n v="56003.28"/>
    <n v="108.7"/>
    <n v="392"/>
    <n v="231.2"/>
    <n v="3.88"/>
    <n v="192"/>
    <n v="391"/>
    <n v="330"/>
    <s v="AWD"/>
    <n v="5"/>
    <s v="Truck"/>
    <n v="60"/>
    <n v="2669"/>
    <n v="4"/>
    <n v="3"/>
    <x v="2"/>
    <x v="1"/>
    <n v="102435"/>
    <n v="4"/>
    <n v="4"/>
    <x v="0"/>
    <n v="3.61"/>
    <s v="High"/>
  </r>
  <r>
    <x v="10"/>
    <s v="i3"/>
    <x v="3"/>
    <s v="Standard"/>
    <n v="75699.03"/>
    <n v="67.400000000000006"/>
    <n v="240"/>
    <n v="129"/>
    <n v="5.37"/>
    <n v="172"/>
    <n v="482"/>
    <n v="447"/>
    <s v="FWD"/>
    <n v="5"/>
    <s v="Sedan"/>
    <n v="19.899999999999999"/>
    <n v="1537"/>
    <n v="5"/>
    <n v="1"/>
    <x v="0"/>
    <x v="2"/>
    <n v="23009"/>
    <n v="3.5"/>
    <n v="6"/>
    <x v="1"/>
    <n v="3.56"/>
    <s v="High"/>
  </r>
  <r>
    <x v="4"/>
    <s v="Model S"/>
    <x v="3"/>
    <s v="Premium"/>
    <n v="102510.62"/>
    <n v="40.799999999999997"/>
    <n v="150"/>
    <n v="229.2"/>
    <n v="7.08"/>
    <n v="140"/>
    <n v="755"/>
    <n v="692"/>
    <s v="AWD"/>
    <n v="5"/>
    <s v="Coupe"/>
    <n v="25.9"/>
    <n v="1648"/>
    <n v="4"/>
    <n v="2"/>
    <x v="2"/>
    <x v="0"/>
    <n v="206373"/>
    <n v="3.6"/>
    <n v="6"/>
    <x v="2"/>
    <n v="3.68"/>
    <s v="High"/>
  </r>
  <r>
    <x v="8"/>
    <s v="Ioniq"/>
    <x v="1"/>
    <s v="Standard"/>
    <n v="39241.19"/>
    <n v="62.3"/>
    <n v="205"/>
    <n v="97.7"/>
    <n v="5.35"/>
    <n v="173"/>
    <n v="416"/>
    <n v="406"/>
    <s v="FWD"/>
    <n v="5"/>
    <s v="SUV"/>
    <n v="51.8"/>
    <n v="1948"/>
    <n v="5"/>
    <n v="0"/>
    <x v="3"/>
    <x v="1"/>
    <n v="50222"/>
    <n v="3.3"/>
    <n v="4"/>
    <x v="1"/>
    <n v="3.29"/>
    <s v="High"/>
  </r>
  <r>
    <x v="2"/>
    <s v="Bolt EUV"/>
    <x v="3"/>
    <s v="Long Range"/>
    <n v="74596.820000000007"/>
    <n v="94.2"/>
    <n v="323"/>
    <n v="59.2"/>
    <n v="5.24"/>
    <n v="178"/>
    <n v="1000"/>
    <n v="902"/>
    <s v="AWD"/>
    <n v="7"/>
    <s v="Truck"/>
    <n v="74.099999999999994"/>
    <n v="2456"/>
    <n v="4"/>
    <n v="0"/>
    <x v="2"/>
    <x v="2"/>
    <n v="14842"/>
    <n v="3.6"/>
    <n v="5"/>
    <x v="1"/>
    <n v="3.43"/>
    <s v="Medium"/>
  </r>
  <r>
    <x v="4"/>
    <s v="Model S"/>
    <x v="2"/>
    <s v="Performance"/>
    <n v="62920.59"/>
    <n v="91"/>
    <n v="352"/>
    <n v="239.9"/>
    <n v="4.04"/>
    <n v="184"/>
    <n v="443"/>
    <n v="372"/>
    <s v="RWD"/>
    <n v="5"/>
    <s v="Van"/>
    <n v="71.7"/>
    <n v="1500"/>
    <n v="4"/>
    <n v="2"/>
    <x v="2"/>
    <x v="1"/>
    <n v="248485"/>
    <n v="4.4000000000000004"/>
    <n v="4"/>
    <x v="1"/>
    <n v="3.87"/>
    <s v="High"/>
  </r>
  <r>
    <x v="3"/>
    <s v="EV9"/>
    <x v="0"/>
    <s v="Long Range"/>
    <n v="62846.87"/>
    <n v="96.2"/>
    <n v="339"/>
    <n v="123.1"/>
    <n v="4.6900000000000004"/>
    <n v="186"/>
    <n v="698"/>
    <n v="598"/>
    <s v="FWD"/>
    <n v="7"/>
    <s v="SUV"/>
    <n v="47"/>
    <n v="1905"/>
    <n v="5"/>
    <n v="0"/>
    <x v="3"/>
    <x v="1"/>
    <n v="73090"/>
    <n v="3.8"/>
    <n v="4"/>
    <x v="1"/>
    <n v="3.52"/>
    <s v="High"/>
  </r>
  <r>
    <x v="7"/>
    <s v="Yuan Plus"/>
    <x v="0"/>
    <s v="Premium"/>
    <n v="44973.03"/>
    <n v="70.2"/>
    <n v="272"/>
    <n v="98.7"/>
    <n v="6.41"/>
    <n v="156"/>
    <n v="493"/>
    <n v="472"/>
    <s v="RWD"/>
    <n v="5"/>
    <s v="Hatchback"/>
    <n v="36.299999999999997"/>
    <n v="2102"/>
    <n v="4"/>
    <n v="1"/>
    <x v="4"/>
    <x v="1"/>
    <n v="163237"/>
    <n v="3.6"/>
    <n v="4"/>
    <x v="1"/>
    <n v="3.87"/>
    <s v="High"/>
  </r>
  <r>
    <x v="1"/>
    <s v="bZ Compact SUV"/>
    <x v="5"/>
    <s v="Long Range"/>
    <n v="86892.09"/>
    <n v="84.1"/>
    <n v="298"/>
    <n v="115.8"/>
    <n v="4.2300000000000004"/>
    <n v="186"/>
    <n v="1000"/>
    <n v="879"/>
    <s v="FWD"/>
    <n v="7"/>
    <s v="SUV"/>
    <n v="44.6"/>
    <n v="1924"/>
    <n v="4"/>
    <n v="1"/>
    <x v="1"/>
    <x v="2"/>
    <n v="27998"/>
    <n v="3.6"/>
    <n v="4"/>
    <x v="1"/>
    <n v="3.54"/>
    <s v="High"/>
  </r>
  <r>
    <x v="8"/>
    <s v="Ioniq 6"/>
    <x v="1"/>
    <s v="Performance"/>
    <n v="56768.4"/>
    <n v="117.3"/>
    <n v="400"/>
    <n v="156.69999999999999"/>
    <n v="3.2"/>
    <n v="200"/>
    <n v="588"/>
    <n v="539"/>
    <s v="RWD"/>
    <n v="5"/>
    <s v="Coupe"/>
    <n v="29.7"/>
    <n v="1611"/>
    <n v="5"/>
    <n v="1"/>
    <x v="3"/>
    <x v="1"/>
    <n v="141874"/>
    <n v="4.2"/>
    <n v="4"/>
    <x v="0"/>
    <n v="3.41"/>
    <s v="High"/>
  </r>
  <r>
    <x v="9"/>
    <s v="Explorer EV"/>
    <x v="1"/>
    <s v="Long Range"/>
    <n v="86649.72"/>
    <n v="78.8"/>
    <n v="301"/>
    <n v="125"/>
    <n v="5.18"/>
    <n v="175"/>
    <n v="1000"/>
    <n v="889"/>
    <s v="RWD"/>
    <n v="5"/>
    <s v="Truck"/>
    <n v="74.400000000000006"/>
    <n v="2525"/>
    <n v="5"/>
    <n v="2"/>
    <x v="2"/>
    <x v="2"/>
    <n v="45060"/>
    <n v="4"/>
    <n v="4"/>
    <x v="1"/>
    <n v="3.82"/>
    <s v="High"/>
  </r>
  <r>
    <x v="3"/>
    <s v="Picanto EV"/>
    <x v="0"/>
    <s v="Performance"/>
    <n v="84710.91"/>
    <n v="95.4"/>
    <n v="364"/>
    <n v="187.7"/>
    <n v="4.0599999999999996"/>
    <n v="192"/>
    <n v="1000"/>
    <n v="925"/>
    <s v="AWD"/>
    <n v="7"/>
    <s v="Sedan"/>
    <n v="29.6"/>
    <n v="1715"/>
    <n v="4"/>
    <n v="0"/>
    <x v="3"/>
    <x v="2"/>
    <n v="109134"/>
    <n v="3.7"/>
    <n v="4"/>
    <x v="1"/>
    <n v="3.82"/>
    <s v="High"/>
  </r>
  <r>
    <x v="4"/>
    <s v="Model S"/>
    <x v="3"/>
    <s v="Base"/>
    <n v="93767.76"/>
    <n v="58.4"/>
    <n v="202"/>
    <n v="247.1"/>
    <n v="7.71"/>
    <n v="133"/>
    <n v="685"/>
    <n v="615"/>
    <s v="FWD"/>
    <n v="5"/>
    <s v="Sedan"/>
    <n v="38.9"/>
    <n v="1585"/>
    <n v="4"/>
    <n v="2"/>
    <x v="2"/>
    <x v="2"/>
    <n v="129076"/>
    <n v="3.4"/>
    <n v="4"/>
    <x v="2"/>
    <n v="3.46"/>
    <s v="High"/>
  </r>
  <r>
    <x v="10"/>
    <s v="iX"/>
    <x v="3"/>
    <s v="Premium"/>
    <n v="133858.15"/>
    <n v="74.7"/>
    <n v="287"/>
    <n v="88.7"/>
    <n v="5.3"/>
    <n v="169"/>
    <n v="1000"/>
    <n v="890"/>
    <s v="AWD"/>
    <n v="5"/>
    <s v="SUV"/>
    <n v="50.4"/>
    <n v="2012"/>
    <n v="5"/>
    <n v="1"/>
    <x v="0"/>
    <x v="0"/>
    <n v="27376"/>
    <n v="3.4"/>
    <n v="8"/>
    <x v="1"/>
    <n v="3.84"/>
    <s v="High"/>
  </r>
  <r>
    <x v="1"/>
    <s v="bZ4X"/>
    <x v="5"/>
    <s v="Premium"/>
    <n v="73010.399999999994"/>
    <n v="55.3"/>
    <n v="213"/>
    <n v="72.3"/>
    <n v="6.41"/>
    <n v="152"/>
    <n v="910"/>
    <n v="807"/>
    <s v="AWD"/>
    <n v="5"/>
    <s v="Sedan"/>
    <n v="17.100000000000001"/>
    <n v="1595"/>
    <n v="4"/>
    <n v="0"/>
    <x v="1"/>
    <x v="2"/>
    <n v="9198"/>
    <n v="3"/>
    <n v="4"/>
    <x v="1"/>
    <n v="3.85"/>
    <s v="Medium"/>
  </r>
  <r>
    <x v="3"/>
    <s v="Picanto EV"/>
    <x v="5"/>
    <s v="Long Range"/>
    <n v="53569.81"/>
    <n v="105.4"/>
    <n v="370"/>
    <n v="145.4"/>
    <n v="5.36"/>
    <n v="168"/>
    <n v="550"/>
    <n v="484"/>
    <s v="FWD"/>
    <n v="7"/>
    <s v="Coupe"/>
    <n v="23.4"/>
    <n v="1883"/>
    <n v="5"/>
    <n v="1"/>
    <x v="3"/>
    <x v="1"/>
    <n v="112650"/>
    <n v="3.8"/>
    <n v="4"/>
    <x v="1"/>
    <n v="3.51"/>
    <s v="High"/>
  </r>
  <r>
    <x v="9"/>
    <s v="Mustang Mach-E"/>
    <x v="0"/>
    <s v="Standard"/>
    <n v="61247.58"/>
    <n v="43"/>
    <n v="150"/>
    <n v="103.3"/>
    <n v="6.46"/>
    <n v="145"/>
    <n v="643"/>
    <n v="633"/>
    <s v="RWD"/>
    <n v="5"/>
    <s v="Hatchback"/>
    <n v="34"/>
    <n v="1664"/>
    <n v="4"/>
    <n v="0"/>
    <x v="2"/>
    <x v="1"/>
    <n v="76286"/>
    <n v="3.1"/>
    <n v="5"/>
    <x v="1"/>
    <n v="3.49"/>
    <s v="High"/>
  </r>
  <r>
    <x v="11"/>
    <s v="Q4 e-tron"/>
    <x v="2"/>
    <s v="Premium"/>
    <n v="130055.6"/>
    <n v="60.1"/>
    <n v="232"/>
    <n v="124.6"/>
    <n v="5.56"/>
    <n v="169"/>
    <n v="1000"/>
    <n v="860"/>
    <s v="AWD"/>
    <n v="5"/>
    <s v="Sedan"/>
    <n v="29.1"/>
    <n v="1715"/>
    <n v="4"/>
    <n v="1"/>
    <x v="0"/>
    <x v="0"/>
    <n v="44054"/>
    <n v="3.2"/>
    <n v="7"/>
    <x v="1"/>
    <n v="3.86"/>
    <s v="High"/>
  </r>
  <r>
    <x v="7"/>
    <s v="Qin"/>
    <x v="1"/>
    <s v="Premium"/>
    <n v="39142.51"/>
    <n v="67.400000000000006"/>
    <n v="236"/>
    <n v="120.8"/>
    <n v="6.39"/>
    <n v="159"/>
    <n v="376"/>
    <n v="323"/>
    <s v="FWD"/>
    <n v="7"/>
    <s v="Hatchback"/>
    <n v="20.6"/>
    <n v="1500"/>
    <n v="3"/>
    <n v="0"/>
    <x v="4"/>
    <x v="1"/>
    <n v="143146"/>
    <n v="3.5"/>
    <n v="3"/>
    <x v="1"/>
    <n v="3.5"/>
    <s v="High"/>
  </r>
  <r>
    <x v="7"/>
    <s v="Max"/>
    <x v="0"/>
    <s v="Standard"/>
    <n v="26581.17"/>
    <n v="76.3"/>
    <n v="257"/>
    <n v="72"/>
    <n v="7.24"/>
    <n v="143"/>
    <n v="211"/>
    <n v="200"/>
    <s v="RWD"/>
    <n v="5"/>
    <s v="SUV"/>
    <n v="35.9"/>
    <n v="1699"/>
    <n v="5"/>
    <n v="0"/>
    <x v="4"/>
    <x v="3"/>
    <n v="206659"/>
    <n v="3.4"/>
    <n v="4"/>
    <x v="2"/>
    <n v="3.37"/>
    <s v="High"/>
  </r>
  <r>
    <x v="3"/>
    <s v="Sportage EV"/>
    <x v="0"/>
    <s v="Performance"/>
    <n v="92527.86"/>
    <n v="110.6"/>
    <n v="404"/>
    <n v="196.5"/>
    <n v="2.7"/>
    <n v="200"/>
    <n v="1000"/>
    <n v="936"/>
    <s v="RWD"/>
    <n v="7"/>
    <s v="SUV"/>
    <n v="54.6"/>
    <n v="2003"/>
    <n v="4"/>
    <n v="0"/>
    <x v="3"/>
    <x v="2"/>
    <n v="118664"/>
    <n v="3.6"/>
    <n v="4"/>
    <x v="0"/>
    <n v="3.65"/>
    <s v="High"/>
  </r>
  <r>
    <x v="0"/>
    <s v="ID. Aero"/>
    <x v="1"/>
    <s v="Long Range"/>
    <n v="73265.41"/>
    <n v="102.2"/>
    <n v="363"/>
    <n v="88.3"/>
    <n v="4.82"/>
    <n v="187"/>
    <n v="722"/>
    <n v="624"/>
    <s v="FWD"/>
    <n v="5"/>
    <s v="Truck"/>
    <n v="50.8"/>
    <n v="2433"/>
    <n v="3"/>
    <n v="1"/>
    <x v="0"/>
    <x v="2"/>
    <n v="255210"/>
    <n v="3.6"/>
    <n v="4"/>
    <x v="1"/>
    <n v="3.55"/>
    <s v="High"/>
  </r>
  <r>
    <x v="5"/>
    <s v="EQS"/>
    <x v="1"/>
    <s v="Long Range"/>
    <n v="178840.11"/>
    <n v="102.1"/>
    <n v="380"/>
    <n v="97.5"/>
    <n v="4.62"/>
    <n v="182"/>
    <n v="1000"/>
    <n v="855"/>
    <s v="AWD"/>
    <n v="5"/>
    <s v="Truck"/>
    <n v="52.1"/>
    <n v="2548"/>
    <n v="5"/>
    <n v="1"/>
    <x v="0"/>
    <x v="0"/>
    <n v="49341"/>
    <n v="4.3"/>
    <n v="6"/>
    <x v="1"/>
    <n v="3.72"/>
    <s v="High"/>
  </r>
  <r>
    <x v="11"/>
    <s v="Q6 e-tron"/>
    <x v="2"/>
    <s v="Standard"/>
    <n v="55700.85"/>
    <n v="69.099999999999994"/>
    <n v="229"/>
    <n v="110.1"/>
    <n v="5.42"/>
    <n v="173"/>
    <n v="224"/>
    <n v="200"/>
    <s v="RWD"/>
    <n v="5"/>
    <s v="SUV"/>
    <n v="54.8"/>
    <n v="2094"/>
    <n v="4"/>
    <n v="1"/>
    <x v="0"/>
    <x v="1"/>
    <n v="52734"/>
    <n v="3.2"/>
    <n v="8"/>
    <x v="1"/>
    <n v="3.31"/>
    <s v="High"/>
  </r>
  <r>
    <x v="7"/>
    <s v="Dolphin"/>
    <x v="2"/>
    <s v="Long Range"/>
    <n v="75079.649999999994"/>
    <n v="88.3"/>
    <n v="299"/>
    <n v="135.6"/>
    <n v="5.98"/>
    <n v="157"/>
    <n v="836"/>
    <n v="754"/>
    <s v="FWD"/>
    <n v="7"/>
    <s v="Sedan"/>
    <n v="20.8"/>
    <n v="1791"/>
    <n v="3"/>
    <n v="2"/>
    <x v="4"/>
    <x v="2"/>
    <n v="149633"/>
    <n v="3.7"/>
    <n v="5"/>
    <x v="1"/>
    <n v="3.39"/>
    <s v="High"/>
  </r>
  <r>
    <x v="7"/>
    <s v="Qin"/>
    <x v="1"/>
    <s v="Base"/>
    <n v="46766.53"/>
    <n v="44.5"/>
    <n v="150"/>
    <n v="53.5"/>
    <n v="6.3"/>
    <n v="162"/>
    <n v="484"/>
    <n v="431"/>
    <s v="AWD"/>
    <n v="5"/>
    <s v="Sedan"/>
    <n v="24.2"/>
    <n v="1500"/>
    <n v="3"/>
    <n v="1"/>
    <x v="4"/>
    <x v="1"/>
    <n v="150601"/>
    <n v="3.2"/>
    <n v="4"/>
    <x v="1"/>
    <n v="3.37"/>
    <s v="High"/>
  </r>
  <r>
    <x v="9"/>
    <s v="Mustang Mach-E"/>
    <x v="5"/>
    <s v="Base"/>
    <n v="43574.22"/>
    <n v="67.2"/>
    <n v="237"/>
    <n v="107.9"/>
    <n v="5.55"/>
    <n v="159"/>
    <n v="376"/>
    <n v="361"/>
    <s v="RWD"/>
    <n v="5"/>
    <s v="SUV"/>
    <n v="46.9"/>
    <n v="1834"/>
    <n v="5"/>
    <n v="2"/>
    <x v="2"/>
    <x v="1"/>
    <n v="55997"/>
    <n v="3.1"/>
    <n v="5"/>
    <x v="1"/>
    <n v="3.53"/>
    <s v="High"/>
  </r>
  <r>
    <x v="7"/>
    <s v="Leaf 50X"/>
    <x v="3"/>
    <s v="Premium"/>
    <n v="71227.02"/>
    <n v="54.5"/>
    <n v="216"/>
    <n v="96.7"/>
    <n v="5.05"/>
    <n v="174"/>
    <n v="851"/>
    <n v="788"/>
    <s v="RWD"/>
    <n v="5"/>
    <s v="Sedan"/>
    <n v="18.600000000000001"/>
    <n v="1500"/>
    <n v="4"/>
    <n v="0"/>
    <x v="4"/>
    <x v="2"/>
    <n v="114165"/>
    <n v="3.2"/>
    <n v="3"/>
    <x v="1"/>
    <n v="3.96"/>
    <s v="High"/>
  </r>
  <r>
    <x v="5"/>
    <s v="EQS"/>
    <x v="2"/>
    <s v="Base"/>
    <n v="126359.58"/>
    <n v="40.6"/>
    <n v="150"/>
    <n v="112.6"/>
    <n v="7.47"/>
    <n v="135"/>
    <n v="711"/>
    <n v="582"/>
    <s v="AWD"/>
    <n v="5"/>
    <s v="Coupe"/>
    <n v="34.700000000000003"/>
    <n v="1760"/>
    <n v="5"/>
    <n v="1"/>
    <x v="0"/>
    <x v="0"/>
    <n v="31657"/>
    <n v="3.6"/>
    <n v="6"/>
    <x v="2"/>
    <n v="3.69"/>
    <s v="High"/>
  </r>
  <r>
    <x v="0"/>
    <s v="ID. Buzz"/>
    <x v="4"/>
    <s v="Long Range"/>
    <n v="35869.49"/>
    <n v="82.6"/>
    <n v="267"/>
    <n v="132.5"/>
    <n v="5.38"/>
    <n v="165"/>
    <n v="224"/>
    <n v="235"/>
    <s v="FWD"/>
    <n v="5"/>
    <s v="Truck"/>
    <n v="58.6"/>
    <n v="2542"/>
    <n v="3"/>
    <n v="0"/>
    <x v="0"/>
    <x v="1"/>
    <n v="202031"/>
    <n v="3.8"/>
    <n v="3"/>
    <x v="1"/>
    <n v="3.23"/>
    <s v="High"/>
  </r>
  <r>
    <x v="10"/>
    <s v="i4"/>
    <x v="3"/>
    <s v="Standard"/>
    <n v="84568.67"/>
    <n v="83.7"/>
    <n v="285"/>
    <n v="96.2"/>
    <n v="6.92"/>
    <n v="143"/>
    <n v="627"/>
    <n v="638"/>
    <s v="RWD"/>
    <n v="7"/>
    <s v="Sedan"/>
    <n v="31.5"/>
    <n v="1500"/>
    <n v="4"/>
    <n v="1"/>
    <x v="0"/>
    <x v="2"/>
    <n v="62828"/>
    <n v="3.5"/>
    <n v="5"/>
    <x v="1"/>
    <n v="3.41"/>
    <s v="High"/>
  </r>
  <r>
    <x v="4"/>
    <s v="Model Y"/>
    <x v="0"/>
    <s v="Base"/>
    <n v="106611.48"/>
    <n v="81.099999999999994"/>
    <n v="298"/>
    <n v="228"/>
    <n v="6.34"/>
    <n v="153"/>
    <n v="834"/>
    <n v="823"/>
    <s v="RWD"/>
    <n v="5"/>
    <s v="Hatchback"/>
    <n v="21"/>
    <n v="1582"/>
    <n v="5"/>
    <n v="2"/>
    <x v="2"/>
    <x v="0"/>
    <n v="481578"/>
    <n v="4.0999999999999996"/>
    <n v="4"/>
    <x v="1"/>
    <n v="3.67"/>
    <s v="High"/>
  </r>
  <r>
    <x v="10"/>
    <s v="i4"/>
    <x v="2"/>
    <s v="Performance"/>
    <n v="82827.92"/>
    <n v="98.2"/>
    <n v="348"/>
    <n v="182.7"/>
    <n v="4.0599999999999996"/>
    <n v="195"/>
    <n v="550"/>
    <n v="495"/>
    <s v="AWD"/>
    <n v="5"/>
    <s v="Hatchback"/>
    <n v="35.200000000000003"/>
    <n v="1572"/>
    <n v="4"/>
    <n v="1"/>
    <x v="0"/>
    <x v="2"/>
    <n v="59167"/>
    <n v="3.9"/>
    <n v="6"/>
    <x v="1"/>
    <n v="3.54"/>
    <s v="High"/>
  </r>
  <r>
    <x v="0"/>
    <s v="ID.3"/>
    <x v="2"/>
    <s v="Standard"/>
    <n v="38832.160000000003"/>
    <n v="66.3"/>
    <n v="221"/>
    <n v="134.4"/>
    <n v="7.31"/>
    <n v="145"/>
    <n v="247"/>
    <n v="221"/>
    <s v="RWD"/>
    <n v="7"/>
    <s v="SUV"/>
    <n v="68.7"/>
    <n v="1808"/>
    <n v="5"/>
    <n v="2"/>
    <x v="0"/>
    <x v="1"/>
    <n v="256517"/>
    <n v="3.4"/>
    <n v="3"/>
    <x v="2"/>
    <n v="3.33"/>
    <s v="High"/>
  </r>
  <r>
    <x v="3"/>
    <s v="Niro EV"/>
    <x v="3"/>
    <s v="Performance"/>
    <n v="52082.5"/>
    <n v="92.9"/>
    <n v="337"/>
    <n v="235.5"/>
    <n v="3.28"/>
    <n v="200"/>
    <n v="501"/>
    <n v="445"/>
    <s v="RWD"/>
    <n v="5"/>
    <s v="Hatchback"/>
    <n v="33.700000000000003"/>
    <n v="1630"/>
    <n v="5"/>
    <n v="0"/>
    <x v="3"/>
    <x v="1"/>
    <n v="99623"/>
    <n v="3.8"/>
    <n v="4"/>
    <x v="0"/>
    <n v="3.63"/>
    <s v="High"/>
  </r>
  <r>
    <x v="4"/>
    <s v="Cybertruck"/>
    <x v="2"/>
    <s v="Standard"/>
    <n v="125176.94"/>
    <n v="68.400000000000006"/>
    <n v="258"/>
    <n v="217.3"/>
    <n v="6.57"/>
    <n v="154"/>
    <n v="910"/>
    <n v="830"/>
    <s v="AWD"/>
    <n v="7"/>
    <s v="Truck"/>
    <n v="56.6"/>
    <n v="2263"/>
    <n v="5"/>
    <n v="2"/>
    <x v="2"/>
    <x v="0"/>
    <n v="162760"/>
    <n v="3.8"/>
    <n v="5"/>
    <x v="1"/>
    <n v="3.77"/>
    <s v="High"/>
  </r>
  <r>
    <x v="2"/>
    <s v="Blazer EV"/>
    <x v="2"/>
    <s v="Long Range"/>
    <n v="46760.47"/>
    <n v="102.4"/>
    <n v="343"/>
    <n v="59.7"/>
    <n v="4"/>
    <n v="195"/>
    <n v="478"/>
    <n v="443"/>
    <s v="AWD"/>
    <n v="5"/>
    <s v="Coupe"/>
    <n v="32.200000000000003"/>
    <n v="1592"/>
    <n v="4"/>
    <n v="0"/>
    <x v="2"/>
    <x v="1"/>
    <n v="22048"/>
    <n v="3.7"/>
    <n v="4"/>
    <x v="1"/>
    <n v="3.35"/>
    <s v="High"/>
  </r>
  <r>
    <x v="5"/>
    <s v="GLE EV"/>
    <x v="2"/>
    <s v="Premium"/>
    <n v="134953.72"/>
    <n v="64.8"/>
    <n v="248"/>
    <n v="76.7"/>
    <n v="5.51"/>
    <n v="167"/>
    <n v="801"/>
    <n v="766"/>
    <s v="RWD"/>
    <n v="7"/>
    <s v="Van"/>
    <n v="61.4"/>
    <n v="1736"/>
    <n v="5"/>
    <n v="1"/>
    <x v="0"/>
    <x v="0"/>
    <n v="76804"/>
    <n v="3.9"/>
    <n v="6"/>
    <x v="1"/>
    <n v="3.83"/>
    <s v="High"/>
  </r>
  <r>
    <x v="7"/>
    <s v="Qin"/>
    <x v="0"/>
    <s v="Premium"/>
    <n v="33832.39"/>
    <n v="82.8"/>
    <n v="276"/>
    <n v="148.1"/>
    <n v="7.96"/>
    <n v="128"/>
    <n v="343"/>
    <n v="302"/>
    <s v="AWD"/>
    <n v="7"/>
    <s v="SUV"/>
    <n v="67.7"/>
    <n v="1930"/>
    <n v="4"/>
    <n v="0"/>
    <x v="4"/>
    <x v="3"/>
    <n v="177176"/>
    <n v="3.7"/>
    <n v="4"/>
    <x v="2"/>
    <n v="3.33"/>
    <s v="High"/>
  </r>
  <r>
    <x v="4"/>
    <s v="Model S"/>
    <x v="4"/>
    <s v="Premium"/>
    <n v="143043.07999999999"/>
    <n v="60"/>
    <n v="222"/>
    <n v="229.1"/>
    <n v="6.27"/>
    <n v="153"/>
    <n v="1000"/>
    <n v="781"/>
    <s v="FWD"/>
    <n v="5"/>
    <s v="SUV"/>
    <n v="41.9"/>
    <n v="2265"/>
    <n v="5"/>
    <n v="2"/>
    <x v="2"/>
    <x v="0"/>
    <n v="139115"/>
    <n v="3.6"/>
    <n v="5"/>
    <x v="1"/>
    <n v="3.7"/>
    <s v="High"/>
  </r>
  <r>
    <x v="4"/>
    <s v="Model X"/>
    <x v="4"/>
    <s v="Base"/>
    <n v="66814.080000000002"/>
    <n v="57.8"/>
    <n v="194"/>
    <n v="347.5"/>
    <n v="7.17"/>
    <n v="136"/>
    <n v="493"/>
    <n v="397"/>
    <s v="AWD"/>
    <n v="7"/>
    <s v="Truck"/>
    <n v="79.2"/>
    <n v="2428"/>
    <n v="4"/>
    <n v="2"/>
    <x v="2"/>
    <x v="2"/>
    <n v="228985"/>
    <n v="3.8"/>
    <n v="6"/>
    <x v="2"/>
    <n v="3.36"/>
    <s v="High"/>
  </r>
  <r>
    <x v="10"/>
    <s v="iX"/>
    <x v="3"/>
    <s v="Long Range"/>
    <n v="135695.35"/>
    <n v="105.1"/>
    <n v="363"/>
    <n v="94.7"/>
    <n v="4.24"/>
    <n v="192"/>
    <n v="1000"/>
    <n v="868"/>
    <s v="AWD"/>
    <n v="5"/>
    <s v="Hatchback"/>
    <n v="33.799999999999997"/>
    <n v="1687"/>
    <n v="4"/>
    <n v="2"/>
    <x v="0"/>
    <x v="0"/>
    <n v="36974"/>
    <n v="3.8"/>
    <n v="6"/>
    <x v="1"/>
    <n v="3.45"/>
    <s v="High"/>
  </r>
  <r>
    <x v="3"/>
    <s v="Niro EV"/>
    <x v="3"/>
    <s v="Premium"/>
    <n v="65977.95"/>
    <n v="56"/>
    <n v="198"/>
    <n v="88.6"/>
    <n v="7.95"/>
    <n v="130"/>
    <n v="810"/>
    <n v="733"/>
    <s v="RWD"/>
    <n v="7"/>
    <s v="Coupe"/>
    <n v="15.8"/>
    <n v="1625"/>
    <n v="4"/>
    <n v="0"/>
    <x v="3"/>
    <x v="2"/>
    <n v="91348"/>
    <n v="3.4"/>
    <n v="5"/>
    <x v="2"/>
    <n v="3.54"/>
    <s v="High"/>
  </r>
  <r>
    <x v="3"/>
    <s v="EV6"/>
    <x v="5"/>
    <s v="Premium"/>
    <n v="95775.65"/>
    <n v="51.6"/>
    <n v="194"/>
    <n v="149.5"/>
    <n v="5.63"/>
    <n v="155"/>
    <n v="1000"/>
    <n v="870"/>
    <s v="RWD"/>
    <n v="7"/>
    <s v="Van"/>
    <n v="77.7"/>
    <n v="1877"/>
    <n v="5"/>
    <n v="1"/>
    <x v="3"/>
    <x v="2"/>
    <n v="81075"/>
    <n v="3.4"/>
    <n v="4"/>
    <x v="1"/>
    <n v="3.76"/>
    <s v="High"/>
  </r>
  <r>
    <x v="7"/>
    <s v="Qin"/>
    <x v="5"/>
    <s v="Premium"/>
    <n v="79542.78"/>
    <n v="81.099999999999994"/>
    <n v="295"/>
    <n v="110.9"/>
    <n v="7.2"/>
    <n v="137"/>
    <n v="912"/>
    <n v="788"/>
    <s v="AWD"/>
    <n v="7"/>
    <s v="Van"/>
    <n v="71.2"/>
    <n v="1565"/>
    <n v="5"/>
    <n v="1"/>
    <x v="4"/>
    <x v="2"/>
    <n v="153987"/>
    <n v="3.3"/>
    <n v="5"/>
    <x v="2"/>
    <n v="3.64"/>
    <s v="High"/>
  </r>
  <r>
    <x v="0"/>
    <s v="ID.3"/>
    <x v="0"/>
    <s v="Premium"/>
    <n v="92433.279999999999"/>
    <n v="70.099999999999994"/>
    <n v="250"/>
    <n v="74.900000000000006"/>
    <n v="5.51"/>
    <n v="162"/>
    <n v="1000"/>
    <n v="906"/>
    <s v="AWD"/>
    <n v="5"/>
    <s v="Coupe"/>
    <n v="17.8"/>
    <n v="1765"/>
    <n v="4"/>
    <n v="2"/>
    <x v="0"/>
    <x v="2"/>
    <n v="212147"/>
    <n v="3.4"/>
    <n v="3"/>
    <x v="1"/>
    <n v="3.57"/>
    <s v="High"/>
  </r>
  <r>
    <x v="3"/>
    <s v="Niro EV"/>
    <x v="2"/>
    <s v="Long Range"/>
    <n v="56059.51"/>
    <n v="98"/>
    <n v="327"/>
    <n v="74.8"/>
    <n v="5.86"/>
    <n v="163"/>
    <n v="599"/>
    <n v="511"/>
    <s v="RWD"/>
    <n v="5"/>
    <s v="Coupe"/>
    <n v="20.6"/>
    <n v="1542"/>
    <n v="5"/>
    <n v="1"/>
    <x v="3"/>
    <x v="1"/>
    <n v="117679"/>
    <n v="3.6"/>
    <n v="5"/>
    <x v="1"/>
    <n v="3.34"/>
    <s v="High"/>
  </r>
  <r>
    <x v="8"/>
    <s v="Ioniq 5"/>
    <x v="2"/>
    <s v="Standard"/>
    <n v="60016.36"/>
    <n v="71"/>
    <n v="273"/>
    <n v="53"/>
    <n v="5.77"/>
    <n v="164"/>
    <n v="706"/>
    <n v="655"/>
    <s v="AWD"/>
    <n v="5"/>
    <s v="Coupe"/>
    <n v="31"/>
    <n v="1925"/>
    <n v="5"/>
    <n v="0"/>
    <x v="3"/>
    <x v="1"/>
    <n v="80671"/>
    <n v="3.3"/>
    <n v="3"/>
    <x v="1"/>
    <n v="3.85"/>
    <s v="High"/>
  </r>
  <r>
    <x v="14"/>
    <s v="Macan Electric"/>
    <x v="2"/>
    <s v="Premium"/>
    <n v="184202.43"/>
    <n v="79.3"/>
    <n v="290"/>
    <n v="299.2"/>
    <n v="5.84"/>
    <n v="154"/>
    <n v="1000"/>
    <n v="849"/>
    <s v="AWD"/>
    <n v="7"/>
    <s v="Coupe"/>
    <n v="20.399999999999999"/>
    <n v="1714"/>
    <n v="5"/>
    <n v="1"/>
    <x v="0"/>
    <x v="0"/>
    <n v="14726"/>
    <n v="3.7"/>
    <n v="6"/>
    <x v="1"/>
    <n v="3.66"/>
    <s v="Medium"/>
  </r>
  <r>
    <x v="4"/>
    <s v="Cybertruck"/>
    <x v="1"/>
    <s v="Performance"/>
    <n v="57537.68"/>
    <n v="103.2"/>
    <n v="386"/>
    <n v="238.5"/>
    <n v="3.15"/>
    <n v="199"/>
    <n v="393"/>
    <n v="380"/>
    <s v="FWD"/>
    <n v="5"/>
    <s v="Truck"/>
    <n v="55.4"/>
    <n v="2484"/>
    <n v="5"/>
    <n v="3"/>
    <x v="2"/>
    <x v="1"/>
    <n v="194936"/>
    <n v="4.0999999999999996"/>
    <n v="6"/>
    <x v="0"/>
    <n v="3.74"/>
    <s v="High"/>
  </r>
  <r>
    <x v="2"/>
    <s v="Bolt EV"/>
    <x v="4"/>
    <s v="Performance"/>
    <n v="47454.86"/>
    <n v="102.7"/>
    <n v="354"/>
    <n v="232.6"/>
    <n v="2.76"/>
    <n v="200"/>
    <n v="521"/>
    <n v="455"/>
    <s v="FWD"/>
    <n v="5"/>
    <s v="Van"/>
    <n v="77.5"/>
    <n v="1612"/>
    <n v="4"/>
    <n v="0"/>
    <x v="2"/>
    <x v="1"/>
    <n v="7468"/>
    <n v="3.8"/>
    <n v="3"/>
    <x v="0"/>
    <n v="3.45"/>
    <s v="Medium"/>
  </r>
  <r>
    <x v="0"/>
    <s v="ID.5"/>
    <x v="2"/>
    <s v="Long Range"/>
    <n v="52456.57"/>
    <n v="106.8"/>
    <n v="377"/>
    <n v="127.6"/>
    <n v="4.43"/>
    <n v="177"/>
    <n v="470"/>
    <n v="420"/>
    <s v="RWD"/>
    <n v="5"/>
    <s v="SUV"/>
    <n v="64.099999999999994"/>
    <n v="1885"/>
    <n v="4"/>
    <n v="0"/>
    <x v="0"/>
    <x v="1"/>
    <n v="214608"/>
    <n v="3.8"/>
    <n v="4"/>
    <x v="1"/>
    <n v="3.53"/>
    <s v="High"/>
  </r>
  <r>
    <x v="0"/>
    <s v="ID.5"/>
    <x v="1"/>
    <s v="Base"/>
    <n v="27966.77"/>
    <n v="59.8"/>
    <n v="195"/>
    <n v="146.4"/>
    <n v="5.04"/>
    <n v="172"/>
    <n v="150"/>
    <n v="200"/>
    <s v="AWD"/>
    <n v="7"/>
    <s v="Sedan"/>
    <n v="31"/>
    <n v="1750"/>
    <n v="5"/>
    <n v="1"/>
    <x v="0"/>
    <x v="3"/>
    <n v="258777"/>
    <n v="3.3"/>
    <n v="3"/>
    <x v="1"/>
    <n v="3.26"/>
    <s v="High"/>
  </r>
  <r>
    <x v="2"/>
    <s v="Equinox EV"/>
    <x v="4"/>
    <s v="Long Range"/>
    <n v="61755.21"/>
    <n v="79.099999999999994"/>
    <n v="270"/>
    <n v="148.6"/>
    <n v="5.83"/>
    <n v="165"/>
    <n v="846"/>
    <n v="793"/>
    <s v="FWD"/>
    <n v="5"/>
    <s v="SUV"/>
    <n v="47.3"/>
    <n v="2033"/>
    <n v="5"/>
    <n v="1"/>
    <x v="2"/>
    <x v="1"/>
    <n v="9557"/>
    <n v="3.7"/>
    <n v="3"/>
    <x v="1"/>
    <n v="3.41"/>
    <s v="Medium"/>
  </r>
  <r>
    <x v="2"/>
    <s v="Bolt EUV"/>
    <x v="3"/>
    <s v="Standard"/>
    <n v="36433.269999999997"/>
    <n v="44.4"/>
    <n v="150"/>
    <n v="74.5"/>
    <n v="5.63"/>
    <n v="161"/>
    <n v="349"/>
    <n v="331"/>
    <s v="FWD"/>
    <n v="5"/>
    <s v="Hatchback"/>
    <n v="23.6"/>
    <n v="1500"/>
    <n v="5"/>
    <n v="0"/>
    <x v="2"/>
    <x v="1"/>
    <n v="27128"/>
    <n v="3.2"/>
    <n v="3"/>
    <x v="1"/>
    <n v="3.38"/>
    <s v="High"/>
  </r>
  <r>
    <x v="15"/>
    <s v="XC40 Recharge"/>
    <x v="5"/>
    <s v="Performance"/>
    <n v="111533.26"/>
    <n v="116.5"/>
    <n v="422"/>
    <n v="153.5"/>
    <n v="2.98"/>
    <n v="200"/>
    <n v="1000"/>
    <n v="882"/>
    <s v="AWD"/>
    <n v="5"/>
    <s v="SUV"/>
    <n v="54.6"/>
    <n v="1917"/>
    <n v="4"/>
    <n v="1"/>
    <x v="5"/>
    <x v="0"/>
    <n v="29548"/>
    <n v="3.7"/>
    <n v="5"/>
    <x v="0"/>
    <n v="3.62"/>
    <s v="High"/>
  </r>
  <r>
    <x v="4"/>
    <s v="Model S"/>
    <x v="5"/>
    <s v="Standard"/>
    <n v="81673.279999999999"/>
    <n v="69.3"/>
    <n v="252"/>
    <n v="299"/>
    <n v="6.12"/>
    <n v="153"/>
    <n v="595"/>
    <n v="529"/>
    <s v="AWD"/>
    <n v="5"/>
    <s v="SUV"/>
    <n v="69.8"/>
    <n v="2107"/>
    <n v="4"/>
    <n v="2"/>
    <x v="2"/>
    <x v="2"/>
    <n v="117880"/>
    <n v="3.8"/>
    <n v="6"/>
    <x v="1"/>
    <n v="3.64"/>
    <s v="High"/>
  </r>
  <r>
    <x v="4"/>
    <s v="Cybertruck"/>
    <x v="5"/>
    <s v="Base"/>
    <n v="55329.7"/>
    <n v="56.6"/>
    <n v="217"/>
    <n v="328.7"/>
    <n v="6.63"/>
    <n v="151"/>
    <n v="378"/>
    <n v="320"/>
    <s v="RWD"/>
    <n v="7"/>
    <s v="Truck"/>
    <n v="69.8"/>
    <n v="2635"/>
    <n v="4"/>
    <n v="2"/>
    <x v="2"/>
    <x v="1"/>
    <n v="211999"/>
    <n v="3.3"/>
    <n v="5"/>
    <x v="1"/>
    <n v="3.83"/>
    <s v="High"/>
  </r>
  <r>
    <x v="2"/>
    <s v="Equinox EV"/>
    <x v="3"/>
    <s v="Long Range"/>
    <n v="49790.46"/>
    <n v="91.9"/>
    <n v="322"/>
    <n v="83.7"/>
    <n v="4.58"/>
    <n v="180"/>
    <n v="538"/>
    <n v="549"/>
    <s v="RWD"/>
    <n v="5"/>
    <s v="SUV"/>
    <n v="67.400000000000006"/>
    <n v="2327"/>
    <n v="5"/>
    <n v="2"/>
    <x v="2"/>
    <x v="1"/>
    <n v="29595"/>
    <n v="3.8"/>
    <n v="4"/>
    <x v="1"/>
    <n v="3.5"/>
    <s v="High"/>
  </r>
  <r>
    <x v="3"/>
    <s v="Niro EV"/>
    <x v="2"/>
    <s v="Long Range"/>
    <n v="82833.740000000005"/>
    <n v="107.6"/>
    <n v="375"/>
    <n v="81.5"/>
    <n v="4.71"/>
    <n v="173"/>
    <n v="1000"/>
    <n v="897"/>
    <s v="AWD"/>
    <n v="5"/>
    <s v="Truck"/>
    <n v="70"/>
    <n v="2631"/>
    <n v="4"/>
    <n v="0"/>
    <x v="3"/>
    <x v="2"/>
    <n v="98307"/>
    <n v="3.7"/>
    <n v="5"/>
    <x v="1"/>
    <n v="3.49"/>
    <s v="High"/>
  </r>
  <r>
    <x v="7"/>
    <s v="Dolphin"/>
    <x v="2"/>
    <s v="Premium"/>
    <n v="104505.82"/>
    <n v="41.7"/>
    <n v="159"/>
    <n v="125.5"/>
    <n v="6.37"/>
    <n v="153"/>
    <n v="1000"/>
    <n v="919"/>
    <s v="FWD"/>
    <n v="5"/>
    <s v="Hatchback"/>
    <n v="19.899999999999999"/>
    <n v="1790"/>
    <n v="5"/>
    <n v="1"/>
    <x v="4"/>
    <x v="0"/>
    <n v="111020"/>
    <n v="3.1"/>
    <n v="4"/>
    <x v="1"/>
    <n v="3.81"/>
    <s v="High"/>
  </r>
  <r>
    <x v="4"/>
    <s v="Model Y"/>
    <x v="1"/>
    <s v="Long Range"/>
    <n v="45169.5"/>
    <n v="98.8"/>
    <n v="340"/>
    <n v="234.2"/>
    <n v="5.08"/>
    <n v="170"/>
    <n v="274"/>
    <n v="233"/>
    <s v="RWD"/>
    <n v="5"/>
    <s v="Van"/>
    <n v="71.7"/>
    <n v="1563"/>
    <n v="4"/>
    <n v="2"/>
    <x v="2"/>
    <x v="1"/>
    <n v="416114"/>
    <n v="4.2"/>
    <n v="5"/>
    <x v="1"/>
    <n v="3.44"/>
    <s v="High"/>
  </r>
  <r>
    <x v="4"/>
    <s v="Model S"/>
    <x v="3"/>
    <s v="Premium"/>
    <n v="135056.97"/>
    <n v="63"/>
    <n v="231"/>
    <n v="263.39999999999998"/>
    <n v="7.57"/>
    <n v="135"/>
    <n v="1000"/>
    <n v="916"/>
    <s v="RWD"/>
    <n v="7"/>
    <s v="SUV"/>
    <n v="36.799999999999997"/>
    <n v="2017"/>
    <n v="5"/>
    <n v="3"/>
    <x v="2"/>
    <x v="0"/>
    <n v="107596"/>
    <n v="3.9"/>
    <n v="5"/>
    <x v="2"/>
    <n v="3.67"/>
    <s v="High"/>
  </r>
  <r>
    <x v="11"/>
    <s v="Q6 e-tron"/>
    <x v="5"/>
    <s v="Performance"/>
    <n v="79000.66"/>
    <n v="102.5"/>
    <n v="355"/>
    <n v="167.1"/>
    <n v="2.94"/>
    <n v="200"/>
    <n v="441"/>
    <n v="398"/>
    <s v="AWD"/>
    <n v="7"/>
    <s v="Coupe"/>
    <n v="34.9"/>
    <n v="1660"/>
    <n v="5"/>
    <n v="2"/>
    <x v="0"/>
    <x v="2"/>
    <n v="72672"/>
    <n v="4"/>
    <n v="7"/>
    <x v="0"/>
    <n v="3.46"/>
    <s v="High"/>
  </r>
  <r>
    <x v="4"/>
    <s v="Model 3"/>
    <x v="3"/>
    <s v="Base"/>
    <n v="50205.39"/>
    <n v="40.299999999999997"/>
    <n v="150"/>
    <n v="296.39999999999998"/>
    <n v="5.86"/>
    <n v="169"/>
    <n v="355"/>
    <n v="293"/>
    <s v="FWD"/>
    <n v="5"/>
    <s v="Van"/>
    <n v="68.2"/>
    <n v="1641"/>
    <n v="3"/>
    <n v="3"/>
    <x v="2"/>
    <x v="1"/>
    <n v="169041"/>
    <n v="3.2"/>
    <n v="4"/>
    <x v="1"/>
    <n v="3.72"/>
    <s v="High"/>
  </r>
  <r>
    <x v="7"/>
    <s v="Max"/>
    <x v="3"/>
    <s v="Base"/>
    <n v="24481.15"/>
    <n v="41.9"/>
    <n v="150"/>
    <n v="94.6"/>
    <n v="7.37"/>
    <n v="137"/>
    <n v="236"/>
    <n v="200"/>
    <s v="AWD"/>
    <n v="5"/>
    <s v="Sedan"/>
    <n v="17.399999999999999"/>
    <n v="1500"/>
    <n v="3"/>
    <n v="1"/>
    <x v="4"/>
    <x v="3"/>
    <n v="176238"/>
    <n v="3.1"/>
    <n v="3"/>
    <x v="2"/>
    <n v="3.58"/>
    <s v="High"/>
  </r>
  <r>
    <x v="7"/>
    <s v="Dolphin"/>
    <x v="2"/>
    <s v="Long Range"/>
    <n v="51538.03"/>
    <n v="99.3"/>
    <n v="365"/>
    <n v="74.400000000000006"/>
    <n v="4.53"/>
    <n v="175"/>
    <n v="546"/>
    <n v="469"/>
    <s v="FWD"/>
    <n v="7"/>
    <s v="SUV"/>
    <n v="55.2"/>
    <n v="1948"/>
    <n v="5"/>
    <n v="2"/>
    <x v="4"/>
    <x v="1"/>
    <n v="188274"/>
    <n v="3.7"/>
    <n v="4"/>
    <x v="1"/>
    <n v="3.68"/>
    <s v="High"/>
  </r>
  <r>
    <x v="7"/>
    <s v="Atto 3"/>
    <x v="2"/>
    <s v="Base"/>
    <n v="19083.54"/>
    <n v="44.4"/>
    <n v="151"/>
    <n v="90.6"/>
    <n v="7.76"/>
    <n v="141"/>
    <n v="150"/>
    <n v="200"/>
    <s v="AWD"/>
    <n v="7"/>
    <s v="Truck"/>
    <n v="59.3"/>
    <n v="2431"/>
    <n v="4"/>
    <n v="0"/>
    <x v="4"/>
    <x v="3"/>
    <n v="216310"/>
    <n v="3.3"/>
    <n v="3"/>
    <x v="2"/>
    <n v="3.4"/>
    <s v="High"/>
  </r>
  <r>
    <x v="4"/>
    <s v="Model Y"/>
    <x v="2"/>
    <s v="Performance"/>
    <n v="37255.18"/>
    <n v="113.7"/>
    <n v="383"/>
    <n v="346.6"/>
    <n v="2.62"/>
    <n v="200"/>
    <n v="272"/>
    <n v="218"/>
    <s v="RWD"/>
    <n v="7"/>
    <s v="SUV"/>
    <n v="62.3"/>
    <n v="1904"/>
    <n v="5"/>
    <n v="2"/>
    <x v="2"/>
    <x v="1"/>
    <n v="451073"/>
    <n v="4.2"/>
    <n v="5"/>
    <x v="0"/>
    <n v="3.37"/>
    <s v="High"/>
  </r>
  <r>
    <x v="8"/>
    <s v="Ioniq"/>
    <x v="1"/>
    <s v="Base"/>
    <n v="28093.63"/>
    <n v="47.2"/>
    <n v="167"/>
    <n v="85.3"/>
    <n v="7.79"/>
    <n v="139"/>
    <n v="150"/>
    <n v="200"/>
    <s v="RWD"/>
    <n v="7"/>
    <s v="Van"/>
    <n v="68.5"/>
    <n v="1572"/>
    <n v="3"/>
    <n v="0"/>
    <x v="3"/>
    <x v="3"/>
    <n v="119899"/>
    <n v="3.3"/>
    <n v="4"/>
    <x v="2"/>
    <n v="3.54"/>
    <s v="High"/>
  </r>
  <r>
    <x v="4"/>
    <s v="Cybertruck"/>
    <x v="3"/>
    <s v="Base"/>
    <n v="88007.74"/>
    <n v="64.2"/>
    <n v="223"/>
    <n v="282.7"/>
    <n v="5.25"/>
    <n v="171"/>
    <n v="578"/>
    <n v="464"/>
    <s v="FWD"/>
    <n v="5"/>
    <s v="Truck"/>
    <n v="56.1"/>
    <n v="2585"/>
    <n v="4"/>
    <n v="2"/>
    <x v="2"/>
    <x v="2"/>
    <n v="102752"/>
    <n v="3.5"/>
    <n v="6"/>
    <x v="1"/>
    <n v="3.47"/>
    <s v="High"/>
  </r>
  <r>
    <x v="9"/>
    <s v="Explorer EV"/>
    <x v="3"/>
    <s v="Performance"/>
    <n v="75193.899999999994"/>
    <n v="76.099999999999994"/>
    <n v="227"/>
    <n v="192"/>
    <n v="3.26"/>
    <n v="193"/>
    <n v="849"/>
    <n v="764"/>
    <s v="AWD"/>
    <n v="5"/>
    <s v="Sedan"/>
    <n v="38.200000000000003"/>
    <n v="1687"/>
    <n v="4"/>
    <n v="1"/>
    <x v="2"/>
    <x v="2"/>
    <n v="31804"/>
    <n v="3.5"/>
    <n v="3"/>
    <x v="0"/>
    <n v="2.98"/>
    <s v="High"/>
  </r>
  <r>
    <x v="7"/>
    <s v="Yuan Plus"/>
    <x v="5"/>
    <s v="Standard"/>
    <n v="90374.6"/>
    <n v="57.6"/>
    <n v="191"/>
    <n v="101.5"/>
    <n v="6.82"/>
    <n v="145"/>
    <n v="944"/>
    <n v="832"/>
    <s v="AWD"/>
    <n v="5"/>
    <s v="Hatchback"/>
    <n v="19.7"/>
    <n v="1540"/>
    <n v="5"/>
    <n v="0"/>
    <x v="4"/>
    <x v="2"/>
    <n v="232416"/>
    <n v="3.5"/>
    <n v="4"/>
    <x v="1"/>
    <n v="3.32"/>
    <s v="High"/>
  </r>
  <r>
    <x v="3"/>
    <s v="Niro EV"/>
    <x v="3"/>
    <s v="Performance"/>
    <n v="111745.56"/>
    <n v="82.5"/>
    <n v="289"/>
    <n v="172.9"/>
    <n v="4.0999999999999996"/>
    <n v="183"/>
    <n v="1000"/>
    <n v="855"/>
    <s v="FWD"/>
    <n v="7"/>
    <s v="Truck"/>
    <n v="72.099999999999994"/>
    <n v="2484"/>
    <n v="4"/>
    <n v="0"/>
    <x v="3"/>
    <x v="0"/>
    <n v="96875"/>
    <n v="3.4"/>
    <n v="3"/>
    <x v="1"/>
    <n v="3.5"/>
    <s v="High"/>
  </r>
  <r>
    <x v="11"/>
    <s v="Q4 e-tron"/>
    <x v="1"/>
    <s v="Premium"/>
    <n v="144615.75"/>
    <n v="49.5"/>
    <n v="161"/>
    <n v="72.5"/>
    <n v="6"/>
    <n v="152"/>
    <n v="1000"/>
    <n v="883"/>
    <s v="AWD"/>
    <n v="5"/>
    <s v="SUV"/>
    <n v="56.2"/>
    <n v="2232"/>
    <n v="5"/>
    <n v="2"/>
    <x v="0"/>
    <x v="0"/>
    <n v="57074"/>
    <n v="3.1"/>
    <n v="6"/>
    <x v="1"/>
    <n v="3.25"/>
    <s v="High"/>
  </r>
  <r>
    <x v="10"/>
    <s v="i5"/>
    <x v="3"/>
    <s v="Standard"/>
    <n v="69328.91"/>
    <n v="57.6"/>
    <n v="225"/>
    <n v="75.8"/>
    <n v="7.24"/>
    <n v="142"/>
    <n v="351"/>
    <n v="366"/>
    <s v="RWD"/>
    <n v="5"/>
    <s v="SUV"/>
    <n v="39"/>
    <n v="2137"/>
    <n v="5"/>
    <n v="1"/>
    <x v="0"/>
    <x v="2"/>
    <n v="73975"/>
    <n v="3.3"/>
    <n v="8"/>
    <x v="2"/>
    <n v="3.91"/>
    <s v="High"/>
  </r>
  <r>
    <x v="8"/>
    <s v="Ioniq 5"/>
    <x v="1"/>
    <s v="Premium"/>
    <n v="39046.61"/>
    <n v="54.4"/>
    <n v="178"/>
    <n v="104.9"/>
    <n v="6.75"/>
    <n v="148"/>
    <n v="312"/>
    <n v="289"/>
    <s v="AWD"/>
    <n v="7"/>
    <s v="Coupe"/>
    <n v="19.3"/>
    <n v="1718"/>
    <n v="4"/>
    <n v="1"/>
    <x v="3"/>
    <x v="1"/>
    <n v="57836"/>
    <n v="3.1"/>
    <n v="3"/>
    <x v="1"/>
    <n v="3.27"/>
    <s v="High"/>
  </r>
  <r>
    <x v="7"/>
    <s v="Seagull"/>
    <x v="3"/>
    <s v="Long Range"/>
    <n v="79832.09"/>
    <n v="92"/>
    <n v="328"/>
    <n v="103.3"/>
    <n v="5.19"/>
    <n v="171"/>
    <n v="875"/>
    <n v="790"/>
    <s v="FWD"/>
    <n v="7"/>
    <s v="SUV"/>
    <n v="70"/>
    <n v="2024"/>
    <n v="5"/>
    <n v="0"/>
    <x v="4"/>
    <x v="2"/>
    <n v="242291"/>
    <n v="3.6"/>
    <n v="4"/>
    <x v="1"/>
    <n v="3.57"/>
    <s v="High"/>
  </r>
  <r>
    <x v="7"/>
    <s v="Seagull"/>
    <x v="2"/>
    <s v="Premium"/>
    <n v="51226.67"/>
    <n v="79.599999999999994"/>
    <n v="271"/>
    <n v="64.5"/>
    <n v="5.31"/>
    <n v="167"/>
    <n v="544"/>
    <n v="486"/>
    <s v="AWD"/>
    <n v="7"/>
    <s v="Sedan"/>
    <n v="38.700000000000003"/>
    <n v="1756"/>
    <n v="5"/>
    <n v="2"/>
    <x v="4"/>
    <x v="1"/>
    <n v="143773"/>
    <n v="3.5"/>
    <n v="4"/>
    <x v="1"/>
    <n v="3.4"/>
    <s v="High"/>
  </r>
  <r>
    <x v="10"/>
    <s v="i5"/>
    <x v="2"/>
    <s v="Standard"/>
    <n v="70389.460000000006"/>
    <n v="59.8"/>
    <n v="217"/>
    <n v="138.4"/>
    <n v="6.79"/>
    <n v="142"/>
    <n v="464"/>
    <n v="410"/>
    <s v="RWD"/>
    <n v="5"/>
    <s v="Coupe"/>
    <n v="19.899999999999999"/>
    <n v="1815"/>
    <n v="5"/>
    <n v="2"/>
    <x v="0"/>
    <x v="2"/>
    <n v="76685"/>
    <n v="3.4"/>
    <n v="5"/>
    <x v="1"/>
    <n v="3.63"/>
    <s v="High"/>
  </r>
  <r>
    <x v="15"/>
    <s v="XC90 Recharge"/>
    <x v="1"/>
    <s v="Performance"/>
    <n v="90661.21"/>
    <n v="108.4"/>
    <n v="396"/>
    <n v="234.5"/>
    <n v="2.5299999999999998"/>
    <n v="200"/>
    <n v="807"/>
    <n v="735"/>
    <s v="AWD"/>
    <n v="5"/>
    <s v="SUV"/>
    <n v="56.2"/>
    <n v="2143"/>
    <n v="5"/>
    <n v="0"/>
    <x v="5"/>
    <x v="2"/>
    <n v="15699"/>
    <n v="3.7"/>
    <n v="5"/>
    <x v="0"/>
    <n v="3.65"/>
    <s v="Medium"/>
  </r>
  <r>
    <x v="10"/>
    <s v="i7"/>
    <x v="1"/>
    <s v="Performance"/>
    <n v="154009.88"/>
    <n v="79"/>
    <n v="275"/>
    <n v="162.1"/>
    <n v="4.46"/>
    <n v="180"/>
    <n v="1000"/>
    <n v="888"/>
    <s v="AWD"/>
    <n v="5"/>
    <s v="Coupe"/>
    <n v="33"/>
    <n v="1842"/>
    <n v="4"/>
    <n v="1"/>
    <x v="0"/>
    <x v="0"/>
    <n v="26663"/>
    <n v="3.5"/>
    <n v="7"/>
    <x v="1"/>
    <n v="3.48"/>
    <s v="High"/>
  </r>
  <r>
    <x v="3"/>
    <s v="EV6"/>
    <x v="3"/>
    <s v="Premium"/>
    <n v="61993.33"/>
    <n v="49.9"/>
    <n v="183"/>
    <n v="110.9"/>
    <n v="5.72"/>
    <n v="168"/>
    <n v="677"/>
    <n v="582"/>
    <s v="AWD"/>
    <n v="5"/>
    <s v="Sedan"/>
    <n v="34.6"/>
    <n v="1566"/>
    <n v="4"/>
    <n v="2"/>
    <x v="3"/>
    <x v="1"/>
    <n v="65237"/>
    <n v="3.1"/>
    <n v="4"/>
    <x v="1"/>
    <n v="3.67"/>
    <s v="High"/>
  </r>
  <r>
    <x v="2"/>
    <s v="Blazer EV"/>
    <x v="3"/>
    <s v="Long Range"/>
    <n v="34424.61"/>
    <n v="103.6"/>
    <n v="370"/>
    <n v="71.7"/>
    <n v="5.72"/>
    <n v="163"/>
    <n v="285"/>
    <n v="250"/>
    <s v="RWD"/>
    <n v="5"/>
    <s v="Sedan"/>
    <n v="27.9"/>
    <n v="1690"/>
    <n v="4"/>
    <n v="1"/>
    <x v="2"/>
    <x v="3"/>
    <n v="20827"/>
    <n v="3.6"/>
    <n v="4"/>
    <x v="1"/>
    <n v="3.57"/>
    <s v="High"/>
  </r>
  <r>
    <x v="8"/>
    <s v="Kona Electric"/>
    <x v="3"/>
    <s v="Standard"/>
    <n v="53515.28"/>
    <n v="50.9"/>
    <n v="176"/>
    <n v="58.7"/>
    <n v="6.74"/>
    <n v="147"/>
    <n v="628"/>
    <n v="566"/>
    <s v="AWD"/>
    <n v="5"/>
    <s v="Hatchback"/>
    <n v="39.799999999999997"/>
    <n v="1607"/>
    <n v="5"/>
    <n v="1"/>
    <x v="3"/>
    <x v="1"/>
    <n v="93480"/>
    <n v="3.4"/>
    <n v="4"/>
    <x v="1"/>
    <n v="3.46"/>
    <s v="High"/>
  </r>
  <r>
    <x v="4"/>
    <s v="Model S"/>
    <x v="5"/>
    <s v="Long Range"/>
    <n v="127635.34"/>
    <n v="105.5"/>
    <n v="384"/>
    <n v="265.10000000000002"/>
    <n v="4.5999999999999996"/>
    <n v="176"/>
    <n v="950"/>
    <n v="859"/>
    <s v="FWD"/>
    <n v="7"/>
    <s v="SUV"/>
    <n v="63.1"/>
    <n v="2140"/>
    <n v="5"/>
    <n v="2"/>
    <x v="2"/>
    <x v="0"/>
    <n v="158325"/>
    <n v="4.2"/>
    <n v="5"/>
    <x v="1"/>
    <n v="3.64"/>
    <s v="High"/>
  </r>
  <r>
    <x v="3"/>
    <s v="EV6"/>
    <x v="2"/>
    <s v="Standard"/>
    <n v="31230.720000000001"/>
    <n v="71.7"/>
    <n v="250"/>
    <n v="103.9"/>
    <n v="5.73"/>
    <n v="164"/>
    <n v="204"/>
    <n v="200"/>
    <s v="RWD"/>
    <n v="5"/>
    <s v="Sedan"/>
    <n v="25.8"/>
    <n v="1615"/>
    <n v="5"/>
    <n v="0"/>
    <x v="3"/>
    <x v="3"/>
    <n v="74025"/>
    <n v="3.4"/>
    <n v="4"/>
    <x v="1"/>
    <n v="3.49"/>
    <s v="High"/>
  </r>
  <r>
    <x v="1"/>
    <s v="bZ4X"/>
    <x v="3"/>
    <s v="Standard"/>
    <n v="46568.71"/>
    <n v="69.2"/>
    <n v="216"/>
    <n v="84.7"/>
    <n v="5.33"/>
    <n v="165"/>
    <n v="417"/>
    <n v="358"/>
    <s v="FWD"/>
    <n v="5"/>
    <s v="SUV"/>
    <n v="58.3"/>
    <n v="2099"/>
    <n v="5"/>
    <n v="0"/>
    <x v="1"/>
    <x v="1"/>
    <n v="1982"/>
    <n v="3.5"/>
    <n v="4"/>
    <x v="1"/>
    <n v="3.12"/>
    <s v="Low"/>
  </r>
  <r>
    <x v="4"/>
    <s v="Model X"/>
    <x v="3"/>
    <s v="Base"/>
    <n v="95625.9"/>
    <n v="64.099999999999994"/>
    <n v="229"/>
    <n v="299.10000000000002"/>
    <n v="7.66"/>
    <n v="138"/>
    <n v="681"/>
    <n v="637"/>
    <s v="RWD"/>
    <n v="5"/>
    <s v="Coupe"/>
    <n v="21.1"/>
    <n v="1896"/>
    <n v="5"/>
    <n v="2"/>
    <x v="2"/>
    <x v="2"/>
    <n v="233990"/>
    <n v="3.6"/>
    <n v="5"/>
    <x v="2"/>
    <n v="3.57"/>
    <s v="High"/>
  </r>
  <r>
    <x v="10"/>
    <s v="i7"/>
    <x v="1"/>
    <s v="Premium"/>
    <n v="116700.28"/>
    <n v="62.9"/>
    <n v="213"/>
    <n v="66.7"/>
    <n v="7.34"/>
    <n v="146"/>
    <n v="1000"/>
    <n v="869"/>
    <s v="RWD"/>
    <n v="5"/>
    <s v="Van"/>
    <n v="65"/>
    <n v="1527"/>
    <n v="5"/>
    <n v="2"/>
    <x v="0"/>
    <x v="0"/>
    <n v="29505"/>
    <n v="3.8"/>
    <n v="5"/>
    <x v="2"/>
    <n v="3.39"/>
    <s v="High"/>
  </r>
  <r>
    <x v="4"/>
    <s v="Cybertruck"/>
    <x v="1"/>
    <s v="Long Range"/>
    <n v="88720.74"/>
    <n v="92.2"/>
    <n v="341"/>
    <n v="247.8"/>
    <n v="4.93"/>
    <n v="175"/>
    <n v="616"/>
    <n v="532"/>
    <s v="FWD"/>
    <n v="5"/>
    <s v="Truck"/>
    <n v="55.6"/>
    <n v="2380"/>
    <n v="4"/>
    <n v="3"/>
    <x v="2"/>
    <x v="2"/>
    <n v="226922"/>
    <n v="4"/>
    <n v="5"/>
    <x v="1"/>
    <n v="3.7"/>
    <s v="High"/>
  </r>
  <r>
    <x v="8"/>
    <s v="Ioniq 5"/>
    <x v="5"/>
    <s v="Standard"/>
    <n v="59666.31"/>
    <n v="75.5"/>
    <n v="262"/>
    <n v="93.8"/>
    <n v="7.01"/>
    <n v="147"/>
    <n v="716"/>
    <n v="656"/>
    <s v="AWD"/>
    <n v="5"/>
    <s v="Sedan"/>
    <n v="15.7"/>
    <n v="1500"/>
    <n v="4"/>
    <n v="1"/>
    <x v="3"/>
    <x v="1"/>
    <n v="130091"/>
    <n v="3.8"/>
    <n v="5"/>
    <x v="2"/>
    <n v="3.47"/>
    <s v="High"/>
  </r>
  <r>
    <x v="4"/>
    <s v="Cybertruck"/>
    <x v="2"/>
    <s v="Premium"/>
    <n v="148667.6"/>
    <n v="71.3"/>
    <n v="250"/>
    <n v="253.6"/>
    <n v="7.89"/>
    <n v="135"/>
    <n v="1000"/>
    <n v="901"/>
    <s v="AWD"/>
    <n v="5"/>
    <s v="Truck"/>
    <n v="72.099999999999994"/>
    <n v="2309"/>
    <n v="5"/>
    <n v="2"/>
    <x v="2"/>
    <x v="0"/>
    <n v="117109"/>
    <n v="3.8"/>
    <n v="4"/>
    <x v="2"/>
    <n v="3.51"/>
    <s v="High"/>
  </r>
  <r>
    <x v="0"/>
    <s v="ID. Buzz"/>
    <x v="3"/>
    <s v="Standard"/>
    <n v="48208.86"/>
    <n v="79"/>
    <n v="288"/>
    <n v="120.9"/>
    <n v="6.74"/>
    <n v="152"/>
    <n v="425"/>
    <n v="364"/>
    <s v="FWD"/>
    <n v="5"/>
    <s v="Sedan"/>
    <n v="28.2"/>
    <n v="1783"/>
    <n v="5"/>
    <n v="1"/>
    <x v="0"/>
    <x v="1"/>
    <n v="272524"/>
    <n v="3.5"/>
    <n v="3"/>
    <x v="1"/>
    <n v="3.65"/>
    <s v="High"/>
  </r>
  <r>
    <x v="2"/>
    <s v="Bolt EV"/>
    <x v="4"/>
    <s v="Base"/>
    <n v="57965.58"/>
    <n v="67"/>
    <n v="237"/>
    <n v="86.4"/>
    <n v="6.45"/>
    <n v="159"/>
    <n v="732"/>
    <n v="664"/>
    <s v="RWD"/>
    <n v="5"/>
    <s v="Van"/>
    <n v="72.8"/>
    <n v="1500"/>
    <n v="4"/>
    <n v="1"/>
    <x v="2"/>
    <x v="1"/>
    <n v="3168"/>
    <n v="3.5"/>
    <n v="4"/>
    <x v="1"/>
    <n v="3.54"/>
    <s v="Low"/>
  </r>
  <r>
    <x v="7"/>
    <s v="Yuan Plus"/>
    <x v="5"/>
    <s v="Long Range"/>
    <n v="92189.49"/>
    <n v="91.2"/>
    <n v="317"/>
    <n v="118.6"/>
    <n v="4.09"/>
    <n v="188"/>
    <n v="1000"/>
    <n v="956"/>
    <s v="FWD"/>
    <n v="7"/>
    <s v="Coupe"/>
    <n v="30.8"/>
    <n v="1766"/>
    <n v="4"/>
    <n v="2"/>
    <x v="4"/>
    <x v="2"/>
    <n v="158795"/>
    <n v="3.9"/>
    <n v="3"/>
    <x v="1"/>
    <n v="3.48"/>
    <s v="High"/>
  </r>
  <r>
    <x v="10"/>
    <s v="i5"/>
    <x v="6"/>
    <s v="Standard"/>
    <n v="94185.600000000006"/>
    <n v="41.2"/>
    <n v="150"/>
    <n v="123.8"/>
    <n v="5.94"/>
    <n v="159"/>
    <n v="691"/>
    <n v="651"/>
    <s v="AWD"/>
    <n v="7"/>
    <s v="Coupe"/>
    <n v="38.9"/>
    <n v="1511"/>
    <n v="4"/>
    <n v="1"/>
    <x v="0"/>
    <x v="2"/>
    <n v="43577"/>
    <n v="3.4"/>
    <n v="8"/>
    <x v="1"/>
    <n v="3.64"/>
    <s v="High"/>
  </r>
  <r>
    <x v="9"/>
    <s v="Mustang Mach-E"/>
    <x v="2"/>
    <s v="Base"/>
    <n v="38196.949999999997"/>
    <n v="78.2"/>
    <n v="261"/>
    <n v="60"/>
    <n v="5.44"/>
    <n v="160"/>
    <n v="270"/>
    <n v="204"/>
    <s v="FWD"/>
    <n v="5"/>
    <s v="Hatchback"/>
    <n v="15.1"/>
    <n v="1500"/>
    <n v="5"/>
    <n v="0"/>
    <x v="2"/>
    <x v="1"/>
    <n v="25281"/>
    <n v="3.6"/>
    <n v="4"/>
    <x v="1"/>
    <n v="3.34"/>
    <s v="High"/>
  </r>
  <r>
    <x v="13"/>
    <s v="R2"/>
    <x v="6"/>
    <s v="Standard"/>
    <n v="74902.509999999995"/>
    <n v="63.7"/>
    <n v="219"/>
    <n v="64.2"/>
    <n v="7.08"/>
    <n v="142"/>
    <n v="335"/>
    <n v="333"/>
    <s v="RWD"/>
    <n v="5"/>
    <s v="Coupe"/>
    <n v="29.5"/>
    <n v="1679"/>
    <n v="4"/>
    <n v="1"/>
    <x v="2"/>
    <x v="2"/>
    <n v="16890"/>
    <n v="3.3"/>
    <n v="5"/>
    <x v="2"/>
    <n v="3.44"/>
    <s v="Medium"/>
  </r>
  <r>
    <x v="7"/>
    <s v="Leaf 50X"/>
    <x v="2"/>
    <s v="Long Range"/>
    <n v="77872.95"/>
    <n v="95.8"/>
    <n v="343"/>
    <n v="83.8"/>
    <n v="5.67"/>
    <n v="164"/>
    <n v="907"/>
    <n v="801"/>
    <s v="RWD"/>
    <n v="5"/>
    <s v="SUV"/>
    <n v="46.6"/>
    <n v="2029"/>
    <n v="4"/>
    <n v="0"/>
    <x v="4"/>
    <x v="2"/>
    <n v="152424"/>
    <n v="3.7"/>
    <n v="3"/>
    <x v="1"/>
    <n v="3.58"/>
    <s v="High"/>
  </r>
  <r>
    <x v="0"/>
    <s v="ID.4"/>
    <x v="3"/>
    <s v="Standard"/>
    <n v="76084.88"/>
    <n v="51.2"/>
    <n v="165"/>
    <n v="65.3"/>
    <n v="6.3"/>
    <n v="149"/>
    <n v="816"/>
    <n v="711"/>
    <s v="FWD"/>
    <n v="5"/>
    <s v="Hatchback"/>
    <n v="34.200000000000003"/>
    <n v="1500"/>
    <n v="4"/>
    <n v="1"/>
    <x v="0"/>
    <x v="2"/>
    <n v="264457"/>
    <n v="3.1"/>
    <n v="3"/>
    <x v="1"/>
    <n v="3.22"/>
    <s v="High"/>
  </r>
  <r>
    <x v="4"/>
    <s v="Model X"/>
    <x v="0"/>
    <s v="Base"/>
    <n v="55932.63"/>
    <n v="59.8"/>
    <n v="209"/>
    <n v="224.1"/>
    <n v="5.74"/>
    <n v="155"/>
    <n v="364"/>
    <n v="340"/>
    <s v="RWD"/>
    <n v="5"/>
    <s v="SUV"/>
    <n v="46.3"/>
    <n v="2166"/>
    <n v="3"/>
    <n v="3"/>
    <x v="2"/>
    <x v="1"/>
    <n v="183636"/>
    <n v="3.7"/>
    <n v="5"/>
    <x v="1"/>
    <n v="3.49"/>
    <s v="High"/>
  </r>
  <r>
    <x v="15"/>
    <s v="C40 Recharge"/>
    <x v="1"/>
    <s v="Base"/>
    <n v="45992.59"/>
    <n v="83.4"/>
    <n v="291"/>
    <n v="142.4"/>
    <n v="5.51"/>
    <n v="175"/>
    <n v="167"/>
    <n v="200"/>
    <s v="RWD"/>
    <n v="7"/>
    <s v="Hatchback"/>
    <n v="17.8"/>
    <n v="1500"/>
    <n v="5"/>
    <n v="0"/>
    <x v="5"/>
    <x v="1"/>
    <n v="3048"/>
    <n v="3.4"/>
    <n v="4"/>
    <x v="1"/>
    <n v="3.49"/>
    <s v="Low"/>
  </r>
  <r>
    <x v="13"/>
    <s v="R1T"/>
    <x v="6"/>
    <s v="Base"/>
    <n v="64055.95"/>
    <n v="77.900000000000006"/>
    <n v="280"/>
    <n v="141.4"/>
    <n v="7.73"/>
    <n v="136"/>
    <n v="150"/>
    <n v="200"/>
    <s v="FWD"/>
    <n v="2"/>
    <s v="Truck"/>
    <n v="67.599999999999994"/>
    <n v="2714"/>
    <n v="5"/>
    <n v="0"/>
    <x v="2"/>
    <x v="1"/>
    <n v="12678"/>
    <n v="3.7"/>
    <n v="4"/>
    <x v="2"/>
    <n v="3.59"/>
    <s v="Medium"/>
  </r>
  <r>
    <x v="3"/>
    <s v="EV9"/>
    <x v="3"/>
    <s v="Long Range"/>
    <n v="39329.81"/>
    <n v="94"/>
    <n v="300"/>
    <n v="148.69999999999999"/>
    <n v="4.1399999999999997"/>
    <n v="189"/>
    <n v="276"/>
    <n v="263"/>
    <s v="AWD"/>
    <n v="7"/>
    <s v="SUV"/>
    <n v="51.9"/>
    <n v="2029"/>
    <n v="5"/>
    <n v="0"/>
    <x v="3"/>
    <x v="1"/>
    <n v="139592"/>
    <n v="3.6"/>
    <n v="4"/>
    <x v="1"/>
    <n v="3.19"/>
    <s v="High"/>
  </r>
  <r>
    <x v="5"/>
    <s v="EQS"/>
    <x v="2"/>
    <s v="Premium"/>
    <n v="200859.77"/>
    <n v="65.8"/>
    <n v="222"/>
    <n v="145.6"/>
    <n v="5.04"/>
    <n v="178"/>
    <n v="1000"/>
    <n v="880"/>
    <s v="RWD"/>
    <n v="5"/>
    <s v="Hatchback"/>
    <n v="39.6"/>
    <n v="1543"/>
    <n v="5"/>
    <n v="1"/>
    <x v="0"/>
    <x v="0"/>
    <n v="50870"/>
    <n v="3.8"/>
    <n v="7"/>
    <x v="1"/>
    <n v="3.37"/>
    <s v="High"/>
  </r>
  <r>
    <x v="8"/>
    <s v="Kona Electric"/>
    <x v="3"/>
    <s v="Performance"/>
    <n v="83020.490000000005"/>
    <n v="119.5"/>
    <n v="412"/>
    <n v="183.5"/>
    <n v="4.2699999999999996"/>
    <n v="188"/>
    <n v="1000"/>
    <n v="914"/>
    <s v="RWD"/>
    <n v="5"/>
    <s v="Sedan"/>
    <n v="39.700000000000003"/>
    <n v="1500"/>
    <n v="4"/>
    <n v="0"/>
    <x v="3"/>
    <x v="2"/>
    <n v="65013"/>
    <n v="3.7"/>
    <n v="4"/>
    <x v="1"/>
    <n v="3.45"/>
    <s v="High"/>
  </r>
  <r>
    <x v="10"/>
    <s v="i7"/>
    <x v="0"/>
    <s v="Long Range"/>
    <n v="131127.44"/>
    <n v="88.4"/>
    <n v="275"/>
    <n v="70.5"/>
    <n v="4.88"/>
    <n v="175"/>
    <n v="1000"/>
    <n v="893"/>
    <s v="RWD"/>
    <n v="7"/>
    <s v="Van"/>
    <n v="68.7"/>
    <n v="1543"/>
    <n v="4"/>
    <n v="2"/>
    <x v="0"/>
    <x v="0"/>
    <n v="49932"/>
    <n v="3.3"/>
    <n v="7"/>
    <x v="1"/>
    <n v="3.11"/>
    <s v="High"/>
  </r>
  <r>
    <x v="4"/>
    <s v="Model Y"/>
    <x v="0"/>
    <s v="Long Range"/>
    <n v="63692.69"/>
    <n v="107.7"/>
    <n v="357"/>
    <n v="240.9"/>
    <n v="4.17"/>
    <n v="188"/>
    <n v="446"/>
    <n v="387"/>
    <s v="FWD"/>
    <n v="7"/>
    <s v="Van"/>
    <n v="75.099999999999994"/>
    <n v="1500"/>
    <n v="3"/>
    <n v="3"/>
    <x v="2"/>
    <x v="1"/>
    <n v="462962"/>
    <n v="4.0999999999999996"/>
    <n v="4"/>
    <x v="1"/>
    <n v="3.31"/>
    <s v="High"/>
  </r>
  <r>
    <x v="2"/>
    <s v="Bolt EV"/>
    <x v="3"/>
    <s v="Long Range"/>
    <n v="37683.39"/>
    <n v="98.3"/>
    <n v="363"/>
    <n v="60.9"/>
    <n v="5.89"/>
    <n v="166"/>
    <n v="410"/>
    <n v="390"/>
    <s v="AWD"/>
    <n v="7"/>
    <s v="Truck"/>
    <n v="71.900000000000006"/>
    <n v="2310"/>
    <n v="4"/>
    <n v="2"/>
    <x v="2"/>
    <x v="1"/>
    <n v="20559"/>
    <n v="3.4"/>
    <n v="4"/>
    <x v="1"/>
    <n v="3.69"/>
    <s v="High"/>
  </r>
  <r>
    <x v="4"/>
    <s v="Model Y"/>
    <x v="3"/>
    <s v="Premium"/>
    <n v="40474.28"/>
    <n v="53.8"/>
    <n v="163"/>
    <n v="301.5"/>
    <n v="6.49"/>
    <n v="148"/>
    <n v="226"/>
    <n v="200"/>
    <s v="RWD"/>
    <n v="5"/>
    <s v="SUV"/>
    <n v="53.5"/>
    <n v="2239"/>
    <n v="4"/>
    <n v="2"/>
    <x v="2"/>
    <x v="1"/>
    <n v="484636"/>
    <n v="3.7"/>
    <n v="5"/>
    <x v="1"/>
    <n v="3.03"/>
    <s v="High"/>
  </r>
  <r>
    <x v="5"/>
    <s v="EQS"/>
    <x v="2"/>
    <s v="Base"/>
    <n v="111876"/>
    <n v="48.8"/>
    <n v="150"/>
    <n v="52.4"/>
    <n v="6.45"/>
    <n v="153"/>
    <n v="558"/>
    <n v="450"/>
    <s v="AWD"/>
    <n v="7"/>
    <s v="Sedan"/>
    <n v="38.700000000000003"/>
    <n v="1698"/>
    <n v="4"/>
    <n v="1"/>
    <x v="0"/>
    <x v="0"/>
    <n v="36359"/>
    <n v="3.6"/>
    <n v="8"/>
    <x v="1"/>
    <n v="3.07"/>
    <s v="High"/>
  </r>
  <r>
    <x v="9"/>
    <s v="F-150 Lightning"/>
    <x v="2"/>
    <s v="Performance"/>
    <n v="106766.97"/>
    <n v="109.9"/>
    <n v="376"/>
    <n v="166.2"/>
    <n v="3.18"/>
    <n v="200"/>
    <n v="1000"/>
    <n v="895"/>
    <s v="AWD"/>
    <n v="2"/>
    <s v="Truck"/>
    <n v="77.400000000000006"/>
    <n v="2776"/>
    <n v="4"/>
    <n v="1"/>
    <x v="2"/>
    <x v="0"/>
    <n v="44309"/>
    <n v="3.8"/>
    <n v="3"/>
    <x v="0"/>
    <n v="3.42"/>
    <s v="High"/>
  </r>
  <r>
    <x v="2"/>
    <s v="Bolt EUV"/>
    <x v="3"/>
    <s v="Premium"/>
    <n v="47998.86"/>
    <n v="60.9"/>
    <n v="202"/>
    <n v="96.1"/>
    <n v="5.42"/>
    <n v="159"/>
    <n v="551"/>
    <n v="486"/>
    <s v="AWD"/>
    <n v="7"/>
    <s v="Van"/>
    <n v="70.8"/>
    <n v="1527"/>
    <n v="5"/>
    <n v="0"/>
    <x v="2"/>
    <x v="1"/>
    <n v="2175"/>
    <n v="3.2"/>
    <n v="4"/>
    <x v="1"/>
    <n v="3.32"/>
    <s v="Low"/>
  </r>
  <r>
    <x v="4"/>
    <s v="Model X"/>
    <x v="2"/>
    <s v="Base"/>
    <n v="78351.88"/>
    <n v="83.5"/>
    <n v="303"/>
    <n v="324.60000000000002"/>
    <n v="6.81"/>
    <n v="152"/>
    <n v="546"/>
    <n v="448"/>
    <s v="FWD"/>
    <n v="5"/>
    <s v="Truck"/>
    <n v="54.1"/>
    <n v="2584"/>
    <n v="5"/>
    <n v="2"/>
    <x v="2"/>
    <x v="2"/>
    <n v="135414"/>
    <n v="4"/>
    <n v="4"/>
    <x v="1"/>
    <n v="3.63"/>
    <s v="High"/>
  </r>
  <r>
    <x v="7"/>
    <s v="Qin"/>
    <x v="3"/>
    <s v="Premium"/>
    <n v="101756.01"/>
    <n v="70.7"/>
    <n v="259"/>
    <n v="71.7"/>
    <n v="7.72"/>
    <n v="139"/>
    <n v="1000"/>
    <n v="893"/>
    <s v="RWD"/>
    <n v="5"/>
    <s v="Coupe"/>
    <n v="39.200000000000003"/>
    <n v="1710"/>
    <n v="5"/>
    <n v="0"/>
    <x v="4"/>
    <x v="0"/>
    <n v="207780"/>
    <n v="3.6"/>
    <n v="3"/>
    <x v="2"/>
    <n v="3.66"/>
    <s v="High"/>
  </r>
  <r>
    <x v="7"/>
    <s v="Yuan Plus"/>
    <x v="4"/>
    <s v="Performance"/>
    <n v="36438.81"/>
    <n v="91.3"/>
    <n v="319"/>
    <n v="202.3"/>
    <n v="3.74"/>
    <n v="192"/>
    <n v="418"/>
    <n v="410"/>
    <s v="AWD"/>
    <n v="5"/>
    <s v="Coupe"/>
    <n v="29.8"/>
    <n v="1516"/>
    <n v="4"/>
    <n v="0"/>
    <x v="4"/>
    <x v="1"/>
    <n v="110969"/>
    <n v="3.8"/>
    <n v="4"/>
    <x v="0"/>
    <n v="3.49"/>
    <s v="High"/>
  </r>
  <r>
    <x v="0"/>
    <s v="ID.4"/>
    <x v="2"/>
    <s v="Standard"/>
    <n v="45113.98"/>
    <n v="80.8"/>
    <n v="294"/>
    <n v="94.5"/>
    <n v="7.15"/>
    <n v="140"/>
    <n v="373"/>
    <n v="306"/>
    <s v="RWD"/>
    <n v="7"/>
    <s v="Sedan"/>
    <n v="21.5"/>
    <n v="1516"/>
    <n v="4"/>
    <n v="0"/>
    <x v="0"/>
    <x v="1"/>
    <n v="248569"/>
    <n v="3.8"/>
    <n v="4"/>
    <x v="2"/>
    <n v="3.64"/>
    <s v="High"/>
  </r>
  <r>
    <x v="4"/>
    <s v="Model Y"/>
    <x v="2"/>
    <s v="Base"/>
    <n v="117810.94"/>
    <n v="78.099999999999994"/>
    <n v="253"/>
    <n v="210.7"/>
    <n v="5.7"/>
    <n v="162"/>
    <n v="847"/>
    <n v="781"/>
    <s v="AWD"/>
    <n v="5"/>
    <s v="Coupe"/>
    <n v="25"/>
    <n v="1774"/>
    <n v="4"/>
    <n v="2"/>
    <x v="2"/>
    <x v="0"/>
    <n v="402141"/>
    <n v="4"/>
    <n v="5"/>
    <x v="1"/>
    <n v="3.24"/>
    <s v="High"/>
  </r>
  <r>
    <x v="12"/>
    <s v="EC6"/>
    <x v="1"/>
    <s v="Standard"/>
    <n v="64086.32"/>
    <n v="52.7"/>
    <n v="161"/>
    <n v="59.1"/>
    <n v="5.34"/>
    <n v="169"/>
    <n v="491"/>
    <n v="423"/>
    <s v="AWD"/>
    <n v="5"/>
    <s v="SUV"/>
    <n v="50.8"/>
    <n v="2057"/>
    <n v="5"/>
    <n v="2"/>
    <x v="4"/>
    <x v="1"/>
    <n v="19395"/>
    <n v="3.5"/>
    <n v="4"/>
    <x v="1"/>
    <n v="3.06"/>
    <s v="Medium"/>
  </r>
  <r>
    <x v="3"/>
    <s v="Niro EV"/>
    <x v="5"/>
    <s v="Performance"/>
    <n v="71757.16"/>
    <n v="96"/>
    <n v="336"/>
    <n v="236.2"/>
    <n v="4.45"/>
    <n v="181"/>
    <n v="816"/>
    <n v="742"/>
    <s v="AWD"/>
    <n v="5"/>
    <s v="Truck"/>
    <n v="67.5"/>
    <n v="2916"/>
    <n v="5"/>
    <n v="0"/>
    <x v="3"/>
    <x v="2"/>
    <n v="123775"/>
    <n v="3.7"/>
    <n v="3"/>
    <x v="1"/>
    <n v="3.5"/>
    <s v="High"/>
  </r>
  <r>
    <x v="7"/>
    <s v="Max"/>
    <x v="5"/>
    <s v="Performance"/>
    <n v="71385.39"/>
    <n v="109.6"/>
    <n v="380"/>
    <n v="150.6"/>
    <n v="4.08"/>
    <n v="193"/>
    <n v="830"/>
    <n v="743"/>
    <s v="AWD"/>
    <n v="5"/>
    <s v="Coupe"/>
    <n v="20.6"/>
    <n v="1527"/>
    <n v="4"/>
    <n v="0"/>
    <x v="4"/>
    <x v="2"/>
    <n v="234079"/>
    <n v="3.8"/>
    <n v="4"/>
    <x v="1"/>
    <n v="3.47"/>
    <s v="High"/>
  </r>
  <r>
    <x v="0"/>
    <s v="ID. Aero"/>
    <x v="0"/>
    <s v="Performance"/>
    <n v="82345.289999999994"/>
    <n v="78.400000000000006"/>
    <n v="276"/>
    <n v="162.1"/>
    <n v="2.61"/>
    <n v="200"/>
    <n v="961"/>
    <n v="853"/>
    <s v="RWD"/>
    <n v="7"/>
    <s v="Hatchback"/>
    <n v="27.1"/>
    <n v="1677"/>
    <n v="4"/>
    <n v="2"/>
    <x v="0"/>
    <x v="2"/>
    <n v="291745"/>
    <n v="3.7"/>
    <n v="4"/>
    <x v="0"/>
    <n v="3.52"/>
    <s v="High"/>
  </r>
  <r>
    <x v="0"/>
    <s v="ID.4"/>
    <x v="2"/>
    <s v="Long Range"/>
    <n v="69646.080000000002"/>
    <n v="82.9"/>
    <n v="303"/>
    <n v="106.8"/>
    <n v="5.0199999999999996"/>
    <n v="175"/>
    <n v="708"/>
    <n v="650"/>
    <s v="RWD"/>
    <n v="5"/>
    <s v="Coupe"/>
    <n v="25.2"/>
    <n v="1500"/>
    <n v="4"/>
    <n v="0"/>
    <x v="0"/>
    <x v="2"/>
    <n v="292447"/>
    <n v="3.9"/>
    <n v="3"/>
    <x v="1"/>
    <n v="3.66"/>
    <s v="High"/>
  </r>
  <r>
    <x v="3"/>
    <s v="Niro EV"/>
    <x v="0"/>
    <s v="Performance"/>
    <n v="59632.87"/>
    <n v="90.3"/>
    <n v="325"/>
    <n v="160.4"/>
    <n v="3.84"/>
    <n v="196"/>
    <n v="682"/>
    <n v="638"/>
    <s v="AWD"/>
    <n v="5"/>
    <s v="Coupe"/>
    <n v="20.8"/>
    <n v="1529"/>
    <n v="5"/>
    <n v="0"/>
    <x v="3"/>
    <x v="1"/>
    <n v="97616"/>
    <n v="3.7"/>
    <n v="4"/>
    <x v="0"/>
    <n v="3.6"/>
    <s v="High"/>
  </r>
  <r>
    <x v="8"/>
    <s v="Ioniq"/>
    <x v="2"/>
    <s v="Performance"/>
    <n v="44796.76"/>
    <n v="104.6"/>
    <n v="359"/>
    <n v="167.5"/>
    <n v="2.56"/>
    <n v="200"/>
    <n v="395"/>
    <n v="380"/>
    <s v="AWD"/>
    <n v="5"/>
    <s v="Sedan"/>
    <n v="39.299999999999997"/>
    <n v="1500"/>
    <n v="5"/>
    <n v="1"/>
    <x v="3"/>
    <x v="1"/>
    <n v="113793"/>
    <n v="4"/>
    <n v="4"/>
    <x v="0"/>
    <n v="3.43"/>
    <s v="High"/>
  </r>
  <r>
    <x v="13"/>
    <s v="R3"/>
    <x v="3"/>
    <s v="Standard"/>
    <n v="79722.649999999994"/>
    <n v="80.900000000000006"/>
    <n v="261"/>
    <n v="102.2"/>
    <n v="5.0999999999999996"/>
    <n v="173"/>
    <n v="649"/>
    <n v="596"/>
    <s v="AWD"/>
    <n v="7"/>
    <s v="SUV"/>
    <n v="53.8"/>
    <n v="2018"/>
    <n v="5"/>
    <n v="2"/>
    <x v="2"/>
    <x v="2"/>
    <n v="28225"/>
    <n v="3.3"/>
    <n v="5"/>
    <x v="1"/>
    <n v="3.23"/>
    <s v="High"/>
  </r>
  <r>
    <x v="8"/>
    <s v="Ioniq 5"/>
    <x v="3"/>
    <s v="Premium"/>
    <n v="65433.15"/>
    <n v="41.9"/>
    <n v="150"/>
    <n v="54.9"/>
    <n v="5.0599999999999996"/>
    <n v="179"/>
    <n v="785"/>
    <n v="710"/>
    <s v="AWD"/>
    <n v="7"/>
    <s v="Sedan"/>
    <n v="32.299999999999997"/>
    <n v="1506"/>
    <n v="5"/>
    <n v="2"/>
    <x v="3"/>
    <x v="2"/>
    <n v="78985"/>
    <n v="3.3"/>
    <n v="5"/>
    <x v="1"/>
    <n v="3.58"/>
    <s v="High"/>
  </r>
  <r>
    <x v="15"/>
    <s v="XC90 Recharge"/>
    <x v="2"/>
    <s v="Standard"/>
    <n v="75390.600000000006"/>
    <n v="43.1"/>
    <n v="156"/>
    <n v="72.8"/>
    <n v="6.98"/>
    <n v="135"/>
    <n v="591"/>
    <n v="512"/>
    <s v="RWD"/>
    <n v="5"/>
    <s v="Van"/>
    <n v="72.599999999999994"/>
    <n v="1623"/>
    <n v="5"/>
    <n v="2"/>
    <x v="5"/>
    <x v="2"/>
    <n v="16760"/>
    <n v="3.3"/>
    <n v="5"/>
    <x v="1"/>
    <n v="3.62"/>
    <s v="Medium"/>
  </r>
  <r>
    <x v="5"/>
    <s v="EQG"/>
    <x v="2"/>
    <s v="Long Range"/>
    <n v="95795.03"/>
    <n v="93.8"/>
    <n v="354"/>
    <n v="136.1"/>
    <n v="4.6100000000000003"/>
    <n v="177"/>
    <n v="477"/>
    <n v="445"/>
    <s v="AWD"/>
    <n v="7"/>
    <s v="Truck"/>
    <n v="70.2"/>
    <n v="2380"/>
    <n v="3"/>
    <n v="1"/>
    <x v="0"/>
    <x v="2"/>
    <n v="37523"/>
    <n v="4.2"/>
    <n v="6"/>
    <x v="1"/>
    <n v="3.77"/>
    <s v="High"/>
  </r>
  <r>
    <x v="7"/>
    <s v="Yuan Plus"/>
    <x v="2"/>
    <s v="Long Range"/>
    <n v="65610.36"/>
    <n v="86.2"/>
    <n v="270"/>
    <n v="67.599999999999994"/>
    <n v="5.1100000000000003"/>
    <n v="176"/>
    <n v="724"/>
    <n v="637"/>
    <s v="FWD"/>
    <n v="5"/>
    <s v="Hatchback"/>
    <n v="18.899999999999999"/>
    <n v="1677"/>
    <n v="5"/>
    <n v="0"/>
    <x v="4"/>
    <x v="2"/>
    <n v="239905"/>
    <n v="3.6"/>
    <n v="4"/>
    <x v="1"/>
    <n v="3.13"/>
    <s v="High"/>
  </r>
  <r>
    <x v="13"/>
    <s v="R1S"/>
    <x v="2"/>
    <s v="Standard"/>
    <n v="85223.91"/>
    <n v="55.2"/>
    <n v="206"/>
    <n v="65.2"/>
    <n v="7.32"/>
    <n v="146"/>
    <n v="972"/>
    <n v="858"/>
    <s v="RWD"/>
    <n v="7"/>
    <s v="Coupe"/>
    <n v="30.1"/>
    <n v="1500"/>
    <n v="5"/>
    <n v="1"/>
    <x v="2"/>
    <x v="2"/>
    <n v="18207"/>
    <n v="3.2"/>
    <n v="4"/>
    <x v="2"/>
    <n v="3.73"/>
    <s v="Medium"/>
  </r>
  <r>
    <x v="4"/>
    <s v="Model S"/>
    <x v="5"/>
    <s v="Performance"/>
    <n v="173601"/>
    <n v="82"/>
    <n v="301"/>
    <n v="340.2"/>
    <n v="4.49"/>
    <n v="184"/>
    <n v="1000"/>
    <n v="901"/>
    <s v="RWD"/>
    <n v="7"/>
    <s v="Truck"/>
    <n v="65.900000000000006"/>
    <n v="2374"/>
    <n v="4"/>
    <n v="2"/>
    <x v="2"/>
    <x v="0"/>
    <n v="192234"/>
    <n v="3.9"/>
    <n v="4"/>
    <x v="1"/>
    <n v="3.67"/>
    <s v="High"/>
  </r>
  <r>
    <x v="9"/>
    <s v="Explorer EV"/>
    <x v="2"/>
    <s v="Long Range"/>
    <n v="93391.97"/>
    <n v="96.9"/>
    <n v="328"/>
    <n v="111.1"/>
    <n v="4.62"/>
    <n v="188"/>
    <n v="1000"/>
    <n v="877"/>
    <s v="RWD"/>
    <n v="5"/>
    <s v="Van"/>
    <n v="79.7"/>
    <n v="1566"/>
    <n v="4"/>
    <n v="2"/>
    <x v="2"/>
    <x v="2"/>
    <n v="53055"/>
    <n v="3.5"/>
    <n v="4"/>
    <x v="1"/>
    <n v="3.38"/>
    <s v="High"/>
  </r>
  <r>
    <x v="0"/>
    <s v="ID.5"/>
    <x v="3"/>
    <s v="Standard"/>
    <n v="60858.6"/>
    <n v="63.9"/>
    <n v="242"/>
    <n v="79.900000000000006"/>
    <n v="5.77"/>
    <n v="165"/>
    <n v="619"/>
    <n v="583"/>
    <s v="AWD"/>
    <n v="5"/>
    <s v="Sedan"/>
    <n v="29"/>
    <n v="1783"/>
    <n v="4"/>
    <n v="0"/>
    <x v="0"/>
    <x v="1"/>
    <n v="280770"/>
    <n v="3.7"/>
    <n v="3"/>
    <x v="1"/>
    <n v="3.79"/>
    <s v="High"/>
  </r>
  <r>
    <x v="11"/>
    <s v="Q6 e-tron"/>
    <x v="2"/>
    <s v="Base"/>
    <n v="68629.02"/>
    <n v="66.7"/>
    <n v="254"/>
    <n v="132.19999999999999"/>
    <n v="5.48"/>
    <n v="173"/>
    <n v="359"/>
    <n v="342"/>
    <s v="RWD"/>
    <n v="5"/>
    <s v="Sedan"/>
    <n v="32.4"/>
    <n v="1555"/>
    <n v="5"/>
    <n v="1"/>
    <x v="0"/>
    <x v="2"/>
    <n v="32172"/>
    <n v="3.6"/>
    <n v="6"/>
    <x v="1"/>
    <n v="3.81"/>
    <s v="High"/>
  </r>
  <r>
    <x v="5"/>
    <s v="EQG"/>
    <x v="3"/>
    <s v="Premium"/>
    <n v="128362.44"/>
    <n v="46.9"/>
    <n v="168"/>
    <n v="115.3"/>
    <n v="7.18"/>
    <n v="141"/>
    <n v="668"/>
    <n v="576"/>
    <s v="AWD"/>
    <n v="5"/>
    <s v="Coupe"/>
    <n v="25.4"/>
    <n v="1630"/>
    <n v="4"/>
    <n v="1"/>
    <x v="0"/>
    <x v="0"/>
    <n v="79528"/>
    <n v="3.7"/>
    <n v="8"/>
    <x v="2"/>
    <n v="3.58"/>
    <s v="High"/>
  </r>
  <r>
    <x v="9"/>
    <s v="E-Transit"/>
    <x v="2"/>
    <s v="Performance"/>
    <n v="115288.59"/>
    <n v="81.599999999999994"/>
    <n v="287"/>
    <n v="180.5"/>
    <n v="3.85"/>
    <n v="191"/>
    <n v="1000"/>
    <n v="926"/>
    <s v="AWD"/>
    <n v="7"/>
    <s v="Hatchback"/>
    <n v="16.7"/>
    <n v="1500"/>
    <n v="5"/>
    <n v="0"/>
    <x v="2"/>
    <x v="0"/>
    <n v="28651"/>
    <n v="3.6"/>
    <n v="3"/>
    <x v="0"/>
    <n v="3.52"/>
    <s v="High"/>
  </r>
  <r>
    <x v="9"/>
    <s v="Explorer EV"/>
    <x v="4"/>
    <s v="Premium"/>
    <n v="97933.8"/>
    <n v="43.7"/>
    <n v="150"/>
    <n v="66.599999999999994"/>
    <n v="7.65"/>
    <n v="142"/>
    <n v="1000"/>
    <n v="911"/>
    <s v="RWD"/>
    <n v="5"/>
    <s v="SUV"/>
    <n v="54.5"/>
    <n v="1826"/>
    <n v="4"/>
    <n v="0"/>
    <x v="2"/>
    <x v="2"/>
    <n v="45842"/>
    <n v="3.1"/>
    <n v="4"/>
    <x v="2"/>
    <n v="3.43"/>
    <s v="High"/>
  </r>
  <r>
    <x v="7"/>
    <s v="Yuan Plus"/>
    <x v="2"/>
    <s v="Standard"/>
    <n v="42922.38"/>
    <n v="65.7"/>
    <n v="235"/>
    <n v="137.19999999999999"/>
    <n v="6.4"/>
    <n v="155"/>
    <n v="444"/>
    <n v="426"/>
    <s v="RWD"/>
    <n v="7"/>
    <s v="Van"/>
    <n v="64.8"/>
    <n v="1633"/>
    <n v="5"/>
    <n v="0"/>
    <x v="4"/>
    <x v="1"/>
    <n v="109861"/>
    <n v="3.5"/>
    <n v="5"/>
    <x v="1"/>
    <n v="3.58"/>
    <s v="High"/>
  </r>
  <r>
    <x v="4"/>
    <s v="Model 3"/>
    <x v="3"/>
    <s v="Standard"/>
    <n v="103423.57"/>
    <n v="67.2"/>
    <n v="226"/>
    <n v="261.89999999999998"/>
    <n v="6.82"/>
    <n v="149"/>
    <n v="760"/>
    <n v="704"/>
    <s v="AWD"/>
    <n v="7"/>
    <s v="Hatchback"/>
    <n v="21"/>
    <n v="1500"/>
    <n v="5"/>
    <n v="2"/>
    <x v="2"/>
    <x v="0"/>
    <n v="136780"/>
    <n v="3.7"/>
    <n v="4"/>
    <x v="1"/>
    <n v="3.36"/>
    <s v="High"/>
  </r>
  <r>
    <x v="0"/>
    <s v="ID.3"/>
    <x v="3"/>
    <s v="Long Range"/>
    <n v="46681.91"/>
    <n v="83.1"/>
    <n v="285"/>
    <n v="117.4"/>
    <n v="5"/>
    <n v="181"/>
    <n v="391"/>
    <n v="288"/>
    <s v="RWD"/>
    <n v="5"/>
    <s v="Coupe"/>
    <n v="16.8"/>
    <n v="1552"/>
    <n v="5"/>
    <n v="0"/>
    <x v="0"/>
    <x v="1"/>
    <n v="243592"/>
    <n v="3.4"/>
    <n v="5"/>
    <x v="1"/>
    <n v="3.43"/>
    <s v="High"/>
  </r>
  <r>
    <x v="4"/>
    <s v="Model Y"/>
    <x v="3"/>
    <s v="Base"/>
    <n v="38868.67"/>
    <n v="48"/>
    <n v="150"/>
    <n v="335.5"/>
    <n v="5.15"/>
    <n v="171"/>
    <n v="305"/>
    <n v="320"/>
    <s v="AWD"/>
    <n v="7"/>
    <s v="Coupe"/>
    <n v="33.1"/>
    <n v="1522"/>
    <n v="4"/>
    <n v="2"/>
    <x v="2"/>
    <x v="1"/>
    <n v="420151"/>
    <n v="3.6"/>
    <n v="4"/>
    <x v="1"/>
    <n v="3.13"/>
    <s v="High"/>
  </r>
  <r>
    <x v="2"/>
    <s v="Bolt EV"/>
    <x v="0"/>
    <s v="Performance"/>
    <n v="39441.22"/>
    <n v="70.400000000000006"/>
    <n v="238"/>
    <n v="153.9"/>
    <n v="3.84"/>
    <n v="192"/>
    <n v="376"/>
    <n v="363"/>
    <s v="RWD"/>
    <n v="5"/>
    <s v="Coupe"/>
    <n v="25"/>
    <n v="1534"/>
    <n v="3"/>
    <n v="0"/>
    <x v="2"/>
    <x v="1"/>
    <n v="9783"/>
    <n v="3.2"/>
    <n v="5"/>
    <x v="0"/>
    <n v="3.38"/>
    <s v="Medium"/>
  </r>
  <r>
    <x v="7"/>
    <s v="Seagull"/>
    <x v="3"/>
    <s v="Standard"/>
    <n v="53845.68"/>
    <n v="43.7"/>
    <n v="161"/>
    <n v="140"/>
    <n v="7.79"/>
    <n v="125"/>
    <n v="606"/>
    <n v="573"/>
    <s v="AWD"/>
    <n v="7"/>
    <s v="Hatchback"/>
    <n v="18.100000000000001"/>
    <n v="1522"/>
    <n v="4"/>
    <n v="1"/>
    <x v="4"/>
    <x v="1"/>
    <n v="196975"/>
    <n v="3.4"/>
    <n v="4"/>
    <x v="2"/>
    <n v="3.68"/>
    <s v="High"/>
  </r>
  <r>
    <x v="16"/>
    <s v="Air"/>
    <x v="2"/>
    <s v="Performance"/>
    <n v="156097.01999999999"/>
    <n v="97.8"/>
    <n v="351"/>
    <n v="293.5"/>
    <n v="3.51"/>
    <n v="196"/>
    <n v="687"/>
    <n v="578"/>
    <s v="RWD"/>
    <n v="5"/>
    <s v="SUV"/>
    <n v="54.5"/>
    <n v="2233"/>
    <n v="4"/>
    <n v="1"/>
    <x v="2"/>
    <x v="0"/>
    <n v="13230"/>
    <n v="3.5"/>
    <n v="5"/>
    <x v="0"/>
    <n v="3.59"/>
    <s v="Medium"/>
  </r>
  <r>
    <x v="10"/>
    <s v="i3"/>
    <x v="2"/>
    <s v="Performance"/>
    <n v="130176.15"/>
    <n v="89.9"/>
    <n v="326"/>
    <n v="244.3"/>
    <n v="2.77"/>
    <n v="200"/>
    <n v="1000"/>
    <n v="942"/>
    <s v="FWD"/>
    <n v="7"/>
    <s v="Van"/>
    <n v="75.599999999999994"/>
    <n v="1584"/>
    <n v="4"/>
    <n v="1"/>
    <x v="0"/>
    <x v="0"/>
    <n v="59392"/>
    <n v="3.8"/>
    <n v="5"/>
    <x v="0"/>
    <n v="3.63"/>
    <s v="High"/>
  </r>
  <r>
    <x v="5"/>
    <s v="EQG"/>
    <x v="3"/>
    <s v="Premium"/>
    <n v="153235.91"/>
    <n v="48.7"/>
    <n v="182"/>
    <n v="123"/>
    <n v="7.52"/>
    <n v="133"/>
    <n v="973"/>
    <n v="889"/>
    <s v="RWD"/>
    <n v="7"/>
    <s v="Sedan"/>
    <n v="21"/>
    <n v="1585"/>
    <n v="5"/>
    <n v="2"/>
    <x v="0"/>
    <x v="0"/>
    <n v="44720"/>
    <n v="3.6"/>
    <n v="7"/>
    <x v="2"/>
    <n v="3.74"/>
    <s v="High"/>
  </r>
  <r>
    <x v="4"/>
    <s v="Model X"/>
    <x v="3"/>
    <s v="Premium"/>
    <n v="60275.05"/>
    <n v="61.4"/>
    <n v="220"/>
    <n v="267.60000000000002"/>
    <n v="7.92"/>
    <n v="143"/>
    <n v="423"/>
    <n v="399"/>
    <s v="AWD"/>
    <n v="7"/>
    <s v="SUV"/>
    <n v="69.8"/>
    <n v="1918"/>
    <n v="4"/>
    <n v="3"/>
    <x v="2"/>
    <x v="1"/>
    <n v="226355"/>
    <n v="3.7"/>
    <n v="6"/>
    <x v="2"/>
    <n v="3.58"/>
    <s v="High"/>
  </r>
  <r>
    <x v="5"/>
    <s v="EQC"/>
    <x v="3"/>
    <s v="Premium"/>
    <n v="202973.51"/>
    <n v="74.099999999999994"/>
    <n v="259"/>
    <n v="51.6"/>
    <n v="6.56"/>
    <n v="152"/>
    <n v="1000"/>
    <n v="877"/>
    <s v="AWD"/>
    <n v="7"/>
    <s v="Sedan"/>
    <n v="16.899999999999999"/>
    <n v="1500"/>
    <n v="5"/>
    <n v="1"/>
    <x v="0"/>
    <x v="0"/>
    <n v="22987"/>
    <n v="3.8"/>
    <n v="8"/>
    <x v="1"/>
    <n v="3.5"/>
    <s v="High"/>
  </r>
  <r>
    <x v="13"/>
    <s v="R2"/>
    <x v="4"/>
    <s v="Performance"/>
    <n v="113614.29"/>
    <n v="108.1"/>
    <n v="387"/>
    <n v="198.9"/>
    <n v="2.76"/>
    <n v="200"/>
    <n v="1000"/>
    <n v="887"/>
    <s v="AWD"/>
    <n v="5"/>
    <s v="Hatchback"/>
    <n v="17.5"/>
    <n v="1500"/>
    <n v="5"/>
    <n v="2"/>
    <x v="2"/>
    <x v="0"/>
    <n v="4505"/>
    <n v="3.9"/>
    <n v="5"/>
    <x v="0"/>
    <n v="3.58"/>
    <s v="Low"/>
  </r>
  <r>
    <x v="8"/>
    <s v="Ioniq 6"/>
    <x v="2"/>
    <s v="Performance"/>
    <n v="77513.919999999998"/>
    <n v="107.4"/>
    <n v="368"/>
    <n v="161.1"/>
    <n v="4.37"/>
    <n v="187"/>
    <n v="989"/>
    <n v="891"/>
    <s v="AWD"/>
    <n v="5"/>
    <s v="Hatchback"/>
    <n v="28"/>
    <n v="1500"/>
    <n v="4"/>
    <n v="1"/>
    <x v="3"/>
    <x v="2"/>
    <n v="71992"/>
    <n v="4.0999999999999996"/>
    <n v="4"/>
    <x v="1"/>
    <n v="3.43"/>
    <s v="High"/>
  </r>
  <r>
    <x v="3"/>
    <s v="Sportage EV"/>
    <x v="0"/>
    <s v="Base"/>
    <n v="47384.85"/>
    <n v="55.2"/>
    <n v="193"/>
    <n v="52.3"/>
    <n v="5.67"/>
    <n v="168"/>
    <n v="503"/>
    <n v="431"/>
    <s v="FWD"/>
    <n v="7"/>
    <s v="SUV"/>
    <n v="64"/>
    <n v="2270"/>
    <n v="4"/>
    <n v="2"/>
    <x v="3"/>
    <x v="1"/>
    <n v="57685"/>
    <n v="3.6"/>
    <n v="4"/>
    <x v="1"/>
    <n v="3.5"/>
    <s v="High"/>
  </r>
  <r>
    <x v="9"/>
    <s v="Explorer EV"/>
    <x v="3"/>
    <s v="Long Range"/>
    <n v="69671.759999999995"/>
    <n v="106.4"/>
    <n v="373"/>
    <n v="81.599999999999994"/>
    <n v="5.59"/>
    <n v="161"/>
    <n v="749"/>
    <n v="594"/>
    <s v="AWD"/>
    <n v="5"/>
    <s v="Coupe"/>
    <n v="16.5"/>
    <n v="1592"/>
    <n v="5"/>
    <n v="0"/>
    <x v="2"/>
    <x v="2"/>
    <n v="49288"/>
    <n v="4"/>
    <n v="4"/>
    <x v="1"/>
    <n v="3.51"/>
    <s v="High"/>
  </r>
  <r>
    <x v="4"/>
    <s v="Cybertruck"/>
    <x v="2"/>
    <s v="Premium"/>
    <n v="110128.5"/>
    <n v="50.3"/>
    <n v="163"/>
    <n v="313.5"/>
    <n v="6.16"/>
    <n v="163"/>
    <n v="829"/>
    <n v="855"/>
    <s v="RWD"/>
    <n v="5"/>
    <s v="Truck"/>
    <n v="78.2"/>
    <n v="2528"/>
    <n v="5"/>
    <n v="2"/>
    <x v="2"/>
    <x v="0"/>
    <n v="212436"/>
    <n v="3.5"/>
    <n v="6"/>
    <x v="1"/>
    <n v="3.24"/>
    <s v="High"/>
  </r>
  <r>
    <x v="8"/>
    <s v="Ioniq 5"/>
    <x v="3"/>
    <s v="Standard"/>
    <n v="63434.69"/>
    <n v="78"/>
    <n v="279"/>
    <n v="86"/>
    <n v="7.89"/>
    <n v="124"/>
    <n v="770"/>
    <n v="690"/>
    <s v="RWD"/>
    <n v="7"/>
    <s v="Truck"/>
    <n v="67.400000000000006"/>
    <n v="2434"/>
    <n v="5"/>
    <n v="0"/>
    <x v="3"/>
    <x v="1"/>
    <n v="133046"/>
    <n v="3.7"/>
    <n v="4"/>
    <x v="2"/>
    <n v="3.58"/>
    <s v="High"/>
  </r>
  <r>
    <x v="0"/>
    <s v="ID. Aero"/>
    <x v="1"/>
    <s v="Long Range"/>
    <n v="60508.93"/>
    <n v="105.5"/>
    <n v="362"/>
    <n v="110.2"/>
    <n v="5.38"/>
    <n v="171"/>
    <n v="611"/>
    <n v="632"/>
    <s v="AWD"/>
    <n v="5"/>
    <s v="Coupe"/>
    <n v="26.4"/>
    <n v="1710"/>
    <n v="5"/>
    <n v="0"/>
    <x v="0"/>
    <x v="1"/>
    <n v="222081"/>
    <n v="3.8"/>
    <n v="5"/>
    <x v="1"/>
    <n v="3.43"/>
    <s v="High"/>
  </r>
  <r>
    <x v="4"/>
    <s v="Model X"/>
    <x v="0"/>
    <s v="Performance"/>
    <n v="111766.84"/>
    <n v="104.9"/>
    <n v="361"/>
    <n v="297.89999999999998"/>
    <n v="3.31"/>
    <n v="200"/>
    <n v="782"/>
    <n v="741"/>
    <s v="AWD"/>
    <n v="7"/>
    <s v="Hatchback"/>
    <n v="24.6"/>
    <n v="1774"/>
    <n v="4"/>
    <n v="2"/>
    <x v="2"/>
    <x v="0"/>
    <n v="176852"/>
    <n v="4.0999999999999996"/>
    <n v="5"/>
    <x v="0"/>
    <n v="3.44"/>
    <s v="High"/>
  </r>
  <r>
    <x v="0"/>
    <s v="ID.5"/>
    <x v="3"/>
    <s v="Long Range"/>
    <n v="101757.37"/>
    <n v="83.1"/>
    <n v="278"/>
    <n v="142.80000000000001"/>
    <n v="4.8"/>
    <n v="176"/>
    <n v="1000"/>
    <n v="893"/>
    <s v="FWD"/>
    <n v="5"/>
    <s v="Sedan"/>
    <n v="39.700000000000003"/>
    <n v="1868"/>
    <n v="4"/>
    <n v="0"/>
    <x v="0"/>
    <x v="0"/>
    <n v="269645"/>
    <n v="3.6"/>
    <n v="5"/>
    <x v="1"/>
    <n v="3.35"/>
    <s v="High"/>
  </r>
  <r>
    <x v="4"/>
    <s v="Model X"/>
    <x v="4"/>
    <s v="Premium"/>
    <n v="118010.78"/>
    <n v="64.7"/>
    <n v="229"/>
    <n v="346.2"/>
    <n v="6.89"/>
    <n v="141"/>
    <n v="897"/>
    <n v="801"/>
    <s v="AWD"/>
    <n v="5"/>
    <s v="Hatchback"/>
    <n v="23.8"/>
    <n v="1554"/>
    <n v="4"/>
    <n v="3"/>
    <x v="2"/>
    <x v="0"/>
    <n v="177339"/>
    <n v="3.7"/>
    <n v="5"/>
    <x v="1"/>
    <n v="3.54"/>
    <s v="High"/>
  </r>
  <r>
    <x v="4"/>
    <s v="Model X"/>
    <x v="2"/>
    <s v="Premium"/>
    <n v="80831.47"/>
    <n v="71.2"/>
    <n v="278"/>
    <n v="254"/>
    <n v="5.58"/>
    <n v="169"/>
    <n v="563"/>
    <n v="540"/>
    <s v="RWD"/>
    <n v="5"/>
    <s v="Hatchback"/>
    <n v="33.4"/>
    <n v="1546"/>
    <n v="4"/>
    <n v="3"/>
    <x v="2"/>
    <x v="2"/>
    <n v="202000"/>
    <n v="3.8"/>
    <n v="5"/>
    <x v="1"/>
    <n v="3.9"/>
    <s v="High"/>
  </r>
  <r>
    <x v="4"/>
    <s v="Model X"/>
    <x v="4"/>
    <s v="Long Range"/>
    <n v="118192.05"/>
    <n v="92.9"/>
    <n v="329"/>
    <n v="280.7"/>
    <n v="5.55"/>
    <n v="162"/>
    <n v="844"/>
    <n v="742"/>
    <s v="AWD"/>
    <n v="5"/>
    <s v="Coupe"/>
    <n v="18.7"/>
    <n v="1733"/>
    <n v="5"/>
    <n v="2"/>
    <x v="2"/>
    <x v="0"/>
    <n v="123098"/>
    <n v="4"/>
    <n v="5"/>
    <x v="1"/>
    <n v="3.54"/>
    <s v="High"/>
  </r>
  <r>
    <x v="1"/>
    <s v="bZ4X"/>
    <x v="3"/>
    <s v="Standard"/>
    <n v="48846.720000000001"/>
    <n v="75.400000000000006"/>
    <n v="274"/>
    <n v="136.80000000000001"/>
    <n v="6.03"/>
    <n v="159"/>
    <n v="399"/>
    <n v="387"/>
    <s v="AWD"/>
    <n v="7"/>
    <s v="Coupe"/>
    <n v="20.100000000000001"/>
    <n v="1542"/>
    <n v="5"/>
    <n v="0"/>
    <x v="1"/>
    <x v="1"/>
    <n v="21759"/>
    <n v="3.5"/>
    <n v="5"/>
    <x v="1"/>
    <n v="3.63"/>
    <s v="High"/>
  </r>
  <r>
    <x v="3"/>
    <s v="EV6"/>
    <x v="0"/>
    <s v="Premium"/>
    <n v="82403.5"/>
    <n v="78.599999999999994"/>
    <n v="288"/>
    <n v="121.4"/>
    <n v="6.15"/>
    <n v="151"/>
    <n v="1000"/>
    <n v="942"/>
    <s v="FWD"/>
    <n v="7"/>
    <s v="Van"/>
    <n v="76.2"/>
    <n v="1788"/>
    <n v="4"/>
    <n v="0"/>
    <x v="3"/>
    <x v="2"/>
    <n v="95064"/>
    <n v="3.7"/>
    <n v="4"/>
    <x v="1"/>
    <n v="3.66"/>
    <s v="High"/>
  </r>
  <r>
    <x v="6"/>
    <s v="Ronin"/>
    <x v="2"/>
    <s v="Base"/>
    <n v="85586.47"/>
    <n v="57.3"/>
    <n v="200"/>
    <n v="132.1"/>
    <n v="6.4"/>
    <n v="160"/>
    <n v="703"/>
    <n v="630"/>
    <s v="FWD"/>
    <n v="7"/>
    <s v="SUV"/>
    <n v="55.4"/>
    <n v="1923"/>
    <n v="4"/>
    <n v="1"/>
    <x v="2"/>
    <x v="2"/>
    <n v="25585"/>
    <n v="3.2"/>
    <n v="4"/>
    <x v="1"/>
    <n v="3.49"/>
    <s v="High"/>
  </r>
  <r>
    <x v="0"/>
    <s v="ID.3"/>
    <x v="2"/>
    <s v="Performance"/>
    <n v="53590.91"/>
    <n v="74.7"/>
    <n v="258"/>
    <n v="203.2"/>
    <n v="2.73"/>
    <n v="200"/>
    <n v="504"/>
    <n v="466"/>
    <s v="RWD"/>
    <n v="5"/>
    <s v="Coupe"/>
    <n v="39.9"/>
    <n v="1653"/>
    <n v="3"/>
    <n v="1"/>
    <x v="0"/>
    <x v="1"/>
    <n v="209815"/>
    <n v="3.1"/>
    <n v="5"/>
    <x v="0"/>
    <n v="3.45"/>
    <s v="High"/>
  </r>
  <r>
    <x v="7"/>
    <s v="Qin"/>
    <x v="1"/>
    <s v="Standard"/>
    <n v="70030.570000000007"/>
    <n v="41.8"/>
    <n v="150"/>
    <n v="149.69999999999999"/>
    <n v="7.64"/>
    <n v="133"/>
    <n v="743"/>
    <n v="623"/>
    <s v="FWD"/>
    <n v="7"/>
    <s v="Hatchback"/>
    <n v="18.7"/>
    <n v="1558"/>
    <n v="3"/>
    <n v="1"/>
    <x v="4"/>
    <x v="2"/>
    <n v="187796"/>
    <n v="3.5"/>
    <n v="4"/>
    <x v="2"/>
    <n v="3.59"/>
    <s v="High"/>
  </r>
  <r>
    <x v="8"/>
    <s v="i30"/>
    <x v="2"/>
    <s v="Standard"/>
    <n v="31256.77"/>
    <n v="68.099999999999994"/>
    <n v="218"/>
    <n v="145.69999999999999"/>
    <n v="7.74"/>
    <n v="136"/>
    <n v="233"/>
    <n v="200"/>
    <s v="RWD"/>
    <n v="5"/>
    <s v="Truck"/>
    <n v="72.8"/>
    <n v="2029"/>
    <n v="4"/>
    <n v="0"/>
    <x v="3"/>
    <x v="3"/>
    <n v="83425"/>
    <n v="3.4"/>
    <n v="4"/>
    <x v="2"/>
    <n v="3.2"/>
    <s v="High"/>
  </r>
  <r>
    <x v="0"/>
    <s v="ID. Aero"/>
    <x v="1"/>
    <s v="Performance"/>
    <n v="77144.75"/>
    <n v="109.8"/>
    <n v="367"/>
    <n v="177.7"/>
    <n v="2.66"/>
    <n v="200"/>
    <n v="840"/>
    <n v="732"/>
    <s v="RWD"/>
    <n v="7"/>
    <s v="Coupe"/>
    <n v="21.9"/>
    <n v="1500"/>
    <n v="5"/>
    <n v="1"/>
    <x v="0"/>
    <x v="2"/>
    <n v="280321"/>
    <n v="3.7"/>
    <n v="5"/>
    <x v="0"/>
    <n v="3.34"/>
    <s v="High"/>
  </r>
  <r>
    <x v="4"/>
    <s v="Model 3"/>
    <x v="3"/>
    <s v="Performance"/>
    <n v="133323.67000000001"/>
    <n v="89.5"/>
    <n v="316"/>
    <n v="268.10000000000002"/>
    <n v="2.52"/>
    <n v="200"/>
    <n v="963"/>
    <n v="873"/>
    <s v="AWD"/>
    <n v="7"/>
    <s v="Hatchback"/>
    <n v="22.8"/>
    <n v="1570"/>
    <n v="4"/>
    <n v="2"/>
    <x v="2"/>
    <x v="0"/>
    <n v="119703"/>
    <n v="4"/>
    <n v="6"/>
    <x v="0"/>
    <n v="3.53"/>
    <s v="High"/>
  </r>
  <r>
    <x v="10"/>
    <s v="i3"/>
    <x v="3"/>
    <s v="Standard"/>
    <n v="61490.61"/>
    <n v="40.299999999999997"/>
    <n v="150"/>
    <n v="81.5"/>
    <n v="7.4"/>
    <n v="144"/>
    <n v="292"/>
    <n v="228"/>
    <s v="RWD"/>
    <n v="7"/>
    <s v="Coupe"/>
    <n v="34.1"/>
    <n v="1500"/>
    <n v="4"/>
    <n v="1"/>
    <x v="0"/>
    <x v="1"/>
    <n v="75130"/>
    <n v="3.4"/>
    <n v="5"/>
    <x v="2"/>
    <n v="3.72"/>
    <s v="High"/>
  </r>
  <r>
    <x v="7"/>
    <s v="Leaf 50X"/>
    <x v="2"/>
    <s v="Performance"/>
    <n v="56202.17"/>
    <n v="81.3"/>
    <n v="298"/>
    <n v="197.2"/>
    <n v="4.3899999999999997"/>
    <n v="188"/>
    <n v="586"/>
    <n v="567"/>
    <s v="RWD"/>
    <n v="5"/>
    <s v="Coupe"/>
    <n v="31.1"/>
    <n v="1500"/>
    <n v="5"/>
    <n v="1"/>
    <x v="4"/>
    <x v="1"/>
    <n v="225829"/>
    <n v="3.9"/>
    <n v="4"/>
    <x v="1"/>
    <n v="3.67"/>
    <s v="High"/>
  </r>
  <r>
    <x v="10"/>
    <s v="i3"/>
    <x v="3"/>
    <s v="Premium"/>
    <n v="113220.74"/>
    <n v="50.2"/>
    <n v="167"/>
    <n v="94.6"/>
    <n v="6.84"/>
    <n v="146"/>
    <n v="997"/>
    <n v="904"/>
    <s v="RWD"/>
    <n v="5"/>
    <s v="Truck"/>
    <n v="55.7"/>
    <n v="2431"/>
    <n v="3"/>
    <n v="1"/>
    <x v="0"/>
    <x v="0"/>
    <n v="36980"/>
    <n v="3.2"/>
    <n v="6"/>
    <x v="1"/>
    <n v="3.33"/>
    <s v="High"/>
  </r>
  <r>
    <x v="10"/>
    <s v="i5"/>
    <x v="0"/>
    <s v="Premium"/>
    <n v="104739.58"/>
    <n v="54.5"/>
    <n v="189"/>
    <n v="91"/>
    <n v="6.88"/>
    <n v="151"/>
    <n v="884"/>
    <n v="789"/>
    <s v="RWD"/>
    <n v="5"/>
    <s v="Coupe"/>
    <n v="22.4"/>
    <n v="1510"/>
    <n v="5"/>
    <n v="1"/>
    <x v="0"/>
    <x v="0"/>
    <n v="58894"/>
    <n v="3.2"/>
    <n v="8"/>
    <x v="1"/>
    <n v="3.47"/>
    <s v="High"/>
  </r>
  <r>
    <x v="4"/>
    <s v="Model S"/>
    <x v="5"/>
    <s v="Performance"/>
    <n v="120237.63"/>
    <n v="106.4"/>
    <n v="374"/>
    <n v="218.4"/>
    <n v="3.84"/>
    <n v="197"/>
    <n v="876"/>
    <n v="755"/>
    <s v="AWD"/>
    <n v="5"/>
    <s v="Van"/>
    <n v="63.3"/>
    <n v="1725"/>
    <n v="3"/>
    <n v="2"/>
    <x v="2"/>
    <x v="0"/>
    <n v="139118"/>
    <n v="4.4000000000000004"/>
    <n v="5"/>
    <x v="0"/>
    <n v="3.52"/>
    <s v="High"/>
  </r>
  <r>
    <x v="4"/>
    <s v="Model X"/>
    <x v="3"/>
    <s v="Standard"/>
    <n v="86049.94"/>
    <n v="67.900000000000006"/>
    <n v="210"/>
    <n v="237.4"/>
    <n v="6.77"/>
    <n v="146"/>
    <n v="542"/>
    <n v="467"/>
    <s v="FWD"/>
    <n v="5"/>
    <s v="Hatchback"/>
    <n v="36"/>
    <n v="1653"/>
    <n v="5"/>
    <n v="2"/>
    <x v="2"/>
    <x v="2"/>
    <n v="244820"/>
    <n v="3.6"/>
    <n v="6"/>
    <x v="1"/>
    <n v="3.09"/>
    <s v="High"/>
  </r>
  <r>
    <x v="9"/>
    <s v="F-150 Lightning"/>
    <x v="2"/>
    <s v="Performance"/>
    <n v="113010.15"/>
    <n v="74.7"/>
    <n v="251"/>
    <n v="188"/>
    <n v="4.25"/>
    <n v="189"/>
    <n v="1000"/>
    <n v="902"/>
    <s v="FWD"/>
    <n v="2"/>
    <s v="Truck"/>
    <n v="79.2"/>
    <n v="2490"/>
    <n v="5"/>
    <n v="0"/>
    <x v="2"/>
    <x v="0"/>
    <n v="26657"/>
    <n v="3.6"/>
    <n v="4"/>
    <x v="1"/>
    <n v="3.36"/>
    <s v="High"/>
  </r>
  <r>
    <x v="8"/>
    <s v="Ioniq 5"/>
    <x v="1"/>
    <s v="Performance"/>
    <n v="87757.22"/>
    <n v="77.5"/>
    <n v="262"/>
    <n v="248.7"/>
    <n v="4.12"/>
    <n v="194"/>
    <n v="1000"/>
    <n v="920"/>
    <s v="RWD"/>
    <n v="5"/>
    <s v="Truck"/>
    <n v="50.7"/>
    <n v="2567"/>
    <n v="5"/>
    <n v="1"/>
    <x v="3"/>
    <x v="2"/>
    <n v="73010"/>
    <n v="3.4"/>
    <n v="5"/>
    <x v="1"/>
    <n v="3.38"/>
    <s v="High"/>
  </r>
  <r>
    <x v="4"/>
    <s v="Model X"/>
    <x v="1"/>
    <s v="Performance"/>
    <n v="77379.740000000005"/>
    <n v="110"/>
    <n v="373"/>
    <n v="304.7"/>
    <n v="3.07"/>
    <n v="200"/>
    <n v="581"/>
    <n v="500"/>
    <s v="AWD"/>
    <n v="5"/>
    <s v="Sedan"/>
    <n v="20.8"/>
    <n v="1602"/>
    <n v="3"/>
    <n v="2"/>
    <x v="2"/>
    <x v="2"/>
    <n v="238571"/>
    <n v="4"/>
    <n v="4"/>
    <x v="0"/>
    <n v="3.39"/>
    <s v="High"/>
  </r>
  <r>
    <x v="15"/>
    <s v="C40 Recharge"/>
    <x v="3"/>
    <s v="Base"/>
    <n v="87551.42"/>
    <n v="42.1"/>
    <n v="150"/>
    <n v="86.1"/>
    <n v="5.87"/>
    <n v="156"/>
    <n v="745"/>
    <n v="643"/>
    <s v="AWD"/>
    <n v="5"/>
    <s v="Truck"/>
    <n v="58.8"/>
    <n v="2197"/>
    <n v="4"/>
    <n v="1"/>
    <x v="5"/>
    <x v="2"/>
    <n v="28712"/>
    <n v="3"/>
    <n v="3"/>
    <x v="1"/>
    <n v="3.56"/>
    <s v="High"/>
  </r>
  <r>
    <x v="4"/>
    <s v="Cybertruck"/>
    <x v="0"/>
    <s v="Long Range"/>
    <n v="40789.910000000003"/>
    <n v="106.8"/>
    <n v="379"/>
    <n v="243.7"/>
    <n v="4.6500000000000004"/>
    <n v="177"/>
    <n v="282"/>
    <n v="226"/>
    <s v="RWD"/>
    <n v="7"/>
    <s v="Truck"/>
    <n v="59.9"/>
    <n v="2247"/>
    <n v="5"/>
    <n v="2"/>
    <x v="2"/>
    <x v="1"/>
    <n v="187262"/>
    <n v="4.4000000000000004"/>
    <n v="6"/>
    <x v="1"/>
    <n v="3.55"/>
    <s v="High"/>
  </r>
  <r>
    <x v="2"/>
    <s v="Equinox EV"/>
    <x v="1"/>
    <s v="Base"/>
    <n v="32829.19"/>
    <n v="77.7"/>
    <n v="295"/>
    <n v="108.1"/>
    <n v="7.17"/>
    <n v="139"/>
    <n v="247"/>
    <n v="200"/>
    <s v="AWD"/>
    <n v="7"/>
    <s v="SUV"/>
    <n v="67.400000000000006"/>
    <n v="1866"/>
    <n v="5"/>
    <n v="0"/>
    <x v="2"/>
    <x v="3"/>
    <n v="26546"/>
    <n v="3.6"/>
    <n v="4"/>
    <x v="2"/>
    <n v="3.8"/>
    <s v="High"/>
  </r>
  <r>
    <x v="19"/>
    <n v="4"/>
    <x v="0"/>
    <s v="Performance"/>
    <n v="90903.84"/>
    <n v="95"/>
    <n v="337"/>
    <n v="194.7"/>
    <n v="3.86"/>
    <n v="185"/>
    <n v="621"/>
    <n v="569"/>
    <s v="AWD"/>
    <n v="7"/>
    <s v="Coupe"/>
    <n v="28.5"/>
    <n v="1500"/>
    <n v="5"/>
    <n v="2"/>
    <x v="5"/>
    <x v="2"/>
    <n v="18672"/>
    <n v="3.6"/>
    <n v="3"/>
    <x v="0"/>
    <n v="3.55"/>
    <s v="Medium"/>
  </r>
  <r>
    <x v="7"/>
    <s v="Max"/>
    <x v="0"/>
    <s v="Long Range"/>
    <n v="98961.38"/>
    <n v="90.2"/>
    <n v="294"/>
    <n v="97.5"/>
    <n v="5.51"/>
    <n v="171"/>
    <n v="1000"/>
    <n v="899"/>
    <s v="RWD"/>
    <n v="5"/>
    <s v="Van"/>
    <n v="64.7"/>
    <n v="1594"/>
    <n v="4"/>
    <n v="2"/>
    <x v="4"/>
    <x v="2"/>
    <n v="230275"/>
    <n v="3.5"/>
    <n v="5"/>
    <x v="1"/>
    <n v="3.26"/>
    <s v="High"/>
  </r>
  <r>
    <x v="4"/>
    <s v="Model X"/>
    <x v="3"/>
    <s v="Standard"/>
    <n v="108924.8"/>
    <n v="75"/>
    <n v="251"/>
    <n v="317.10000000000002"/>
    <n v="5.27"/>
    <n v="171"/>
    <n v="776"/>
    <n v="726"/>
    <s v="FWD"/>
    <n v="7"/>
    <s v="Hatchback"/>
    <n v="33.5"/>
    <n v="1665"/>
    <n v="5"/>
    <n v="2"/>
    <x v="2"/>
    <x v="0"/>
    <n v="104109"/>
    <n v="3.7"/>
    <n v="6"/>
    <x v="1"/>
    <n v="3.35"/>
    <s v="High"/>
  </r>
  <r>
    <x v="4"/>
    <s v="Model S"/>
    <x v="4"/>
    <s v="Performance"/>
    <n v="76847.7"/>
    <n v="116.8"/>
    <n v="418"/>
    <n v="242.7"/>
    <n v="3.9"/>
    <n v="197"/>
    <n v="454"/>
    <n v="476"/>
    <s v="RWD"/>
    <n v="7"/>
    <s v="Coupe"/>
    <n v="20"/>
    <n v="1660"/>
    <n v="5"/>
    <n v="3"/>
    <x v="2"/>
    <x v="2"/>
    <n v="229674"/>
    <n v="4"/>
    <n v="5"/>
    <x v="0"/>
    <n v="3.58"/>
    <s v="High"/>
  </r>
  <r>
    <x v="7"/>
    <s v="Qin"/>
    <x v="0"/>
    <s v="Long Range"/>
    <n v="52355.75"/>
    <n v="87.1"/>
    <n v="286"/>
    <n v="147.80000000000001"/>
    <n v="4.29"/>
    <n v="184"/>
    <n v="510"/>
    <n v="435"/>
    <s v="FWD"/>
    <n v="5"/>
    <s v="Sedan"/>
    <n v="31.3"/>
    <n v="1582"/>
    <n v="5"/>
    <n v="1"/>
    <x v="4"/>
    <x v="1"/>
    <n v="146928"/>
    <n v="3.3"/>
    <n v="4"/>
    <x v="1"/>
    <n v="3.28"/>
    <s v="High"/>
  </r>
  <r>
    <x v="4"/>
    <s v="Model 3"/>
    <x v="3"/>
    <s v="Base"/>
    <n v="91015.05"/>
    <n v="61.8"/>
    <n v="227"/>
    <n v="258.39999999999998"/>
    <n v="7.27"/>
    <n v="141"/>
    <n v="616"/>
    <n v="518"/>
    <s v="RWD"/>
    <n v="7"/>
    <s v="SUV"/>
    <n v="63.7"/>
    <n v="1936"/>
    <n v="5"/>
    <n v="3"/>
    <x v="2"/>
    <x v="2"/>
    <n v="229357"/>
    <n v="3.6"/>
    <n v="5"/>
    <x v="2"/>
    <n v="3.67"/>
    <s v="High"/>
  </r>
  <r>
    <x v="2"/>
    <s v="Bolt EUV"/>
    <x v="3"/>
    <s v="Performance"/>
    <n v="44784.34"/>
    <n v="93.2"/>
    <n v="321"/>
    <n v="217"/>
    <n v="4.45"/>
    <n v="182"/>
    <n v="436"/>
    <n v="366"/>
    <s v="AWD"/>
    <n v="5"/>
    <s v="Hatchback"/>
    <n v="37.799999999999997"/>
    <n v="1677"/>
    <n v="5"/>
    <n v="2"/>
    <x v="2"/>
    <x v="1"/>
    <n v="7434"/>
    <n v="3.7"/>
    <n v="4"/>
    <x v="1"/>
    <n v="3.44"/>
    <s v="Medium"/>
  </r>
  <r>
    <x v="4"/>
    <s v="Model 3"/>
    <x v="3"/>
    <s v="Long Range"/>
    <n v="84994.49"/>
    <n v="96.6"/>
    <n v="315"/>
    <n v="253"/>
    <n v="5.61"/>
    <n v="161"/>
    <n v="617"/>
    <n v="558"/>
    <s v="RWD"/>
    <n v="5"/>
    <s v="Sedan"/>
    <n v="15.4"/>
    <n v="1655"/>
    <n v="4"/>
    <n v="2"/>
    <x v="2"/>
    <x v="2"/>
    <n v="246722"/>
    <n v="4"/>
    <n v="5"/>
    <x v="1"/>
    <n v="3.26"/>
    <s v="High"/>
  </r>
  <r>
    <x v="8"/>
    <s v="i30"/>
    <x v="5"/>
    <s v="Premium"/>
    <n v="95007.35"/>
    <n v="71.5"/>
    <n v="249"/>
    <n v="140.80000000000001"/>
    <n v="6.71"/>
    <n v="152"/>
    <n v="1000"/>
    <n v="893"/>
    <s v="FWD"/>
    <n v="5"/>
    <s v="Hatchback"/>
    <n v="18.3"/>
    <n v="1791"/>
    <n v="3"/>
    <n v="2"/>
    <x v="3"/>
    <x v="2"/>
    <n v="111030"/>
    <n v="3.2"/>
    <n v="3"/>
    <x v="1"/>
    <n v="3.48"/>
    <s v="High"/>
  </r>
  <r>
    <x v="18"/>
    <s v="SU7"/>
    <x v="2"/>
    <s v="Premium"/>
    <n v="89310.64"/>
    <n v="64.2"/>
    <n v="208"/>
    <n v="70.5"/>
    <n v="5.61"/>
    <n v="173"/>
    <n v="1000"/>
    <n v="910"/>
    <s v="AWD"/>
    <n v="5"/>
    <s v="SUV"/>
    <n v="56.5"/>
    <n v="1829"/>
    <n v="4"/>
    <n v="0"/>
    <x v="4"/>
    <x v="2"/>
    <n v="29176"/>
    <n v="3.3"/>
    <n v="3"/>
    <x v="1"/>
    <n v="3.24"/>
    <s v="High"/>
  </r>
  <r>
    <x v="9"/>
    <s v="Mustang Mach-E"/>
    <x v="2"/>
    <s v="Standard"/>
    <n v="67107.539999999994"/>
    <n v="81.2"/>
    <n v="286"/>
    <n v="99.5"/>
    <n v="7.48"/>
    <n v="137"/>
    <n v="774"/>
    <n v="714"/>
    <s v="RWD"/>
    <n v="5"/>
    <s v="Hatchback"/>
    <n v="28.6"/>
    <n v="1516"/>
    <n v="5"/>
    <n v="1"/>
    <x v="2"/>
    <x v="2"/>
    <n v="58727"/>
    <n v="3.6"/>
    <n v="3"/>
    <x v="2"/>
    <n v="3.52"/>
    <s v="High"/>
  </r>
  <r>
    <x v="3"/>
    <s v="Niro EV"/>
    <x v="2"/>
    <s v="Base"/>
    <n v="56356.86"/>
    <n v="45"/>
    <n v="154"/>
    <n v="123.3"/>
    <n v="5.88"/>
    <n v="163"/>
    <n v="609"/>
    <n v="531"/>
    <s v="FWD"/>
    <n v="5"/>
    <s v="Hatchback"/>
    <n v="15.3"/>
    <n v="1503"/>
    <n v="5"/>
    <n v="0"/>
    <x v="3"/>
    <x v="1"/>
    <n v="107160"/>
    <n v="3.3"/>
    <n v="3"/>
    <x v="1"/>
    <n v="3.42"/>
    <s v="High"/>
  </r>
  <r>
    <x v="7"/>
    <s v="Leaf 50X"/>
    <x v="2"/>
    <s v="Standard"/>
    <n v="21286.38"/>
    <n v="69.599999999999994"/>
    <n v="233"/>
    <n v="54.5"/>
    <n v="5.47"/>
    <n v="168"/>
    <n v="187"/>
    <n v="200"/>
    <s v="RWD"/>
    <n v="7"/>
    <s v="Sedan"/>
    <n v="17.7"/>
    <n v="1613"/>
    <n v="5"/>
    <n v="1"/>
    <x v="4"/>
    <x v="3"/>
    <n v="116507"/>
    <n v="3.2"/>
    <n v="4"/>
    <x v="1"/>
    <n v="3.35"/>
    <s v="High"/>
  </r>
  <r>
    <x v="10"/>
    <s v="i4"/>
    <x v="3"/>
    <s v="Long Range"/>
    <n v="88308.2"/>
    <n v="95.5"/>
    <n v="308"/>
    <n v="89.7"/>
    <n v="5.09"/>
    <n v="174"/>
    <n v="690"/>
    <n v="695"/>
    <s v="RWD"/>
    <n v="5"/>
    <s v="Hatchback"/>
    <n v="15.7"/>
    <n v="1664"/>
    <n v="4"/>
    <n v="2"/>
    <x v="0"/>
    <x v="2"/>
    <n v="31503"/>
    <n v="3.5"/>
    <n v="6"/>
    <x v="1"/>
    <n v="3.23"/>
    <s v="High"/>
  </r>
  <r>
    <x v="8"/>
    <s v="Ioniq"/>
    <x v="2"/>
    <s v="Performance"/>
    <n v="103986.41"/>
    <n v="110.9"/>
    <n v="397"/>
    <n v="221.4"/>
    <n v="4.41"/>
    <n v="185"/>
    <n v="1000"/>
    <n v="904"/>
    <s v="AWD"/>
    <n v="7"/>
    <s v="Sedan"/>
    <n v="34.5"/>
    <n v="1595"/>
    <n v="5"/>
    <n v="1"/>
    <x v="3"/>
    <x v="0"/>
    <n v="106892"/>
    <n v="4"/>
    <n v="5"/>
    <x v="1"/>
    <n v="3.58"/>
    <s v="High"/>
  </r>
  <r>
    <x v="0"/>
    <s v="ID.4"/>
    <x v="6"/>
    <s v="Base"/>
    <n v="27139.23"/>
    <n v="78.900000000000006"/>
    <n v="261"/>
    <n v="95"/>
    <n v="7.55"/>
    <n v="130"/>
    <n v="150"/>
    <n v="200"/>
    <s v="FWD"/>
    <n v="5"/>
    <s v="Hatchback"/>
    <n v="39.4"/>
    <n v="1500"/>
    <n v="4"/>
    <n v="2"/>
    <x v="0"/>
    <x v="3"/>
    <n v="271891"/>
    <n v="3.6"/>
    <n v="4"/>
    <x v="2"/>
    <n v="3.31"/>
    <s v="High"/>
  </r>
  <r>
    <x v="4"/>
    <s v="Model Y"/>
    <x v="5"/>
    <s v="Standard"/>
    <n v="53435.31"/>
    <n v="80.3"/>
    <n v="259"/>
    <n v="339.8"/>
    <n v="5.59"/>
    <n v="162"/>
    <n v="390"/>
    <n v="389"/>
    <s v="RWD"/>
    <n v="7"/>
    <s v="Hatchback"/>
    <n v="33"/>
    <n v="1818"/>
    <n v="4"/>
    <n v="2"/>
    <x v="2"/>
    <x v="1"/>
    <n v="467122"/>
    <n v="3.9"/>
    <n v="4"/>
    <x v="1"/>
    <n v="3.23"/>
    <s v="High"/>
  </r>
  <r>
    <x v="11"/>
    <s v="e-tron GT"/>
    <x v="0"/>
    <s v="Premium"/>
    <n v="88280.78"/>
    <n v="42.7"/>
    <n v="156"/>
    <n v="52.7"/>
    <n v="5.05"/>
    <n v="173"/>
    <n v="560"/>
    <n v="546"/>
    <s v="AWD"/>
    <n v="5"/>
    <s v="Coupe"/>
    <n v="32.1"/>
    <n v="1737"/>
    <n v="4"/>
    <n v="1"/>
    <x v="0"/>
    <x v="2"/>
    <n v="66857"/>
    <n v="3.2"/>
    <n v="5"/>
    <x v="1"/>
    <n v="3.65"/>
    <s v="High"/>
  </r>
  <r>
    <x v="0"/>
    <s v="ID.5"/>
    <x v="3"/>
    <s v="Base"/>
    <n v="76426.720000000001"/>
    <n v="83.1"/>
    <n v="339"/>
    <n v="122.5"/>
    <n v="6.37"/>
    <n v="155"/>
    <n v="843"/>
    <n v="736"/>
    <s v="RWD"/>
    <n v="5"/>
    <s v="Van"/>
    <n v="78"/>
    <n v="1585"/>
    <n v="4"/>
    <n v="2"/>
    <x v="0"/>
    <x v="2"/>
    <n v="248734"/>
    <n v="3.7"/>
    <n v="4"/>
    <x v="1"/>
    <n v="4.08"/>
    <s v="High"/>
  </r>
  <r>
    <x v="4"/>
    <s v="Model S"/>
    <x v="0"/>
    <s v="Base"/>
    <n v="45116.56"/>
    <n v="45.3"/>
    <n v="169"/>
    <n v="236.3"/>
    <n v="6.1"/>
    <n v="158"/>
    <n v="276"/>
    <n v="281"/>
    <s v="FWD"/>
    <n v="5"/>
    <s v="Sedan"/>
    <n v="20.6"/>
    <n v="1619"/>
    <n v="3"/>
    <n v="3"/>
    <x v="2"/>
    <x v="1"/>
    <n v="116884"/>
    <n v="3.6"/>
    <n v="5"/>
    <x v="1"/>
    <n v="3.73"/>
    <s v="High"/>
  </r>
  <r>
    <x v="0"/>
    <s v="ID.5"/>
    <x v="2"/>
    <s v="Performance"/>
    <n v="68348.69"/>
    <n v="94"/>
    <n v="323"/>
    <n v="233.3"/>
    <n v="2.58"/>
    <n v="200"/>
    <n v="734"/>
    <n v="637"/>
    <s v="RWD"/>
    <n v="7"/>
    <s v="Hatchback"/>
    <n v="19.899999999999999"/>
    <n v="1694"/>
    <n v="4"/>
    <n v="2"/>
    <x v="0"/>
    <x v="2"/>
    <n v="238867"/>
    <n v="3.7"/>
    <n v="5"/>
    <x v="0"/>
    <n v="3.44"/>
    <s v="High"/>
  </r>
  <r>
    <x v="0"/>
    <s v="ID.4"/>
    <x v="0"/>
    <s v="Long Range"/>
    <n v="49537.91"/>
    <n v="82.9"/>
    <n v="278"/>
    <n v="129.1"/>
    <n v="4.66"/>
    <n v="191"/>
    <n v="439"/>
    <n v="385"/>
    <s v="RWD"/>
    <n v="7"/>
    <s v="Coupe"/>
    <n v="31.7"/>
    <n v="1650"/>
    <n v="5"/>
    <n v="1"/>
    <x v="0"/>
    <x v="1"/>
    <n v="250021"/>
    <n v="3.6"/>
    <n v="3"/>
    <x v="1"/>
    <n v="3.35"/>
    <s v="High"/>
  </r>
  <r>
    <x v="5"/>
    <s v="EQG"/>
    <x v="3"/>
    <s v="Long Range"/>
    <n v="111628.51"/>
    <n v="84.7"/>
    <n v="274"/>
    <n v="137.80000000000001"/>
    <n v="5.58"/>
    <n v="166"/>
    <n v="601"/>
    <n v="537"/>
    <s v="AWD"/>
    <n v="5"/>
    <s v="SUV"/>
    <n v="47.3"/>
    <n v="1944"/>
    <n v="4"/>
    <n v="1"/>
    <x v="0"/>
    <x v="0"/>
    <n v="76984"/>
    <n v="3.7"/>
    <n v="6"/>
    <x v="1"/>
    <n v="3.23"/>
    <s v="High"/>
  </r>
  <r>
    <x v="2"/>
    <s v="Bolt EUV"/>
    <x v="5"/>
    <s v="Long Range"/>
    <n v="54836.04"/>
    <n v="109.7"/>
    <n v="385"/>
    <n v="129.69999999999999"/>
    <n v="4"/>
    <n v="183"/>
    <n v="636"/>
    <n v="600"/>
    <s v="AWD"/>
    <n v="5"/>
    <s v="Hatchback"/>
    <n v="16.7"/>
    <n v="1600"/>
    <n v="5"/>
    <n v="0"/>
    <x v="2"/>
    <x v="1"/>
    <n v="17331"/>
    <n v="3.8"/>
    <n v="5"/>
    <x v="1"/>
    <n v="3.51"/>
    <s v="Medium"/>
  </r>
  <r>
    <x v="9"/>
    <s v="F-150 Lightning"/>
    <x v="3"/>
    <s v="Base"/>
    <n v="34802.06"/>
    <n v="47.6"/>
    <n v="150"/>
    <n v="102.2"/>
    <n v="6.52"/>
    <n v="146"/>
    <n v="265"/>
    <n v="208"/>
    <s v="AWD"/>
    <n v="4"/>
    <s v="Truck"/>
    <n v="73.900000000000006"/>
    <n v="2056"/>
    <n v="4"/>
    <n v="1"/>
    <x v="2"/>
    <x v="3"/>
    <n v="51835"/>
    <n v="3.1"/>
    <n v="4"/>
    <x v="1"/>
    <n v="3.15"/>
    <s v="High"/>
  </r>
  <r>
    <x v="4"/>
    <s v="Model Y"/>
    <x v="1"/>
    <s v="Standard"/>
    <n v="93506.44"/>
    <n v="60.2"/>
    <n v="206"/>
    <n v="272.3"/>
    <n v="7.47"/>
    <n v="137"/>
    <n v="695"/>
    <n v="611"/>
    <s v="RWD"/>
    <n v="5"/>
    <s v="Van"/>
    <n v="72"/>
    <n v="1646"/>
    <n v="5"/>
    <n v="3"/>
    <x v="2"/>
    <x v="2"/>
    <n v="464918"/>
    <n v="3.5"/>
    <n v="6"/>
    <x v="2"/>
    <n v="3.42"/>
    <s v="High"/>
  </r>
  <r>
    <x v="0"/>
    <s v="ID.4"/>
    <x v="2"/>
    <s v="Standard"/>
    <n v="79224.44"/>
    <n v="48.4"/>
    <n v="164"/>
    <n v="79.599999999999994"/>
    <n v="6.88"/>
    <n v="136"/>
    <n v="891"/>
    <n v="780"/>
    <s v="FWD"/>
    <n v="5"/>
    <s v="SUV"/>
    <n v="41.2"/>
    <n v="2091"/>
    <n v="5"/>
    <n v="2"/>
    <x v="0"/>
    <x v="2"/>
    <n v="219453"/>
    <n v="3.5"/>
    <n v="4"/>
    <x v="1"/>
    <n v="3.39"/>
    <s v="High"/>
  </r>
  <r>
    <x v="8"/>
    <s v="Kona Electric"/>
    <x v="3"/>
    <s v="Long Range"/>
    <n v="43459.69"/>
    <n v="83.7"/>
    <n v="302"/>
    <n v="88.9"/>
    <n v="4.32"/>
    <n v="192"/>
    <n v="448"/>
    <n v="378"/>
    <s v="FWD"/>
    <n v="5"/>
    <s v="Truck"/>
    <n v="78.7"/>
    <n v="2699"/>
    <n v="5"/>
    <n v="2"/>
    <x v="3"/>
    <x v="1"/>
    <n v="114002"/>
    <n v="3.6"/>
    <n v="3"/>
    <x v="1"/>
    <n v="3.61"/>
    <s v="High"/>
  </r>
  <r>
    <x v="4"/>
    <s v="Model X"/>
    <x v="4"/>
    <s v="Premium"/>
    <n v="100894.61"/>
    <n v="84.8"/>
    <n v="304"/>
    <n v="288.89999999999998"/>
    <n v="6.04"/>
    <n v="161"/>
    <n v="727"/>
    <n v="655"/>
    <s v="RWD"/>
    <n v="7"/>
    <s v="SUV"/>
    <n v="62.5"/>
    <n v="1686"/>
    <n v="5"/>
    <n v="2"/>
    <x v="2"/>
    <x v="0"/>
    <n v="201220"/>
    <n v="3.9"/>
    <n v="5"/>
    <x v="1"/>
    <n v="3.58"/>
    <s v="High"/>
  </r>
  <r>
    <x v="7"/>
    <s v="Dolphin"/>
    <x v="5"/>
    <s v="Performance"/>
    <n v="31398.12"/>
    <n v="100.6"/>
    <n v="352"/>
    <n v="226.6"/>
    <n v="3.63"/>
    <n v="200"/>
    <n v="296"/>
    <n v="289"/>
    <s v="AWD"/>
    <n v="5"/>
    <s v="Hatchback"/>
    <n v="37.5"/>
    <n v="1500"/>
    <n v="5"/>
    <n v="1"/>
    <x v="4"/>
    <x v="3"/>
    <n v="240918"/>
    <n v="3.6"/>
    <n v="3"/>
    <x v="0"/>
    <n v="3.5"/>
    <s v="High"/>
  </r>
  <r>
    <x v="2"/>
    <s v="Blazer EV"/>
    <x v="2"/>
    <s v="Long Range"/>
    <n v="85774.399999999994"/>
    <n v="106"/>
    <n v="388"/>
    <n v="78.3"/>
    <n v="4.51"/>
    <n v="181"/>
    <n v="1000"/>
    <n v="904"/>
    <s v="AWD"/>
    <n v="5"/>
    <s v="Van"/>
    <n v="78.7"/>
    <n v="1666"/>
    <n v="4"/>
    <n v="0"/>
    <x v="2"/>
    <x v="2"/>
    <n v="22091"/>
    <n v="3.7"/>
    <n v="4"/>
    <x v="1"/>
    <n v="3.66"/>
    <s v="High"/>
  </r>
  <r>
    <x v="4"/>
    <s v="Model 3"/>
    <x v="0"/>
    <s v="Performance"/>
    <n v="53096.09"/>
    <n v="113.8"/>
    <n v="404"/>
    <n v="309.60000000000002"/>
    <n v="3.8"/>
    <n v="200"/>
    <n v="298"/>
    <n v="243"/>
    <s v="RWD"/>
    <n v="7"/>
    <s v="Van"/>
    <n v="62.1"/>
    <n v="1503"/>
    <n v="4"/>
    <n v="2"/>
    <x v="2"/>
    <x v="1"/>
    <n v="123687"/>
    <n v="4.3"/>
    <n v="5"/>
    <x v="0"/>
    <n v="3.55"/>
    <s v="High"/>
  </r>
  <r>
    <x v="8"/>
    <s v="Ioniq 5"/>
    <x v="0"/>
    <s v="Base"/>
    <n v="40063.519999999997"/>
    <n v="83"/>
    <n v="298"/>
    <n v="123"/>
    <n v="7.7"/>
    <n v="134"/>
    <n v="373"/>
    <n v="388"/>
    <s v="FWD"/>
    <n v="5"/>
    <s v="Van"/>
    <n v="60.2"/>
    <n v="1526"/>
    <n v="5"/>
    <n v="0"/>
    <x v="3"/>
    <x v="1"/>
    <n v="95016"/>
    <n v="3.6"/>
    <n v="4"/>
    <x v="2"/>
    <n v="3.59"/>
    <s v="High"/>
  </r>
  <r>
    <x v="7"/>
    <s v="Seagull"/>
    <x v="0"/>
    <s v="Base"/>
    <n v="72565.72"/>
    <n v="43.8"/>
    <n v="153"/>
    <n v="127.4"/>
    <n v="5.45"/>
    <n v="175"/>
    <n v="799"/>
    <n v="748"/>
    <s v="RWD"/>
    <n v="7"/>
    <s v="Hatchback"/>
    <n v="22.8"/>
    <n v="1591"/>
    <n v="5"/>
    <n v="1"/>
    <x v="4"/>
    <x v="2"/>
    <n v="193019"/>
    <n v="3.2"/>
    <n v="4"/>
    <x v="1"/>
    <n v="3.49"/>
    <s v="High"/>
  </r>
  <r>
    <x v="4"/>
    <s v="Model S"/>
    <x v="0"/>
    <s v="Premium"/>
    <n v="90489.19"/>
    <n v="66.8"/>
    <n v="227"/>
    <n v="270.60000000000002"/>
    <n v="7.25"/>
    <n v="144"/>
    <n v="650"/>
    <n v="559"/>
    <s v="AWD"/>
    <n v="5"/>
    <s v="Van"/>
    <n v="64.7"/>
    <n v="1535"/>
    <n v="4"/>
    <n v="2"/>
    <x v="2"/>
    <x v="2"/>
    <n v="231411"/>
    <n v="3.8"/>
    <n v="4"/>
    <x v="2"/>
    <n v="3.4"/>
    <s v="High"/>
  </r>
  <r>
    <x v="7"/>
    <s v="Yuan Plus"/>
    <x v="5"/>
    <s v="Premium"/>
    <n v="58741.09"/>
    <n v="43.2"/>
    <n v="166"/>
    <n v="146.80000000000001"/>
    <n v="5.12"/>
    <n v="171"/>
    <n v="609"/>
    <n v="553"/>
    <s v="RWD"/>
    <n v="5"/>
    <s v="Sedan"/>
    <n v="27.7"/>
    <n v="1654"/>
    <n v="5"/>
    <n v="0"/>
    <x v="4"/>
    <x v="1"/>
    <n v="193352"/>
    <n v="3.2"/>
    <n v="4"/>
    <x v="1"/>
    <n v="3.84"/>
    <s v="High"/>
  </r>
  <r>
    <x v="16"/>
    <s v="Gravity"/>
    <x v="3"/>
    <s v="Performance"/>
    <n v="166388.92000000001"/>
    <n v="75.900000000000006"/>
    <n v="281"/>
    <n v="207.6"/>
    <n v="3.27"/>
    <n v="195"/>
    <n v="740"/>
    <n v="654"/>
    <s v="AWD"/>
    <n v="5"/>
    <s v="Van"/>
    <n v="64.8"/>
    <n v="1555"/>
    <n v="5"/>
    <n v="0"/>
    <x v="2"/>
    <x v="0"/>
    <n v="27265"/>
    <n v="3.3"/>
    <n v="5"/>
    <x v="0"/>
    <n v="3.7"/>
    <s v="High"/>
  </r>
  <r>
    <x v="9"/>
    <s v="E-Transit"/>
    <x v="1"/>
    <s v="Performance"/>
    <n v="72683.98"/>
    <n v="73.7"/>
    <n v="253"/>
    <n v="217.6"/>
    <n v="2.74"/>
    <n v="200"/>
    <n v="871"/>
    <n v="801"/>
    <s v="AWD"/>
    <n v="7"/>
    <s v="Coupe"/>
    <n v="21.3"/>
    <n v="1539"/>
    <n v="4"/>
    <n v="1"/>
    <x v="2"/>
    <x v="2"/>
    <n v="25267"/>
    <n v="3.6"/>
    <n v="4"/>
    <x v="0"/>
    <n v="3.43"/>
    <s v="High"/>
  </r>
  <r>
    <x v="1"/>
    <s v="bZ4X"/>
    <x v="4"/>
    <s v="Performance"/>
    <n v="93898.99"/>
    <n v="117.1"/>
    <n v="375"/>
    <n v="200.2"/>
    <n v="3.95"/>
    <n v="182"/>
    <n v="1000"/>
    <n v="920"/>
    <s v="AWD"/>
    <n v="7"/>
    <s v="Coupe"/>
    <n v="31"/>
    <n v="1520"/>
    <n v="5"/>
    <n v="0"/>
    <x v="1"/>
    <x v="2"/>
    <n v="29112"/>
    <n v="3.9"/>
    <n v="3"/>
    <x v="0"/>
    <n v="3.2"/>
    <s v="High"/>
  </r>
  <r>
    <x v="8"/>
    <s v="Ioniq 6"/>
    <x v="0"/>
    <s v="Long Range"/>
    <n v="79421.070000000007"/>
    <n v="79.2"/>
    <n v="250"/>
    <n v="81.2"/>
    <n v="5.56"/>
    <n v="164"/>
    <n v="981"/>
    <n v="917"/>
    <s v="FWD"/>
    <n v="7"/>
    <s v="Van"/>
    <n v="75.8"/>
    <n v="1500"/>
    <n v="5"/>
    <n v="2"/>
    <x v="3"/>
    <x v="2"/>
    <n v="120050"/>
    <n v="3.4"/>
    <n v="3"/>
    <x v="1"/>
    <n v="3.16"/>
    <s v="High"/>
  </r>
  <r>
    <x v="4"/>
    <s v="Model 3"/>
    <x v="1"/>
    <s v="Premium"/>
    <n v="78038.19"/>
    <n v="59.8"/>
    <n v="219"/>
    <n v="334"/>
    <n v="6.2"/>
    <n v="162"/>
    <n v="544"/>
    <n v="487"/>
    <s v="AWD"/>
    <n v="7"/>
    <s v="Coupe"/>
    <n v="26.6"/>
    <n v="1704"/>
    <n v="3"/>
    <n v="3"/>
    <x v="2"/>
    <x v="2"/>
    <n v="156841"/>
    <n v="3.6"/>
    <n v="4"/>
    <x v="1"/>
    <n v="3.66"/>
    <s v="High"/>
  </r>
  <r>
    <x v="3"/>
    <s v="Niro EV"/>
    <x v="5"/>
    <s v="Performance"/>
    <n v="89456.85"/>
    <n v="106.6"/>
    <n v="392"/>
    <n v="226.2"/>
    <n v="3.68"/>
    <n v="199"/>
    <n v="1000"/>
    <n v="879"/>
    <s v="RWD"/>
    <n v="7"/>
    <s v="Van"/>
    <n v="67.599999999999994"/>
    <n v="1577"/>
    <n v="4"/>
    <n v="0"/>
    <x v="3"/>
    <x v="2"/>
    <n v="55244"/>
    <n v="4"/>
    <n v="4"/>
    <x v="0"/>
    <n v="3.68"/>
    <s v="High"/>
  </r>
  <r>
    <x v="0"/>
    <s v="ID.3"/>
    <x v="6"/>
    <s v="Long Range"/>
    <n v="81317.3"/>
    <n v="77.900000000000006"/>
    <n v="298"/>
    <n v="145.69999999999999"/>
    <n v="4.33"/>
    <n v="182"/>
    <n v="894"/>
    <n v="772"/>
    <s v="RWD"/>
    <n v="7"/>
    <s v="Truck"/>
    <n v="71.7"/>
    <n v="2388"/>
    <n v="4"/>
    <n v="2"/>
    <x v="0"/>
    <x v="2"/>
    <n v="205086"/>
    <n v="3.6"/>
    <n v="3"/>
    <x v="1"/>
    <n v="3.83"/>
    <s v="High"/>
  </r>
  <r>
    <x v="5"/>
    <s v="GLE EV"/>
    <x v="4"/>
    <s v="Long Range"/>
    <n v="133886.35"/>
    <n v="108.5"/>
    <n v="379"/>
    <n v="137.9"/>
    <n v="5.63"/>
    <n v="159"/>
    <n v="810"/>
    <n v="741"/>
    <s v="AWD"/>
    <n v="5"/>
    <s v="Van"/>
    <n v="61.9"/>
    <n v="1500"/>
    <n v="4"/>
    <n v="2"/>
    <x v="0"/>
    <x v="0"/>
    <n v="61011"/>
    <n v="4"/>
    <n v="7"/>
    <x v="1"/>
    <n v="3.49"/>
    <s v="High"/>
  </r>
  <r>
    <x v="4"/>
    <s v="Model 3"/>
    <x v="5"/>
    <s v="Premium"/>
    <n v="123396.13"/>
    <n v="65.5"/>
    <n v="201"/>
    <n v="235.6"/>
    <n v="7.67"/>
    <n v="135"/>
    <n v="904"/>
    <n v="801"/>
    <s v="AWD"/>
    <n v="5"/>
    <s v="Coupe"/>
    <n v="37.200000000000003"/>
    <n v="1684"/>
    <n v="4"/>
    <n v="3"/>
    <x v="2"/>
    <x v="0"/>
    <n v="179193"/>
    <n v="3.8"/>
    <n v="5"/>
    <x v="2"/>
    <n v="3.07"/>
    <s v="High"/>
  </r>
  <r>
    <x v="8"/>
    <s v="Kona Electric"/>
    <x v="0"/>
    <s v="Long Range"/>
    <n v="89541.119999999995"/>
    <n v="95.4"/>
    <n v="330"/>
    <n v="131"/>
    <n v="4.83"/>
    <n v="179"/>
    <n v="1000"/>
    <n v="880"/>
    <s v="RWD"/>
    <n v="7"/>
    <s v="SUV"/>
    <n v="69.599999999999994"/>
    <n v="1987"/>
    <n v="5"/>
    <n v="1"/>
    <x v="3"/>
    <x v="2"/>
    <n v="122583"/>
    <n v="3.7"/>
    <n v="3"/>
    <x v="1"/>
    <n v="3.46"/>
    <s v="High"/>
  </r>
  <r>
    <x v="4"/>
    <s v="Model S"/>
    <x v="3"/>
    <s v="Base"/>
    <n v="30387.16"/>
    <n v="46.7"/>
    <n v="183"/>
    <n v="294.10000000000002"/>
    <n v="7.88"/>
    <n v="130"/>
    <n v="199"/>
    <n v="200"/>
    <s v="FWD"/>
    <n v="5"/>
    <s v="Hatchback"/>
    <n v="17.8"/>
    <n v="1500"/>
    <n v="5"/>
    <n v="3"/>
    <x v="2"/>
    <x v="3"/>
    <n v="225676"/>
    <n v="3.5"/>
    <n v="6"/>
    <x v="2"/>
    <n v="3.92"/>
    <s v="High"/>
  </r>
  <r>
    <x v="7"/>
    <s v="Atto 3"/>
    <x v="2"/>
    <s v="Standard"/>
    <n v="21707.919999999998"/>
    <n v="56.8"/>
    <n v="176"/>
    <n v="141.1"/>
    <n v="7.77"/>
    <n v="135"/>
    <n v="199"/>
    <n v="213"/>
    <s v="AWD"/>
    <n v="5"/>
    <s v="Hatchback"/>
    <n v="34.700000000000003"/>
    <n v="1776"/>
    <n v="4"/>
    <n v="0"/>
    <x v="4"/>
    <x v="3"/>
    <n v="240735"/>
    <n v="3.3"/>
    <n v="4"/>
    <x v="2"/>
    <n v="3.1"/>
    <s v="High"/>
  </r>
  <r>
    <x v="2"/>
    <s v="Bolt EV"/>
    <x v="2"/>
    <s v="Premium"/>
    <n v="52232.74"/>
    <n v="42"/>
    <n v="150"/>
    <n v="134.4"/>
    <n v="5.26"/>
    <n v="171"/>
    <n v="623"/>
    <n v="597"/>
    <s v="RWD"/>
    <n v="5"/>
    <s v="Van"/>
    <n v="76.8"/>
    <n v="1529"/>
    <n v="4"/>
    <n v="0"/>
    <x v="2"/>
    <x v="1"/>
    <n v="17461"/>
    <n v="3.3"/>
    <n v="3"/>
    <x v="1"/>
    <n v="3.57"/>
    <s v="Medium"/>
  </r>
  <r>
    <x v="8"/>
    <s v="Ioniq"/>
    <x v="3"/>
    <s v="Premium"/>
    <n v="78178.94"/>
    <n v="79.400000000000006"/>
    <n v="290"/>
    <n v="53.7"/>
    <n v="5.34"/>
    <n v="169"/>
    <n v="1000"/>
    <n v="852"/>
    <s v="AWD"/>
    <n v="5"/>
    <s v="SUV"/>
    <n v="66.099999999999994"/>
    <n v="2435"/>
    <n v="5"/>
    <n v="1"/>
    <x v="3"/>
    <x v="2"/>
    <n v="93827"/>
    <n v="3.7"/>
    <n v="4"/>
    <x v="1"/>
    <n v="3.65"/>
    <s v="High"/>
  </r>
  <r>
    <x v="0"/>
    <s v="ID.5"/>
    <x v="3"/>
    <s v="Base"/>
    <n v="32608.87"/>
    <n v="54"/>
    <n v="178"/>
    <n v="63.1"/>
    <n v="5.66"/>
    <n v="169"/>
    <n v="218"/>
    <n v="243"/>
    <s v="FWD"/>
    <n v="5"/>
    <s v="Truck"/>
    <n v="68.400000000000006"/>
    <n v="2358"/>
    <n v="3"/>
    <n v="1"/>
    <x v="0"/>
    <x v="3"/>
    <n v="223686"/>
    <n v="3.3"/>
    <n v="3"/>
    <x v="1"/>
    <n v="3.3"/>
    <s v="High"/>
  </r>
  <r>
    <x v="0"/>
    <s v="ID. Aero"/>
    <x v="2"/>
    <s v="Standard"/>
    <n v="64646.52"/>
    <n v="70.7"/>
    <n v="219"/>
    <n v="52.4"/>
    <n v="7.72"/>
    <n v="140"/>
    <n v="656"/>
    <n v="529"/>
    <s v="FWD"/>
    <n v="5"/>
    <s v="Hatchback"/>
    <n v="17.5"/>
    <n v="1566"/>
    <n v="4"/>
    <n v="0"/>
    <x v="0"/>
    <x v="1"/>
    <n v="229331"/>
    <n v="3.6"/>
    <n v="4"/>
    <x v="2"/>
    <n v="3.1"/>
    <s v="High"/>
  </r>
  <r>
    <x v="8"/>
    <s v="Kona Electric"/>
    <x v="5"/>
    <s v="Standard"/>
    <n v="40896.410000000003"/>
    <n v="84.8"/>
    <n v="286"/>
    <n v="56.7"/>
    <n v="7.09"/>
    <n v="148"/>
    <n v="339"/>
    <n v="284"/>
    <s v="RWD"/>
    <n v="7"/>
    <s v="Truck"/>
    <n v="78.3"/>
    <n v="2639"/>
    <n v="4"/>
    <n v="0"/>
    <x v="3"/>
    <x v="1"/>
    <n v="60452"/>
    <n v="3.6"/>
    <n v="4"/>
    <x v="2"/>
    <n v="3.37"/>
    <s v="High"/>
  </r>
  <r>
    <x v="9"/>
    <s v="E-Transit"/>
    <x v="2"/>
    <s v="Performance"/>
    <n v="99172.17"/>
    <n v="96.1"/>
    <n v="340"/>
    <n v="150.4"/>
    <n v="3.5"/>
    <n v="200"/>
    <n v="1000"/>
    <n v="919"/>
    <s v="AWD"/>
    <n v="5"/>
    <s v="SUV"/>
    <n v="58"/>
    <n v="2017"/>
    <n v="5"/>
    <n v="1"/>
    <x v="2"/>
    <x v="2"/>
    <n v="55818"/>
    <n v="3.7"/>
    <n v="4"/>
    <x v="0"/>
    <n v="3.54"/>
    <s v="High"/>
  </r>
  <r>
    <x v="11"/>
    <s v="Q6 e-tron"/>
    <x v="3"/>
    <s v="Standard"/>
    <n v="97077.65"/>
    <n v="52.8"/>
    <n v="197"/>
    <n v="133.80000000000001"/>
    <n v="7.59"/>
    <n v="132"/>
    <n v="714"/>
    <n v="605"/>
    <s v="AWD"/>
    <n v="7"/>
    <s v="Hatchback"/>
    <n v="33.6"/>
    <n v="1677"/>
    <n v="5"/>
    <n v="2"/>
    <x v="0"/>
    <x v="2"/>
    <n v="69050"/>
    <n v="3.2"/>
    <n v="6"/>
    <x v="2"/>
    <n v="3.73"/>
    <s v="High"/>
  </r>
  <r>
    <x v="1"/>
    <s v="bZ4X"/>
    <x v="3"/>
    <s v="Long Range"/>
    <n v="75339.45"/>
    <n v="86.8"/>
    <n v="325"/>
    <n v="141"/>
    <n v="4.49"/>
    <n v="184"/>
    <n v="939"/>
    <n v="924"/>
    <s v="RWD"/>
    <n v="5"/>
    <s v="Hatchback"/>
    <n v="26"/>
    <n v="1541"/>
    <n v="5"/>
    <n v="0"/>
    <x v="1"/>
    <x v="2"/>
    <n v="12682"/>
    <n v="3.5"/>
    <n v="3"/>
    <x v="1"/>
    <n v="3.74"/>
    <s v="Medium"/>
  </r>
  <r>
    <x v="9"/>
    <s v="Mustang Mach-E"/>
    <x v="3"/>
    <s v="Performance"/>
    <n v="72824.56"/>
    <n v="94.6"/>
    <n v="347"/>
    <n v="161.1"/>
    <n v="4.26"/>
    <n v="180"/>
    <n v="915"/>
    <n v="803"/>
    <s v="RWD"/>
    <n v="5"/>
    <s v="Van"/>
    <n v="66.5"/>
    <n v="1939"/>
    <n v="3"/>
    <n v="2"/>
    <x v="2"/>
    <x v="2"/>
    <n v="45964"/>
    <n v="3.7"/>
    <n v="4"/>
    <x v="1"/>
    <n v="3.67"/>
    <s v="High"/>
  </r>
  <r>
    <x v="7"/>
    <s v="Atto 3"/>
    <x v="3"/>
    <s v="Long Range"/>
    <n v="26097.55"/>
    <n v="99"/>
    <n v="367"/>
    <n v="56.9"/>
    <n v="4.7699999999999996"/>
    <n v="176"/>
    <n v="270"/>
    <n v="217"/>
    <s v="AWD"/>
    <n v="5"/>
    <s v="Truck"/>
    <n v="71.7"/>
    <n v="2861"/>
    <n v="5"/>
    <n v="2"/>
    <x v="4"/>
    <x v="3"/>
    <n v="233286"/>
    <n v="3.5"/>
    <n v="5"/>
    <x v="1"/>
    <n v="3.71"/>
    <s v="High"/>
  </r>
  <r>
    <x v="10"/>
    <s v="i3"/>
    <x v="0"/>
    <s v="Base"/>
    <n v="89086.86"/>
    <n v="79.5"/>
    <n v="279"/>
    <n v="115.5"/>
    <n v="5.03"/>
    <n v="179"/>
    <n v="643"/>
    <n v="655"/>
    <s v="RWD"/>
    <n v="7"/>
    <s v="Truck"/>
    <n v="57.6"/>
    <n v="2730"/>
    <n v="4"/>
    <n v="2"/>
    <x v="0"/>
    <x v="2"/>
    <n v="63501"/>
    <n v="3.8"/>
    <n v="5"/>
    <x v="1"/>
    <n v="3.51"/>
    <s v="High"/>
  </r>
  <r>
    <x v="0"/>
    <s v="ID.5"/>
    <x v="5"/>
    <s v="Performance"/>
    <n v="72231.360000000001"/>
    <n v="115"/>
    <n v="387"/>
    <n v="230.9"/>
    <n v="3.15"/>
    <n v="200"/>
    <n v="746"/>
    <n v="695"/>
    <s v="AWD"/>
    <n v="5"/>
    <s v="Sedan"/>
    <n v="16.2"/>
    <n v="1564"/>
    <n v="4"/>
    <n v="0"/>
    <x v="0"/>
    <x v="2"/>
    <n v="241869"/>
    <n v="4.0999999999999996"/>
    <n v="4"/>
    <x v="0"/>
    <n v="3.37"/>
    <s v="High"/>
  </r>
  <r>
    <x v="7"/>
    <s v="Leaf 50X"/>
    <x v="1"/>
    <s v="Long Range"/>
    <n v="80180.179999999993"/>
    <n v="86.6"/>
    <n v="329"/>
    <n v="52.3"/>
    <n v="4.79"/>
    <n v="183"/>
    <n v="857"/>
    <n v="747"/>
    <s v="AWD"/>
    <n v="5"/>
    <s v="Truck"/>
    <n v="76.8"/>
    <n v="2565"/>
    <n v="5"/>
    <n v="1"/>
    <x v="4"/>
    <x v="2"/>
    <n v="170493"/>
    <n v="3.6"/>
    <n v="3"/>
    <x v="1"/>
    <n v="3.8"/>
    <s v="High"/>
  </r>
  <r>
    <x v="5"/>
    <s v="EQS"/>
    <x v="0"/>
    <s v="Premium"/>
    <n v="111693.41"/>
    <n v="44.9"/>
    <n v="154"/>
    <n v="66"/>
    <n v="6.74"/>
    <n v="144"/>
    <n v="636"/>
    <n v="581"/>
    <s v="AWD"/>
    <n v="5"/>
    <s v="Hatchback"/>
    <n v="25.7"/>
    <n v="1500"/>
    <n v="4"/>
    <n v="1"/>
    <x v="0"/>
    <x v="0"/>
    <n v="72096"/>
    <n v="3.6"/>
    <n v="6"/>
    <x v="1"/>
    <n v="3.43"/>
    <s v="High"/>
  </r>
  <r>
    <x v="4"/>
    <s v="Model S"/>
    <x v="5"/>
    <s v="Base"/>
    <n v="119620.48"/>
    <n v="41.3"/>
    <n v="150"/>
    <n v="231.4"/>
    <n v="5.76"/>
    <n v="162"/>
    <n v="850"/>
    <n v="762"/>
    <s v="FWD"/>
    <n v="5"/>
    <s v="Van"/>
    <n v="64.2"/>
    <n v="1667"/>
    <n v="4"/>
    <n v="2"/>
    <x v="2"/>
    <x v="0"/>
    <n v="186324"/>
    <n v="3.5"/>
    <n v="5"/>
    <x v="1"/>
    <n v="3.63"/>
    <s v="High"/>
  </r>
  <r>
    <x v="11"/>
    <s v="Q4 e-tron"/>
    <x v="3"/>
    <s v="Standard"/>
    <n v="63113.08"/>
    <n v="44"/>
    <n v="150"/>
    <n v="134.69999999999999"/>
    <n v="7.23"/>
    <n v="146"/>
    <n v="322"/>
    <n v="241"/>
    <s v="RWD"/>
    <n v="5"/>
    <s v="Van"/>
    <n v="68.2"/>
    <n v="1501"/>
    <n v="4"/>
    <n v="2"/>
    <x v="0"/>
    <x v="1"/>
    <n v="79880"/>
    <n v="3.2"/>
    <n v="7"/>
    <x v="2"/>
    <n v="3.41"/>
    <s v="High"/>
  </r>
  <r>
    <x v="8"/>
    <s v="i30"/>
    <x v="5"/>
    <s v="Premium"/>
    <n v="83199.83"/>
    <n v="49.6"/>
    <n v="161"/>
    <n v="52.9"/>
    <n v="7.68"/>
    <n v="135"/>
    <n v="1000"/>
    <n v="924"/>
    <s v="AWD"/>
    <n v="5"/>
    <s v="Sedan"/>
    <n v="33.1"/>
    <n v="1500"/>
    <n v="3"/>
    <n v="0"/>
    <x v="3"/>
    <x v="2"/>
    <n v="92496"/>
    <n v="3.2"/>
    <n v="3"/>
    <x v="2"/>
    <n v="3.25"/>
    <s v="High"/>
  </r>
  <r>
    <x v="10"/>
    <s v="iX"/>
    <x v="0"/>
    <s v="Long Range"/>
    <n v="130324.5"/>
    <n v="105"/>
    <n v="370"/>
    <n v="58"/>
    <n v="4.3"/>
    <n v="186"/>
    <n v="1000"/>
    <n v="885"/>
    <s v="AWD"/>
    <n v="5"/>
    <s v="Sedan"/>
    <n v="25"/>
    <n v="1679"/>
    <n v="5"/>
    <n v="2"/>
    <x v="0"/>
    <x v="0"/>
    <n v="62481"/>
    <n v="3.8"/>
    <n v="6"/>
    <x v="1"/>
    <n v="3.52"/>
    <s v="High"/>
  </r>
  <r>
    <x v="10"/>
    <s v="i5"/>
    <x v="2"/>
    <s v="Premium"/>
    <n v="92379.17"/>
    <n v="50.8"/>
    <n v="150"/>
    <n v="92.1"/>
    <n v="7.5"/>
    <n v="136"/>
    <n v="781"/>
    <n v="690"/>
    <s v="AWD"/>
    <n v="7"/>
    <s v="Truck"/>
    <n v="61.5"/>
    <n v="2455"/>
    <n v="5"/>
    <n v="1"/>
    <x v="0"/>
    <x v="2"/>
    <n v="64158"/>
    <n v="3.3"/>
    <n v="7"/>
    <x v="2"/>
    <n v="2.95"/>
    <s v="High"/>
  </r>
  <r>
    <x v="11"/>
    <s v="Q4 e-tron"/>
    <x v="3"/>
    <s v="Premium"/>
    <n v="154475.14000000001"/>
    <n v="69.7"/>
    <n v="246"/>
    <n v="132.69999999999999"/>
    <n v="6.23"/>
    <n v="161"/>
    <n v="1000"/>
    <n v="879"/>
    <s v="AWD"/>
    <n v="5"/>
    <s v="Sedan"/>
    <n v="22.6"/>
    <n v="1646"/>
    <n v="5"/>
    <n v="2"/>
    <x v="0"/>
    <x v="0"/>
    <n v="20728"/>
    <n v="3.4"/>
    <n v="5"/>
    <x v="1"/>
    <n v="3.53"/>
    <s v="High"/>
  </r>
  <r>
    <x v="10"/>
    <s v="i5"/>
    <x v="2"/>
    <s v="Standard"/>
    <n v="78676.53"/>
    <n v="80.3"/>
    <n v="292"/>
    <n v="142.6"/>
    <n v="6.38"/>
    <n v="155"/>
    <n v="489"/>
    <n v="453"/>
    <s v="RWD"/>
    <n v="5"/>
    <s v="Hatchback"/>
    <n v="22.8"/>
    <n v="1501"/>
    <n v="5"/>
    <n v="1"/>
    <x v="0"/>
    <x v="2"/>
    <n v="28903"/>
    <n v="3.5"/>
    <n v="6"/>
    <x v="1"/>
    <n v="3.64"/>
    <s v="High"/>
  </r>
  <r>
    <x v="3"/>
    <s v="EV9"/>
    <x v="4"/>
    <s v="Long Range"/>
    <n v="56383.76"/>
    <n v="77.599999999999994"/>
    <n v="294"/>
    <n v="107.4"/>
    <n v="5.95"/>
    <n v="162"/>
    <n v="689"/>
    <n v="647"/>
    <s v="FWD"/>
    <n v="5"/>
    <s v="SUV"/>
    <n v="46.4"/>
    <n v="1920"/>
    <n v="5"/>
    <n v="1"/>
    <x v="3"/>
    <x v="1"/>
    <n v="85632"/>
    <n v="3.6"/>
    <n v="3"/>
    <x v="1"/>
    <n v="3.79"/>
    <s v="High"/>
  </r>
  <r>
    <x v="4"/>
    <s v="Model Y"/>
    <x v="3"/>
    <s v="Performance"/>
    <n v="51114.48"/>
    <n v="78.3"/>
    <n v="274"/>
    <n v="222.3"/>
    <n v="3.51"/>
    <n v="190"/>
    <n v="299"/>
    <n v="241"/>
    <s v="RWD"/>
    <n v="7"/>
    <s v="SUV"/>
    <n v="62.1"/>
    <n v="2000"/>
    <n v="5"/>
    <n v="2"/>
    <x v="2"/>
    <x v="1"/>
    <n v="484952"/>
    <n v="4"/>
    <n v="6"/>
    <x v="0"/>
    <n v="3.5"/>
    <s v="High"/>
  </r>
  <r>
    <x v="8"/>
    <s v="Ioniq 6"/>
    <x v="2"/>
    <s v="Performance"/>
    <n v="44088.19"/>
    <n v="81.5"/>
    <n v="270"/>
    <n v="231.5"/>
    <n v="4.01"/>
    <n v="188"/>
    <n v="402"/>
    <n v="391"/>
    <s v="RWD"/>
    <n v="5"/>
    <s v="Hatchback"/>
    <n v="25.5"/>
    <n v="1685"/>
    <n v="3"/>
    <n v="0"/>
    <x v="3"/>
    <x v="1"/>
    <n v="119102"/>
    <n v="3.6"/>
    <n v="4"/>
    <x v="1"/>
    <n v="3.31"/>
    <s v="High"/>
  </r>
  <r>
    <x v="4"/>
    <s v="Model 3"/>
    <x v="0"/>
    <s v="Premium"/>
    <n v="98229.28"/>
    <n v="82.6"/>
    <n v="290"/>
    <n v="268.39999999999998"/>
    <n v="7.42"/>
    <n v="142"/>
    <n v="730"/>
    <n v="668"/>
    <s v="RWD"/>
    <n v="7"/>
    <s v="Sedan"/>
    <n v="33.9"/>
    <n v="1500"/>
    <n v="4"/>
    <n v="2"/>
    <x v="2"/>
    <x v="2"/>
    <n v="151125"/>
    <n v="4.0999999999999996"/>
    <n v="4"/>
    <x v="2"/>
    <n v="3.51"/>
    <s v="High"/>
  </r>
  <r>
    <x v="2"/>
    <s v="Equinox EV"/>
    <x v="5"/>
    <s v="Performance"/>
    <n v="71801.02"/>
    <n v="84.4"/>
    <n v="304"/>
    <n v="228.3"/>
    <n v="2.8"/>
    <n v="200"/>
    <n v="950"/>
    <n v="836"/>
    <s v="AWD"/>
    <n v="7"/>
    <s v="SUV"/>
    <n v="50"/>
    <n v="1829"/>
    <n v="4"/>
    <n v="1"/>
    <x v="2"/>
    <x v="2"/>
    <n v="4745"/>
    <n v="3.5"/>
    <n v="4"/>
    <x v="0"/>
    <n v="3.6"/>
    <s v="Low"/>
  </r>
  <r>
    <x v="8"/>
    <s v="Ioniq 6"/>
    <x v="2"/>
    <s v="Standard"/>
    <n v="63404.54"/>
    <n v="72.2"/>
    <n v="253"/>
    <n v="88.9"/>
    <n v="5.5"/>
    <n v="168"/>
    <n v="777"/>
    <n v="662"/>
    <s v="RWD"/>
    <n v="7"/>
    <s v="Sedan"/>
    <n v="29.9"/>
    <n v="1532"/>
    <n v="5"/>
    <n v="0"/>
    <x v="3"/>
    <x v="1"/>
    <n v="79234"/>
    <n v="3.5"/>
    <n v="3"/>
    <x v="1"/>
    <n v="3.5"/>
    <s v="High"/>
  </r>
  <r>
    <x v="10"/>
    <s v="i3"/>
    <x v="0"/>
    <s v="Premium"/>
    <n v="126296.04"/>
    <n v="69.400000000000006"/>
    <n v="238"/>
    <n v="100.7"/>
    <n v="5.91"/>
    <n v="158"/>
    <n v="1000"/>
    <n v="891"/>
    <s v="RWD"/>
    <n v="5"/>
    <s v="Truck"/>
    <n v="56.1"/>
    <n v="2766"/>
    <n v="4"/>
    <n v="1"/>
    <x v="0"/>
    <x v="0"/>
    <n v="27018"/>
    <n v="3.7"/>
    <n v="8"/>
    <x v="1"/>
    <n v="3.43"/>
    <s v="High"/>
  </r>
  <r>
    <x v="4"/>
    <s v="Model S"/>
    <x v="2"/>
    <s v="Long Range"/>
    <n v="91117.32"/>
    <n v="101"/>
    <n v="364"/>
    <n v="271.10000000000002"/>
    <n v="4.8600000000000003"/>
    <n v="172"/>
    <n v="639"/>
    <n v="640"/>
    <s v="RWD"/>
    <n v="7"/>
    <s v="Hatchback"/>
    <n v="16.2"/>
    <n v="1500"/>
    <n v="4"/>
    <n v="2"/>
    <x v="2"/>
    <x v="2"/>
    <n v="174122"/>
    <n v="4"/>
    <n v="5"/>
    <x v="1"/>
    <n v="3.6"/>
    <s v="High"/>
  </r>
  <r>
    <x v="4"/>
    <s v="Cybertruck"/>
    <x v="5"/>
    <s v="Standard"/>
    <n v="39888.42"/>
    <n v="83.1"/>
    <n v="277"/>
    <n v="296.8"/>
    <n v="7.31"/>
    <n v="136"/>
    <n v="260"/>
    <n v="259"/>
    <s v="AWD"/>
    <n v="5"/>
    <s v="Truck"/>
    <n v="50.5"/>
    <n v="2479"/>
    <n v="4"/>
    <n v="2"/>
    <x v="2"/>
    <x v="1"/>
    <n v="224642"/>
    <n v="3.6"/>
    <n v="5"/>
    <x v="2"/>
    <n v="3.33"/>
    <s v="High"/>
  </r>
  <r>
    <x v="2"/>
    <s v="Bolt EUV"/>
    <x v="2"/>
    <s v="Premium"/>
    <n v="75461.19"/>
    <n v="77.900000000000006"/>
    <n v="275"/>
    <n v="102.6"/>
    <n v="5.43"/>
    <n v="168"/>
    <n v="1000"/>
    <n v="966"/>
    <s v="AWD"/>
    <n v="5"/>
    <s v="SUV"/>
    <n v="54.4"/>
    <n v="2063"/>
    <n v="4"/>
    <n v="0"/>
    <x v="2"/>
    <x v="2"/>
    <n v="10961"/>
    <n v="3.5"/>
    <n v="5"/>
    <x v="1"/>
    <n v="3.53"/>
    <s v="Medium"/>
  </r>
  <r>
    <x v="4"/>
    <s v="Cybertruck"/>
    <x v="0"/>
    <s v="Performance"/>
    <n v="182463.57"/>
    <n v="109.2"/>
    <n v="389"/>
    <n v="312.3"/>
    <n v="2.97"/>
    <n v="200"/>
    <n v="1000"/>
    <n v="870"/>
    <s v="AWD"/>
    <n v="5"/>
    <s v="Truck"/>
    <n v="71.099999999999994"/>
    <n v="2927"/>
    <n v="5"/>
    <n v="3"/>
    <x v="2"/>
    <x v="0"/>
    <n v="202403"/>
    <n v="4"/>
    <n v="5"/>
    <x v="0"/>
    <n v="3.56"/>
    <s v="High"/>
  </r>
  <r>
    <x v="4"/>
    <s v="Model X"/>
    <x v="0"/>
    <s v="Premium"/>
    <n v="43481.03"/>
    <n v="65.2"/>
    <n v="217"/>
    <n v="246"/>
    <n v="7.02"/>
    <n v="143"/>
    <n v="236"/>
    <n v="223"/>
    <s v="RWD"/>
    <n v="5"/>
    <s v="SUV"/>
    <n v="60.9"/>
    <n v="1871"/>
    <n v="5"/>
    <n v="2"/>
    <x v="2"/>
    <x v="1"/>
    <n v="134257"/>
    <n v="3.7"/>
    <n v="6"/>
    <x v="2"/>
    <n v="3.33"/>
    <s v="High"/>
  </r>
  <r>
    <x v="4"/>
    <s v="Model 3"/>
    <x v="3"/>
    <s v="Base"/>
    <n v="70038.710000000006"/>
    <n v="65.7"/>
    <n v="235"/>
    <n v="344.8"/>
    <n v="6.65"/>
    <n v="149"/>
    <n v="510"/>
    <n v="448"/>
    <s v="RWD"/>
    <n v="7"/>
    <s v="Sedan"/>
    <n v="21.6"/>
    <n v="1837"/>
    <n v="5"/>
    <n v="3"/>
    <x v="2"/>
    <x v="2"/>
    <n v="164008"/>
    <n v="3.7"/>
    <n v="6"/>
    <x v="1"/>
    <n v="3.58"/>
    <s v="High"/>
  </r>
  <r>
    <x v="1"/>
    <s v="bZ4X"/>
    <x v="2"/>
    <s v="Base"/>
    <n v="60316.9"/>
    <n v="48"/>
    <n v="165"/>
    <n v="127.7"/>
    <n v="7.53"/>
    <n v="138"/>
    <n v="659"/>
    <n v="620"/>
    <s v="RWD"/>
    <n v="7"/>
    <s v="Coupe"/>
    <n v="22.2"/>
    <n v="1500"/>
    <n v="4"/>
    <n v="2"/>
    <x v="1"/>
    <x v="1"/>
    <n v="23683"/>
    <n v="3.2"/>
    <n v="5"/>
    <x v="2"/>
    <n v="3.44"/>
    <s v="High"/>
  </r>
  <r>
    <x v="2"/>
    <s v="Bolt EV"/>
    <x v="2"/>
    <s v="Standard"/>
    <n v="46964.58"/>
    <n v="62.4"/>
    <n v="204"/>
    <n v="57.8"/>
    <n v="7.81"/>
    <n v="140"/>
    <n v="566"/>
    <n v="525"/>
    <s v="AWD"/>
    <n v="7"/>
    <s v="Sedan"/>
    <n v="21.6"/>
    <n v="1530"/>
    <n v="5"/>
    <n v="1"/>
    <x v="2"/>
    <x v="1"/>
    <n v="15168"/>
    <n v="3.5"/>
    <n v="4"/>
    <x v="2"/>
    <n v="3.27"/>
    <s v="Medium"/>
  </r>
  <r>
    <x v="7"/>
    <s v="Dolphin"/>
    <x v="4"/>
    <s v="Premium"/>
    <n v="107053.36"/>
    <n v="82.6"/>
    <n v="300"/>
    <n v="135.69999999999999"/>
    <n v="5.34"/>
    <n v="164"/>
    <n v="1000"/>
    <n v="856"/>
    <s v="AWD"/>
    <n v="7"/>
    <s v="Coupe"/>
    <n v="37.6"/>
    <n v="2029"/>
    <n v="3"/>
    <n v="0"/>
    <x v="4"/>
    <x v="0"/>
    <n v="216609"/>
    <n v="3.8"/>
    <n v="4"/>
    <x v="1"/>
    <n v="3.63"/>
    <s v="High"/>
  </r>
  <r>
    <x v="7"/>
    <s v="Atto 3"/>
    <x v="0"/>
    <s v="Base"/>
    <n v="73542.570000000007"/>
    <n v="52.6"/>
    <n v="178"/>
    <n v="76.5"/>
    <n v="6.84"/>
    <n v="142"/>
    <n v="795"/>
    <n v="760"/>
    <s v="AWD"/>
    <n v="5"/>
    <s v="Hatchback"/>
    <n v="26.5"/>
    <n v="1839"/>
    <n v="5"/>
    <n v="0"/>
    <x v="4"/>
    <x v="2"/>
    <n v="164917"/>
    <n v="3"/>
    <n v="4"/>
    <x v="1"/>
    <n v="3.38"/>
    <s v="High"/>
  </r>
  <r>
    <x v="7"/>
    <s v="Qin"/>
    <x v="3"/>
    <s v="Standard"/>
    <n v="52251.33"/>
    <n v="63.4"/>
    <n v="238"/>
    <n v="134"/>
    <n v="5.93"/>
    <n v="161"/>
    <n v="547"/>
    <n v="460"/>
    <s v="AWD"/>
    <n v="7"/>
    <s v="Van"/>
    <n v="63.6"/>
    <n v="1538"/>
    <n v="5"/>
    <n v="0"/>
    <x v="4"/>
    <x v="1"/>
    <n v="174435"/>
    <n v="3.2"/>
    <n v="3"/>
    <x v="1"/>
    <n v="3.75"/>
    <s v="High"/>
  </r>
  <r>
    <x v="9"/>
    <s v="Explorer EV"/>
    <x v="3"/>
    <s v="Base"/>
    <n v="67752.89"/>
    <n v="58.7"/>
    <n v="237"/>
    <n v="62.3"/>
    <n v="5.47"/>
    <n v="162"/>
    <n v="734"/>
    <n v="686"/>
    <s v="FWD"/>
    <n v="5"/>
    <s v="Truck"/>
    <n v="65.400000000000006"/>
    <n v="2613"/>
    <n v="5"/>
    <n v="0"/>
    <x v="2"/>
    <x v="2"/>
    <n v="21665"/>
    <n v="3.6"/>
    <n v="5"/>
    <x v="1"/>
    <n v="4.04"/>
    <s v="High"/>
  </r>
  <r>
    <x v="10"/>
    <s v="i5"/>
    <x v="3"/>
    <s v="Base"/>
    <n v="48714.2"/>
    <n v="45.4"/>
    <n v="161"/>
    <n v="90.9"/>
    <n v="7.71"/>
    <n v="136"/>
    <n v="178"/>
    <n v="200"/>
    <s v="FWD"/>
    <n v="5"/>
    <s v="Van"/>
    <n v="74.7"/>
    <n v="1633"/>
    <n v="4"/>
    <n v="1"/>
    <x v="0"/>
    <x v="1"/>
    <n v="75073"/>
    <n v="3.2"/>
    <n v="6"/>
    <x v="2"/>
    <n v="3.55"/>
    <s v="High"/>
  </r>
  <r>
    <x v="4"/>
    <s v="Model X"/>
    <x v="5"/>
    <s v="Base"/>
    <n v="31180.54"/>
    <n v="72.3"/>
    <n v="241"/>
    <n v="338"/>
    <n v="6.7"/>
    <n v="142"/>
    <n v="208"/>
    <n v="200"/>
    <s v="FWD"/>
    <n v="5"/>
    <s v="Van"/>
    <n v="65.2"/>
    <n v="1525"/>
    <n v="4"/>
    <n v="2"/>
    <x v="2"/>
    <x v="3"/>
    <n v="143060"/>
    <n v="3.9"/>
    <n v="4"/>
    <x v="1"/>
    <n v="3.33"/>
    <s v="High"/>
  </r>
  <r>
    <x v="4"/>
    <s v="Model Y"/>
    <x v="3"/>
    <s v="Long Range"/>
    <n v="68461.67"/>
    <n v="80.8"/>
    <n v="305"/>
    <n v="310.2"/>
    <n v="4.5"/>
    <n v="183"/>
    <n v="508"/>
    <n v="430"/>
    <s v="FWD"/>
    <n v="7"/>
    <s v="Coupe"/>
    <n v="19.2"/>
    <n v="1614"/>
    <n v="4"/>
    <n v="2"/>
    <x v="2"/>
    <x v="2"/>
    <n v="443244"/>
    <n v="3.9"/>
    <n v="4"/>
    <x v="1"/>
    <n v="3.77"/>
    <s v="High"/>
  </r>
  <r>
    <x v="4"/>
    <s v="Model S"/>
    <x v="0"/>
    <s v="Premium"/>
    <n v="51643.69"/>
    <n v="41.7"/>
    <n v="150"/>
    <n v="282.3"/>
    <n v="6.36"/>
    <n v="153"/>
    <n v="364"/>
    <n v="303"/>
    <s v="AWD"/>
    <n v="5"/>
    <s v="Truck"/>
    <n v="65.8"/>
    <n v="2333"/>
    <n v="5"/>
    <n v="2"/>
    <x v="2"/>
    <x v="1"/>
    <n v="247691"/>
    <n v="3.4"/>
    <n v="6"/>
    <x v="1"/>
    <n v="3.6"/>
    <s v="High"/>
  </r>
  <r>
    <x v="10"/>
    <s v="iX"/>
    <x v="3"/>
    <s v="Standard"/>
    <n v="66272.639999999999"/>
    <n v="70.2"/>
    <n v="263"/>
    <n v="100.5"/>
    <n v="6.96"/>
    <n v="144"/>
    <n v="418"/>
    <n v="412"/>
    <s v="AWD"/>
    <n v="5"/>
    <s v="Sedan"/>
    <n v="22.2"/>
    <n v="1554"/>
    <n v="4"/>
    <n v="1"/>
    <x v="0"/>
    <x v="2"/>
    <n v="66889"/>
    <n v="3.6"/>
    <n v="6"/>
    <x v="1"/>
    <n v="3.75"/>
    <s v="High"/>
  </r>
  <r>
    <x v="9"/>
    <s v="F-150 Lightning"/>
    <x v="3"/>
    <s v="Standard"/>
    <n v="68957.58"/>
    <n v="70.099999999999994"/>
    <n v="262"/>
    <n v="65.599999999999994"/>
    <n v="7.66"/>
    <n v="142"/>
    <n v="719"/>
    <n v="687"/>
    <s v="AWD"/>
    <n v="4"/>
    <s v="Truck"/>
    <n v="78.3"/>
    <n v="2809"/>
    <n v="5"/>
    <n v="1"/>
    <x v="2"/>
    <x v="2"/>
    <n v="69276"/>
    <n v="3.4"/>
    <n v="5"/>
    <x v="2"/>
    <n v="3.74"/>
    <s v="High"/>
  </r>
  <r>
    <x v="7"/>
    <s v="Dolphin"/>
    <x v="2"/>
    <s v="Standard"/>
    <n v="51238.400000000001"/>
    <n v="51.6"/>
    <n v="185"/>
    <n v="122.5"/>
    <n v="6.52"/>
    <n v="153"/>
    <n v="593"/>
    <n v="509"/>
    <s v="FWD"/>
    <n v="5"/>
    <s v="Hatchback"/>
    <n v="24.2"/>
    <n v="1637"/>
    <n v="5"/>
    <n v="1"/>
    <x v="4"/>
    <x v="1"/>
    <n v="242985"/>
    <n v="3.5"/>
    <n v="3"/>
    <x v="1"/>
    <n v="3.59"/>
    <s v="High"/>
  </r>
  <r>
    <x v="4"/>
    <s v="Model Y"/>
    <x v="3"/>
    <s v="Base"/>
    <n v="114587.9"/>
    <n v="67.3"/>
    <n v="242"/>
    <n v="324.39999999999998"/>
    <n v="7.79"/>
    <n v="120"/>
    <n v="860"/>
    <n v="798"/>
    <s v="FWD"/>
    <n v="5"/>
    <s v="Coupe"/>
    <n v="34.6"/>
    <n v="1534"/>
    <n v="3"/>
    <n v="2"/>
    <x v="2"/>
    <x v="0"/>
    <n v="458139"/>
    <n v="3.8"/>
    <n v="5"/>
    <x v="2"/>
    <n v="3.6"/>
    <s v="High"/>
  </r>
  <r>
    <x v="4"/>
    <s v="Cybertruck"/>
    <x v="2"/>
    <s v="Standard"/>
    <n v="43048"/>
    <n v="78.2"/>
    <n v="305"/>
    <n v="284.8"/>
    <n v="5.32"/>
    <n v="167"/>
    <n v="283"/>
    <n v="238"/>
    <s v="FWD"/>
    <n v="7"/>
    <s v="Truck"/>
    <n v="69"/>
    <n v="2507"/>
    <n v="5"/>
    <n v="2"/>
    <x v="2"/>
    <x v="1"/>
    <n v="249983"/>
    <n v="3.2"/>
    <n v="5"/>
    <x v="1"/>
    <n v="3.9"/>
    <s v="High"/>
  </r>
  <r>
    <x v="6"/>
    <s v="Ocean"/>
    <x v="3"/>
    <s v="Premium"/>
    <n v="54042"/>
    <n v="69.8"/>
    <n v="254"/>
    <n v="61.6"/>
    <n v="6.62"/>
    <n v="157"/>
    <n v="343"/>
    <n v="288"/>
    <s v="RWD"/>
    <n v="5"/>
    <s v="Truck"/>
    <n v="68.2"/>
    <n v="2045"/>
    <n v="4"/>
    <n v="2"/>
    <x v="2"/>
    <x v="1"/>
    <n v="17793"/>
    <n v="3.4"/>
    <n v="5"/>
    <x v="1"/>
    <n v="3.64"/>
    <s v="Medium"/>
  </r>
  <r>
    <x v="7"/>
    <s v="Atto 3"/>
    <x v="3"/>
    <s v="Premium"/>
    <n v="34873.269999999997"/>
    <n v="63.6"/>
    <n v="236"/>
    <n v="57.6"/>
    <n v="6.36"/>
    <n v="149"/>
    <n v="380"/>
    <n v="328"/>
    <s v="AWD"/>
    <n v="7"/>
    <s v="Coupe"/>
    <n v="21.2"/>
    <n v="1500"/>
    <n v="4"/>
    <n v="0"/>
    <x v="4"/>
    <x v="3"/>
    <n v="145087"/>
    <n v="3.3"/>
    <n v="4"/>
    <x v="1"/>
    <n v="3.71"/>
    <s v="High"/>
  </r>
  <r>
    <x v="9"/>
    <s v="Explorer EV"/>
    <x v="3"/>
    <s v="Standard"/>
    <n v="47275.39"/>
    <n v="64.900000000000006"/>
    <n v="242"/>
    <n v="148.9"/>
    <n v="5.12"/>
    <n v="166"/>
    <n v="415"/>
    <n v="361"/>
    <s v="FWD"/>
    <n v="5"/>
    <s v="Coupe"/>
    <n v="38.200000000000003"/>
    <n v="1509"/>
    <n v="3"/>
    <n v="1"/>
    <x v="2"/>
    <x v="1"/>
    <n v="20597"/>
    <n v="3.5"/>
    <n v="5"/>
    <x v="1"/>
    <n v="3.73"/>
    <s v="High"/>
  </r>
  <r>
    <x v="10"/>
    <s v="i4"/>
    <x v="2"/>
    <s v="Long Range"/>
    <n v="69815.81"/>
    <n v="81.099999999999994"/>
    <n v="291"/>
    <n v="69.8"/>
    <n v="5.43"/>
    <n v="172"/>
    <n v="444"/>
    <n v="391"/>
    <s v="FWD"/>
    <n v="7"/>
    <s v="SUV"/>
    <n v="41.1"/>
    <n v="2056"/>
    <n v="4"/>
    <n v="1"/>
    <x v="0"/>
    <x v="2"/>
    <n v="42961"/>
    <n v="3.6"/>
    <n v="5"/>
    <x v="1"/>
    <n v="3.59"/>
    <s v="High"/>
  </r>
  <r>
    <x v="0"/>
    <s v="ID.5"/>
    <x v="3"/>
    <s v="Long Range"/>
    <n v="95115.92"/>
    <n v="83"/>
    <n v="275"/>
    <n v="136"/>
    <n v="5.38"/>
    <n v="170"/>
    <n v="1000"/>
    <n v="873"/>
    <s v="AWD"/>
    <n v="7"/>
    <s v="Sedan"/>
    <n v="28"/>
    <n v="1693"/>
    <n v="3"/>
    <n v="1"/>
    <x v="0"/>
    <x v="2"/>
    <n v="223250"/>
    <n v="3.5"/>
    <n v="4"/>
    <x v="1"/>
    <n v="3.31"/>
    <s v="High"/>
  </r>
  <r>
    <x v="7"/>
    <s v="Qin"/>
    <x v="3"/>
    <s v="Premium"/>
    <n v="33846.449999999997"/>
    <n v="52.4"/>
    <n v="171"/>
    <n v="126.2"/>
    <n v="7.36"/>
    <n v="138"/>
    <n v="348"/>
    <n v="349"/>
    <s v="FWD"/>
    <n v="5"/>
    <s v="Truck"/>
    <n v="75.5"/>
    <n v="2279"/>
    <n v="5"/>
    <n v="2"/>
    <x v="4"/>
    <x v="3"/>
    <n v="220677"/>
    <n v="3.2"/>
    <n v="5"/>
    <x v="2"/>
    <n v="3.26"/>
    <s v="High"/>
  </r>
  <r>
    <x v="4"/>
    <s v="Cybertruck"/>
    <x v="3"/>
    <s v="Premium"/>
    <n v="98891.22"/>
    <n v="78.900000000000006"/>
    <n v="301"/>
    <n v="269.89999999999998"/>
    <n v="6.78"/>
    <n v="143"/>
    <n v="712"/>
    <n v="623"/>
    <s v="FWD"/>
    <n v="5"/>
    <s v="Truck"/>
    <n v="75.400000000000006"/>
    <n v="2642"/>
    <n v="4"/>
    <n v="2"/>
    <x v="2"/>
    <x v="2"/>
    <n v="113008"/>
    <n v="3.9"/>
    <n v="4"/>
    <x v="1"/>
    <n v="3.81"/>
    <s v="High"/>
  </r>
  <r>
    <x v="3"/>
    <s v="Picanto EV"/>
    <x v="6"/>
    <s v="Performance"/>
    <n v="51182.15"/>
    <n v="115.1"/>
    <n v="444"/>
    <n v="158.4"/>
    <n v="3.23"/>
    <n v="200"/>
    <n v="509"/>
    <n v="422"/>
    <s v="FWD"/>
    <n v="7"/>
    <s v="Van"/>
    <n v="78.2"/>
    <n v="1712"/>
    <n v="5"/>
    <n v="0"/>
    <x v="3"/>
    <x v="1"/>
    <n v="106543"/>
    <n v="3.8"/>
    <n v="4"/>
    <x v="0"/>
    <n v="3.86"/>
    <s v="High"/>
  </r>
  <r>
    <x v="9"/>
    <s v="E-Transit"/>
    <x v="0"/>
    <s v="Standard"/>
    <n v="53190.35"/>
    <n v="62.2"/>
    <n v="200"/>
    <n v="78.099999999999994"/>
    <n v="7.05"/>
    <n v="148"/>
    <n v="511"/>
    <n v="461"/>
    <s v="FWD"/>
    <n v="7"/>
    <s v="Hatchback"/>
    <n v="39"/>
    <n v="1682"/>
    <n v="4"/>
    <n v="2"/>
    <x v="2"/>
    <x v="1"/>
    <n v="73417"/>
    <n v="3.1"/>
    <n v="4"/>
    <x v="2"/>
    <n v="3.22"/>
    <s v="High"/>
  </r>
  <r>
    <x v="10"/>
    <s v="i5"/>
    <x v="2"/>
    <s v="Base"/>
    <n v="73900.67"/>
    <n v="72.400000000000006"/>
    <n v="258"/>
    <n v="101.5"/>
    <n v="7.83"/>
    <n v="134"/>
    <n v="438"/>
    <n v="406"/>
    <s v="FWD"/>
    <n v="5"/>
    <s v="Coupe"/>
    <n v="35.200000000000003"/>
    <n v="1522"/>
    <n v="5"/>
    <n v="2"/>
    <x v="0"/>
    <x v="2"/>
    <n v="78616"/>
    <n v="3.2"/>
    <n v="6"/>
    <x v="2"/>
    <n v="3.56"/>
    <s v="High"/>
  </r>
  <r>
    <x v="8"/>
    <s v="Kona Electric"/>
    <x v="0"/>
    <s v="Long Range"/>
    <n v="49376.97"/>
    <n v="105.9"/>
    <n v="348"/>
    <n v="77.3"/>
    <n v="4.75"/>
    <n v="175"/>
    <n v="509"/>
    <n v="436"/>
    <s v="FWD"/>
    <n v="7"/>
    <s v="Hatchback"/>
    <n v="37.4"/>
    <n v="1766"/>
    <n v="5"/>
    <n v="1"/>
    <x v="3"/>
    <x v="1"/>
    <n v="113770"/>
    <n v="3.5"/>
    <n v="4"/>
    <x v="1"/>
    <n v="3.29"/>
    <s v="High"/>
  </r>
  <r>
    <x v="4"/>
    <s v="Model 3"/>
    <x v="3"/>
    <s v="Premium"/>
    <n v="129475.2"/>
    <n v="46.6"/>
    <n v="150"/>
    <n v="264.8"/>
    <n v="6.99"/>
    <n v="144"/>
    <n v="897"/>
    <n v="779"/>
    <s v="AWD"/>
    <n v="7"/>
    <s v="SUV"/>
    <n v="54.9"/>
    <n v="1856"/>
    <n v="4"/>
    <n v="2"/>
    <x v="2"/>
    <x v="0"/>
    <n v="225901"/>
    <n v="3.6"/>
    <n v="5"/>
    <x v="1"/>
    <n v="3.22"/>
    <s v="High"/>
  </r>
  <r>
    <x v="6"/>
    <s v="Ocean"/>
    <x v="0"/>
    <s v="Base"/>
    <n v="81514.31"/>
    <n v="48.1"/>
    <n v="186"/>
    <n v="57.9"/>
    <n v="6.12"/>
    <n v="157"/>
    <n v="683"/>
    <n v="634"/>
    <s v="FWD"/>
    <n v="5"/>
    <s v="Hatchback"/>
    <n v="27.3"/>
    <n v="1690"/>
    <n v="4"/>
    <n v="1"/>
    <x v="2"/>
    <x v="2"/>
    <n v="16427"/>
    <n v="3.4"/>
    <n v="3"/>
    <x v="1"/>
    <n v="3.87"/>
    <s v="Medium"/>
  </r>
  <r>
    <x v="9"/>
    <s v="F-150 Lightning"/>
    <x v="2"/>
    <s v="Base"/>
    <n v="33054.57"/>
    <n v="55.6"/>
    <n v="203"/>
    <n v="137.19999999999999"/>
    <n v="6.73"/>
    <n v="145"/>
    <n v="173"/>
    <n v="200"/>
    <s v="AWD"/>
    <n v="2"/>
    <s v="Truck"/>
    <n v="61"/>
    <n v="2425"/>
    <n v="5"/>
    <n v="1"/>
    <x v="2"/>
    <x v="3"/>
    <n v="77480"/>
    <n v="3.1"/>
    <n v="3"/>
    <x v="1"/>
    <n v="3.65"/>
    <s v="High"/>
  </r>
  <r>
    <x v="7"/>
    <s v="Dolphin"/>
    <x v="2"/>
    <s v="Long Range"/>
    <n v="38277.53"/>
    <n v="87.8"/>
    <n v="282"/>
    <n v="141.6"/>
    <n v="4.54"/>
    <n v="181"/>
    <n v="343"/>
    <n v="313"/>
    <s v="RWD"/>
    <n v="5"/>
    <s v="Coupe"/>
    <n v="34.1"/>
    <n v="1685"/>
    <n v="5"/>
    <n v="1"/>
    <x v="4"/>
    <x v="1"/>
    <n v="237305"/>
    <n v="3.5"/>
    <n v="4"/>
    <x v="1"/>
    <n v="3.21"/>
    <s v="High"/>
  </r>
  <r>
    <x v="19"/>
    <n v="3"/>
    <x v="0"/>
    <s v="Long Range"/>
    <n v="77182.19"/>
    <n v="88.8"/>
    <n v="337"/>
    <n v="77.900000000000006"/>
    <n v="5.68"/>
    <n v="160"/>
    <n v="442"/>
    <n v="379"/>
    <s v="RWD"/>
    <n v="5"/>
    <s v="Hatchback"/>
    <n v="21.3"/>
    <n v="1500"/>
    <n v="5"/>
    <n v="0"/>
    <x v="5"/>
    <x v="2"/>
    <n v="5412"/>
    <n v="3.6"/>
    <n v="3"/>
    <x v="1"/>
    <n v="3.8"/>
    <s v="Medium"/>
  </r>
  <r>
    <x v="3"/>
    <s v="Picanto EV"/>
    <x v="3"/>
    <s v="Premium"/>
    <n v="80721.440000000002"/>
    <n v="72.900000000000006"/>
    <n v="256"/>
    <n v="58.9"/>
    <n v="6.67"/>
    <n v="144"/>
    <n v="912"/>
    <n v="808"/>
    <s v="RWD"/>
    <n v="5"/>
    <s v="Hatchback"/>
    <n v="21.1"/>
    <n v="1503"/>
    <n v="3"/>
    <n v="1"/>
    <x v="3"/>
    <x v="2"/>
    <n v="130227"/>
    <n v="3.5"/>
    <n v="4"/>
    <x v="1"/>
    <n v="3.51"/>
    <s v="High"/>
  </r>
  <r>
    <x v="3"/>
    <s v="EV6"/>
    <x v="4"/>
    <s v="Premium"/>
    <n v="36092.980000000003"/>
    <n v="41.6"/>
    <n v="150"/>
    <n v="105.9"/>
    <n v="5.2"/>
    <n v="170"/>
    <n v="254"/>
    <n v="233"/>
    <s v="AWD"/>
    <n v="5"/>
    <s v="SUV"/>
    <n v="45.9"/>
    <n v="2561"/>
    <n v="5"/>
    <n v="1"/>
    <x v="3"/>
    <x v="1"/>
    <n v="73706"/>
    <n v="3"/>
    <n v="3"/>
    <x v="1"/>
    <n v="3.61"/>
    <s v="High"/>
  </r>
  <r>
    <x v="2"/>
    <s v="Equinox EV"/>
    <x v="1"/>
    <s v="Performance"/>
    <n v="59493.52"/>
    <n v="71.900000000000006"/>
    <n v="270"/>
    <n v="162.1"/>
    <n v="3.04"/>
    <n v="200"/>
    <n v="761"/>
    <n v="683"/>
    <s v="FWD"/>
    <n v="5"/>
    <s v="SUV"/>
    <n v="48.3"/>
    <n v="1650"/>
    <n v="3"/>
    <n v="0"/>
    <x v="2"/>
    <x v="1"/>
    <n v="16751"/>
    <n v="3.4"/>
    <n v="4"/>
    <x v="0"/>
    <n v="3.76"/>
    <s v="Medium"/>
  </r>
  <r>
    <x v="9"/>
    <s v="Explorer EV"/>
    <x v="0"/>
    <s v="Standard"/>
    <n v="38433.81"/>
    <n v="45.5"/>
    <n v="152"/>
    <n v="93.2"/>
    <n v="7.84"/>
    <n v="137"/>
    <n v="247"/>
    <n v="257"/>
    <s v="FWD"/>
    <n v="5"/>
    <s v="Truck"/>
    <n v="76.099999999999994"/>
    <n v="2667"/>
    <n v="4"/>
    <n v="1"/>
    <x v="2"/>
    <x v="1"/>
    <n v="31451"/>
    <n v="3.1"/>
    <n v="3"/>
    <x v="2"/>
    <n v="3.34"/>
    <s v="High"/>
  </r>
  <r>
    <x v="10"/>
    <s v="i3"/>
    <x v="2"/>
    <s v="Performance"/>
    <n v="73301.490000000005"/>
    <n v="109.7"/>
    <n v="367"/>
    <n v="196.4"/>
    <n v="3.4"/>
    <n v="200"/>
    <n v="489"/>
    <n v="443"/>
    <s v="FWD"/>
    <n v="7"/>
    <s v="Coupe"/>
    <n v="31.1"/>
    <n v="1547"/>
    <n v="5"/>
    <n v="1"/>
    <x v="0"/>
    <x v="2"/>
    <n v="50214"/>
    <n v="3.7"/>
    <n v="6"/>
    <x v="0"/>
    <n v="3.35"/>
    <s v="High"/>
  </r>
  <r>
    <x v="4"/>
    <s v="Model Y"/>
    <x v="3"/>
    <s v="Long Range"/>
    <n v="113868.37"/>
    <n v="86.6"/>
    <n v="301"/>
    <n v="250.9"/>
    <n v="4.84"/>
    <n v="185"/>
    <n v="826"/>
    <n v="761"/>
    <s v="AWD"/>
    <n v="7"/>
    <s v="Sedan"/>
    <n v="24.3"/>
    <n v="1500"/>
    <n v="4"/>
    <n v="2"/>
    <x v="2"/>
    <x v="0"/>
    <n v="455459"/>
    <n v="4"/>
    <n v="5"/>
    <x v="1"/>
    <n v="3.48"/>
    <s v="High"/>
  </r>
  <r>
    <x v="7"/>
    <s v="Dolphin"/>
    <x v="2"/>
    <s v="Premium"/>
    <n v="100526.02"/>
    <n v="84.9"/>
    <n v="300"/>
    <n v="124.8"/>
    <n v="6.95"/>
    <n v="147"/>
    <n v="1000"/>
    <n v="935"/>
    <s v="AWD"/>
    <n v="7"/>
    <s v="Hatchback"/>
    <n v="25.6"/>
    <n v="1569"/>
    <n v="4"/>
    <n v="0"/>
    <x v="4"/>
    <x v="0"/>
    <n v="178707"/>
    <n v="3.5"/>
    <n v="4"/>
    <x v="1"/>
    <n v="3.53"/>
    <s v="High"/>
  </r>
  <r>
    <x v="13"/>
    <s v="R3"/>
    <x v="3"/>
    <s v="Base"/>
    <n v="78088.2"/>
    <n v="42.4"/>
    <n v="150"/>
    <n v="144.6"/>
    <n v="5.92"/>
    <n v="161"/>
    <n v="622"/>
    <n v="542"/>
    <s v="AWD"/>
    <n v="5"/>
    <s v="Hatchback"/>
    <n v="28.6"/>
    <n v="1769"/>
    <n v="3"/>
    <n v="0"/>
    <x v="2"/>
    <x v="2"/>
    <n v="26875"/>
    <n v="3.3"/>
    <n v="5"/>
    <x v="1"/>
    <n v="3.54"/>
    <s v="High"/>
  </r>
  <r>
    <x v="7"/>
    <s v="Qin"/>
    <x v="3"/>
    <s v="Performance"/>
    <n v="101418.24000000001"/>
    <n v="74.3"/>
    <n v="239"/>
    <n v="183.8"/>
    <n v="3.67"/>
    <n v="200"/>
    <n v="1000"/>
    <n v="942"/>
    <s v="AWD"/>
    <n v="5"/>
    <s v="Hatchback"/>
    <n v="17.600000000000001"/>
    <n v="1696"/>
    <n v="3"/>
    <n v="0"/>
    <x v="4"/>
    <x v="0"/>
    <n v="115025"/>
    <n v="3.6"/>
    <n v="4"/>
    <x v="0"/>
    <n v="3.22"/>
    <s v="High"/>
  </r>
  <r>
    <x v="0"/>
    <s v="ID.3"/>
    <x v="0"/>
    <s v="Premium"/>
    <n v="99609.58"/>
    <n v="83.8"/>
    <n v="287"/>
    <n v="55.7"/>
    <n v="7.43"/>
    <n v="141"/>
    <n v="1000"/>
    <n v="862"/>
    <s v="AWD"/>
    <n v="7"/>
    <s v="Coupe"/>
    <n v="20.100000000000001"/>
    <n v="1973"/>
    <n v="4"/>
    <n v="0"/>
    <x v="0"/>
    <x v="2"/>
    <n v="245824"/>
    <n v="3.6"/>
    <n v="5"/>
    <x v="2"/>
    <n v="3.42"/>
    <s v="High"/>
  </r>
  <r>
    <x v="0"/>
    <s v="ID.3"/>
    <x v="3"/>
    <s v="Base"/>
    <n v="66620.77"/>
    <n v="53.1"/>
    <n v="196"/>
    <n v="125.1"/>
    <n v="7.65"/>
    <n v="132"/>
    <n v="710"/>
    <n v="644"/>
    <s v="AWD"/>
    <n v="5"/>
    <s v="Coupe"/>
    <n v="31.4"/>
    <n v="1570"/>
    <n v="5"/>
    <n v="0"/>
    <x v="0"/>
    <x v="2"/>
    <n v="206717"/>
    <n v="3.6"/>
    <n v="4"/>
    <x v="2"/>
    <n v="3.69"/>
    <s v="High"/>
  </r>
  <r>
    <x v="0"/>
    <s v="ID.3"/>
    <x v="4"/>
    <s v="Long Range"/>
    <n v="70654.720000000001"/>
    <n v="88.4"/>
    <n v="317"/>
    <n v="84"/>
    <n v="4.82"/>
    <n v="163"/>
    <n v="711"/>
    <n v="644"/>
    <s v="FWD"/>
    <n v="7"/>
    <s v="Hatchback"/>
    <n v="27.6"/>
    <n v="1724"/>
    <n v="4"/>
    <n v="0"/>
    <x v="0"/>
    <x v="2"/>
    <n v="211095"/>
    <n v="3.8"/>
    <n v="5"/>
    <x v="1"/>
    <n v="3.59"/>
    <s v="High"/>
  </r>
  <r>
    <x v="3"/>
    <s v="Niro EV"/>
    <x v="3"/>
    <s v="Performance"/>
    <n v="110498.55"/>
    <n v="107.7"/>
    <n v="407"/>
    <n v="182.1"/>
    <n v="2.85"/>
    <n v="200"/>
    <n v="1000"/>
    <n v="893"/>
    <s v="RWD"/>
    <n v="5"/>
    <s v="SUV"/>
    <n v="53.4"/>
    <n v="1849"/>
    <n v="4"/>
    <n v="0"/>
    <x v="3"/>
    <x v="0"/>
    <n v="55383"/>
    <n v="3.9"/>
    <n v="4"/>
    <x v="0"/>
    <n v="3.78"/>
    <s v="High"/>
  </r>
  <r>
    <x v="12"/>
    <s v="EL8"/>
    <x v="3"/>
    <s v="Premium"/>
    <n v="104953.65"/>
    <n v="69"/>
    <n v="237"/>
    <n v="102.5"/>
    <n v="7.78"/>
    <n v="132"/>
    <n v="1000"/>
    <n v="879"/>
    <s v="AWD"/>
    <n v="7"/>
    <s v="Sedan"/>
    <n v="34.200000000000003"/>
    <n v="1974"/>
    <n v="5"/>
    <n v="2"/>
    <x v="4"/>
    <x v="0"/>
    <n v="26944"/>
    <n v="3.5"/>
    <n v="3"/>
    <x v="2"/>
    <n v="3.43"/>
    <s v="High"/>
  </r>
  <r>
    <x v="7"/>
    <s v="Leaf 50X"/>
    <x v="2"/>
    <s v="Long Range"/>
    <n v="42041.16"/>
    <n v="108.4"/>
    <n v="373"/>
    <n v="83.6"/>
    <n v="4.95"/>
    <n v="176"/>
    <n v="422"/>
    <n v="409"/>
    <s v="FWD"/>
    <n v="7"/>
    <s v="Truck"/>
    <n v="66.5"/>
    <n v="2360"/>
    <n v="3"/>
    <n v="0"/>
    <x v="4"/>
    <x v="1"/>
    <n v="120124"/>
    <n v="3.8"/>
    <n v="4"/>
    <x v="1"/>
    <n v="3.44"/>
    <s v="High"/>
  </r>
  <r>
    <x v="4"/>
    <s v="Model S"/>
    <x v="3"/>
    <s v="Long Range"/>
    <n v="120338.19"/>
    <n v="101.1"/>
    <n v="324"/>
    <n v="304.89999999999998"/>
    <n v="5.12"/>
    <n v="178"/>
    <n v="857"/>
    <n v="741"/>
    <s v="RWD"/>
    <n v="7"/>
    <s v="Truck"/>
    <n v="66.5"/>
    <n v="2561"/>
    <n v="4"/>
    <n v="2"/>
    <x v="2"/>
    <x v="0"/>
    <n v="236717"/>
    <n v="4.0999999999999996"/>
    <n v="5"/>
    <x v="1"/>
    <n v="3.2"/>
    <s v="High"/>
  </r>
  <r>
    <x v="4"/>
    <s v="Model Y"/>
    <x v="3"/>
    <s v="Long Range"/>
    <n v="147345.82"/>
    <n v="89.5"/>
    <n v="311"/>
    <n v="235"/>
    <n v="4.4800000000000004"/>
    <n v="191"/>
    <n v="1000"/>
    <n v="893"/>
    <s v="AWD"/>
    <n v="5"/>
    <s v="Van"/>
    <n v="72"/>
    <n v="1709"/>
    <n v="5"/>
    <n v="2"/>
    <x v="2"/>
    <x v="0"/>
    <n v="458246"/>
    <n v="3.7"/>
    <n v="5"/>
    <x v="1"/>
    <n v="3.47"/>
    <s v="High"/>
  </r>
  <r>
    <x v="11"/>
    <s v="e-tron GT"/>
    <x v="3"/>
    <s v="Base"/>
    <n v="69716.210000000006"/>
    <n v="72.8"/>
    <n v="250"/>
    <n v="73.8"/>
    <n v="7.04"/>
    <n v="145"/>
    <n v="400"/>
    <n v="342"/>
    <s v="AWD"/>
    <n v="5"/>
    <s v="SUV"/>
    <n v="36.4"/>
    <n v="1869"/>
    <n v="5"/>
    <n v="1"/>
    <x v="0"/>
    <x v="2"/>
    <n v="21802"/>
    <n v="3.4"/>
    <n v="5"/>
    <x v="2"/>
    <n v="3.43"/>
    <s v="High"/>
  </r>
  <r>
    <x v="10"/>
    <s v="i7"/>
    <x v="3"/>
    <s v="Premium"/>
    <n v="88626.17"/>
    <n v="42.7"/>
    <n v="150"/>
    <n v="121"/>
    <n v="7.91"/>
    <n v="129"/>
    <n v="638"/>
    <n v="538"/>
    <s v="AWD"/>
    <n v="7"/>
    <s v="Coupe"/>
    <n v="28.6"/>
    <n v="1728"/>
    <n v="4"/>
    <n v="1"/>
    <x v="0"/>
    <x v="2"/>
    <n v="40644"/>
    <n v="3.5"/>
    <n v="7"/>
    <x v="2"/>
    <n v="3.51"/>
    <s v="High"/>
  </r>
  <r>
    <x v="7"/>
    <s v="Max"/>
    <x v="1"/>
    <s v="Standard"/>
    <n v="68088.929999999993"/>
    <n v="51.8"/>
    <n v="170"/>
    <n v="149.80000000000001"/>
    <n v="5.24"/>
    <n v="173"/>
    <n v="757"/>
    <n v="731"/>
    <s v="AWD"/>
    <n v="5"/>
    <s v="Hatchback"/>
    <n v="30.7"/>
    <n v="1668"/>
    <n v="4"/>
    <n v="1"/>
    <x v="4"/>
    <x v="2"/>
    <n v="201225"/>
    <n v="3.3"/>
    <n v="5"/>
    <x v="1"/>
    <n v="3.28"/>
    <s v="High"/>
  </r>
  <r>
    <x v="9"/>
    <s v="E-Transit"/>
    <x v="2"/>
    <s v="Premium"/>
    <n v="97929.01"/>
    <n v="50.3"/>
    <n v="198"/>
    <n v="106.3"/>
    <n v="6.92"/>
    <n v="139"/>
    <n v="1000"/>
    <n v="928"/>
    <s v="RWD"/>
    <n v="7"/>
    <s v="SUV"/>
    <n v="50.1"/>
    <n v="2018"/>
    <n v="5"/>
    <n v="0"/>
    <x v="2"/>
    <x v="2"/>
    <n v="20102"/>
    <n v="3.3"/>
    <n v="5"/>
    <x v="1"/>
    <n v="3.94"/>
    <s v="High"/>
  </r>
  <r>
    <x v="5"/>
    <s v="EQE"/>
    <x v="1"/>
    <s v="Long Range"/>
    <n v="118966.22"/>
    <n v="83.4"/>
    <n v="306"/>
    <n v="122.6"/>
    <n v="4.7300000000000004"/>
    <n v="187"/>
    <n v="634"/>
    <n v="605"/>
    <s v="RWD"/>
    <n v="5"/>
    <s v="Hatchback"/>
    <n v="38.1"/>
    <n v="1668"/>
    <n v="4"/>
    <n v="2"/>
    <x v="0"/>
    <x v="0"/>
    <n v="78467"/>
    <n v="3.9"/>
    <n v="8"/>
    <x v="1"/>
    <n v="3.67"/>
    <s v="High"/>
  </r>
  <r>
    <x v="5"/>
    <s v="GLE EV"/>
    <x v="4"/>
    <s v="Performance"/>
    <n v="167760.51"/>
    <n v="110.2"/>
    <n v="367"/>
    <n v="161"/>
    <n v="4.22"/>
    <n v="189"/>
    <n v="1000"/>
    <n v="912"/>
    <s v="RWD"/>
    <n v="7"/>
    <s v="Hatchback"/>
    <n v="38.9"/>
    <n v="1571"/>
    <n v="5"/>
    <n v="1"/>
    <x v="0"/>
    <x v="0"/>
    <n v="66576"/>
    <n v="3.8"/>
    <n v="8"/>
    <x v="1"/>
    <n v="3.33"/>
    <s v="High"/>
  </r>
  <r>
    <x v="13"/>
    <s v="R3"/>
    <x v="2"/>
    <s v="Performance"/>
    <n v="105996.52"/>
    <n v="77.2"/>
    <n v="274"/>
    <n v="218.4"/>
    <n v="3.13"/>
    <n v="196"/>
    <n v="1000"/>
    <n v="918"/>
    <s v="RWD"/>
    <n v="7"/>
    <s v="Hatchback"/>
    <n v="16.2"/>
    <n v="1630"/>
    <n v="5"/>
    <n v="0"/>
    <x v="2"/>
    <x v="0"/>
    <n v="1509"/>
    <n v="3.6"/>
    <n v="5"/>
    <x v="0"/>
    <n v="3.55"/>
    <s v="Low"/>
  </r>
  <r>
    <x v="7"/>
    <s v="Max"/>
    <x v="0"/>
    <s v="Long Range"/>
    <n v="94064.69"/>
    <n v="95.8"/>
    <n v="342"/>
    <n v="104"/>
    <n v="4.95"/>
    <n v="180"/>
    <n v="1000"/>
    <n v="918"/>
    <s v="AWD"/>
    <n v="5"/>
    <s v="Hatchback"/>
    <n v="37.9"/>
    <n v="1679"/>
    <n v="5"/>
    <n v="0"/>
    <x v="4"/>
    <x v="2"/>
    <n v="117049"/>
    <n v="3.6"/>
    <n v="5"/>
    <x v="1"/>
    <n v="3.57"/>
    <s v="High"/>
  </r>
  <r>
    <x v="2"/>
    <s v="Equinox EV"/>
    <x v="3"/>
    <s v="Long Range"/>
    <n v="58372.94"/>
    <n v="95.2"/>
    <n v="341"/>
    <n v="119"/>
    <n v="5.77"/>
    <n v="159"/>
    <n v="790"/>
    <n v="762"/>
    <s v="FWD"/>
    <n v="5"/>
    <s v="SUV"/>
    <n v="61.6"/>
    <n v="2173"/>
    <n v="5"/>
    <n v="1"/>
    <x v="2"/>
    <x v="1"/>
    <n v="5246"/>
    <n v="3.8"/>
    <n v="5"/>
    <x v="1"/>
    <n v="3.58"/>
    <s v="Medium"/>
  </r>
  <r>
    <x v="8"/>
    <s v="Ioniq 5"/>
    <x v="3"/>
    <s v="Premium"/>
    <n v="64470.9"/>
    <n v="46.6"/>
    <n v="166"/>
    <n v="128.6"/>
    <n v="5.27"/>
    <n v="172"/>
    <n v="778"/>
    <n v="729"/>
    <s v="AWD"/>
    <n v="7"/>
    <s v="Sedan"/>
    <n v="17.100000000000001"/>
    <n v="1574"/>
    <n v="4"/>
    <n v="0"/>
    <x v="3"/>
    <x v="1"/>
    <n v="90740"/>
    <n v="3.3"/>
    <n v="4"/>
    <x v="1"/>
    <n v="3.56"/>
    <s v="High"/>
  </r>
  <r>
    <x v="5"/>
    <s v="EQG"/>
    <x v="1"/>
    <s v="Long Range"/>
    <n v="140186.97"/>
    <n v="89.7"/>
    <n v="340"/>
    <n v="103.8"/>
    <n v="5.28"/>
    <n v="162"/>
    <n v="842"/>
    <n v="758"/>
    <s v="FWD"/>
    <n v="5"/>
    <s v="Hatchback"/>
    <n v="24.7"/>
    <n v="1500"/>
    <n v="4"/>
    <n v="1"/>
    <x v="0"/>
    <x v="0"/>
    <n v="31832"/>
    <n v="4"/>
    <n v="8"/>
    <x v="1"/>
    <n v="3.79"/>
    <s v="High"/>
  </r>
  <r>
    <x v="2"/>
    <s v="Silverado EV"/>
    <x v="3"/>
    <s v="Premium"/>
    <n v="70759.08"/>
    <n v="83.3"/>
    <n v="278"/>
    <n v="111.1"/>
    <n v="6.63"/>
    <n v="157"/>
    <n v="1000"/>
    <n v="910"/>
    <s v="FWD"/>
    <n v="7"/>
    <s v="Coupe"/>
    <n v="27.5"/>
    <n v="1500"/>
    <n v="4"/>
    <n v="0"/>
    <x v="2"/>
    <x v="2"/>
    <n v="11923"/>
    <n v="3.6"/>
    <n v="4"/>
    <x v="1"/>
    <n v="3.34"/>
    <s v="Medium"/>
  </r>
  <r>
    <x v="9"/>
    <s v="Explorer EV"/>
    <x v="3"/>
    <s v="Standard"/>
    <n v="57566.92"/>
    <n v="54.3"/>
    <n v="184"/>
    <n v="70.099999999999994"/>
    <n v="7.12"/>
    <n v="140"/>
    <n v="608"/>
    <n v="572"/>
    <s v="FWD"/>
    <n v="5"/>
    <s v="SUV"/>
    <n v="48.4"/>
    <n v="1896"/>
    <n v="4"/>
    <n v="2"/>
    <x v="2"/>
    <x v="1"/>
    <n v="64630"/>
    <n v="3.2"/>
    <n v="5"/>
    <x v="2"/>
    <n v="3.39"/>
    <s v="High"/>
  </r>
  <r>
    <x v="10"/>
    <s v="i5"/>
    <x v="5"/>
    <s v="Long Range"/>
    <n v="125686.6"/>
    <n v="91.1"/>
    <n v="335"/>
    <n v="93"/>
    <n v="5.83"/>
    <n v="160"/>
    <n v="1000"/>
    <n v="891"/>
    <s v="AWD"/>
    <n v="5"/>
    <s v="Truck"/>
    <n v="65.5"/>
    <n v="2713"/>
    <n v="5"/>
    <n v="1"/>
    <x v="0"/>
    <x v="0"/>
    <n v="50691"/>
    <n v="3.7"/>
    <n v="6"/>
    <x v="1"/>
    <n v="3.68"/>
    <s v="High"/>
  </r>
  <r>
    <x v="4"/>
    <s v="Model S"/>
    <x v="2"/>
    <s v="Performance"/>
    <n v="64261.34"/>
    <n v="116.7"/>
    <n v="433"/>
    <n v="322.7"/>
    <n v="2.86"/>
    <n v="200"/>
    <n v="402"/>
    <n v="369"/>
    <s v="FWD"/>
    <n v="5"/>
    <s v="Hatchback"/>
    <n v="18.5"/>
    <n v="1894"/>
    <n v="3"/>
    <n v="2"/>
    <x v="2"/>
    <x v="1"/>
    <n v="145470"/>
    <n v="4.0999999999999996"/>
    <n v="5"/>
    <x v="0"/>
    <n v="3.71"/>
    <s v="High"/>
  </r>
  <r>
    <x v="3"/>
    <s v="Sportage EV"/>
    <x v="0"/>
    <s v="Base"/>
    <n v="31014.43"/>
    <n v="43.7"/>
    <n v="167"/>
    <n v="135.5"/>
    <n v="6.68"/>
    <n v="149"/>
    <n v="200"/>
    <n v="200"/>
    <s v="AWD"/>
    <n v="5"/>
    <s v="SUV"/>
    <n v="45.5"/>
    <n v="2106"/>
    <n v="5"/>
    <n v="1"/>
    <x v="3"/>
    <x v="3"/>
    <n v="68930"/>
    <n v="3.1"/>
    <n v="4"/>
    <x v="1"/>
    <n v="3.82"/>
    <s v="High"/>
  </r>
  <r>
    <x v="19"/>
    <n v="3"/>
    <x v="2"/>
    <s v="Standard"/>
    <n v="116528.23"/>
    <n v="75.599999999999994"/>
    <n v="282"/>
    <n v="77.2"/>
    <n v="7.01"/>
    <n v="144"/>
    <n v="886"/>
    <n v="811"/>
    <s v="AWD"/>
    <n v="5"/>
    <s v="Truck"/>
    <n v="76.900000000000006"/>
    <n v="2331"/>
    <n v="4"/>
    <n v="1"/>
    <x v="5"/>
    <x v="0"/>
    <n v="14704"/>
    <n v="3.6"/>
    <n v="4"/>
    <x v="2"/>
    <n v="3.73"/>
    <s v="Medium"/>
  </r>
  <r>
    <x v="12"/>
    <s v="EL6"/>
    <x v="2"/>
    <s v="Performance"/>
    <n v="144156.68"/>
    <n v="92.7"/>
    <n v="331"/>
    <n v="163.80000000000001"/>
    <n v="2.82"/>
    <n v="200"/>
    <n v="1000"/>
    <n v="847"/>
    <s v="AWD"/>
    <n v="5"/>
    <s v="Hatchback"/>
    <n v="23.3"/>
    <n v="1500"/>
    <n v="5"/>
    <n v="0"/>
    <x v="4"/>
    <x v="0"/>
    <n v="28598"/>
    <n v="3.8"/>
    <n v="3"/>
    <x v="0"/>
    <n v="3.57"/>
    <s v="High"/>
  </r>
  <r>
    <x v="4"/>
    <s v="Model X"/>
    <x v="2"/>
    <s v="Base"/>
    <n v="97305.17"/>
    <n v="40.9"/>
    <n v="150"/>
    <n v="341.6"/>
    <n v="6.29"/>
    <n v="158"/>
    <n v="732"/>
    <n v="658"/>
    <s v="FWD"/>
    <n v="7"/>
    <s v="Van"/>
    <n v="77.3"/>
    <n v="1545"/>
    <n v="3"/>
    <n v="3"/>
    <x v="2"/>
    <x v="2"/>
    <n v="135420"/>
    <n v="3.4"/>
    <n v="5"/>
    <x v="1"/>
    <n v="3.67"/>
    <s v="High"/>
  </r>
  <r>
    <x v="4"/>
    <s v="Cybertruck"/>
    <x v="4"/>
    <s v="Base"/>
    <n v="64613.56"/>
    <n v="49.8"/>
    <n v="175"/>
    <n v="218.9"/>
    <n v="7.79"/>
    <n v="130"/>
    <n v="429"/>
    <n v="370"/>
    <s v="RWD"/>
    <n v="5"/>
    <s v="Truck"/>
    <n v="57.4"/>
    <n v="2450"/>
    <n v="4"/>
    <n v="3"/>
    <x v="2"/>
    <x v="1"/>
    <n v="243316"/>
    <n v="3.5"/>
    <n v="5"/>
    <x v="2"/>
    <n v="3.51"/>
    <s v="High"/>
  </r>
  <r>
    <x v="4"/>
    <s v="Model Y"/>
    <x v="2"/>
    <s v="Premium"/>
    <n v="142240.31"/>
    <n v="46.3"/>
    <n v="166"/>
    <n v="245.7"/>
    <n v="5.49"/>
    <n v="152"/>
    <n v="1000"/>
    <n v="929"/>
    <s v="RWD"/>
    <n v="5"/>
    <s v="Truck"/>
    <n v="60.1"/>
    <n v="2813"/>
    <n v="5"/>
    <n v="2"/>
    <x v="2"/>
    <x v="0"/>
    <n v="461025"/>
    <n v="3.5"/>
    <n v="6"/>
    <x v="1"/>
    <n v="3.59"/>
    <s v="High"/>
  </r>
  <r>
    <x v="2"/>
    <s v="Blazer EV"/>
    <x v="0"/>
    <s v="Standard"/>
    <n v="45534.53"/>
    <n v="61.3"/>
    <n v="201"/>
    <n v="148.1"/>
    <n v="7.67"/>
    <n v="130"/>
    <n v="476"/>
    <n v="404"/>
    <s v="AWD"/>
    <n v="7"/>
    <s v="Sedan"/>
    <n v="38.9"/>
    <n v="1500"/>
    <n v="5"/>
    <n v="2"/>
    <x v="2"/>
    <x v="1"/>
    <n v="7422"/>
    <n v="3.3"/>
    <n v="3"/>
    <x v="2"/>
    <n v="3.28"/>
    <s v="Medium"/>
  </r>
  <r>
    <x v="9"/>
    <s v="F-150 Lightning"/>
    <x v="2"/>
    <s v="Long Range"/>
    <n v="88743.58"/>
    <n v="80.099999999999994"/>
    <n v="265"/>
    <n v="69.599999999999994"/>
    <n v="4.68"/>
    <n v="187"/>
    <n v="1000"/>
    <n v="902"/>
    <s v="FWD"/>
    <n v="2"/>
    <s v="Truck"/>
    <n v="78"/>
    <n v="2611"/>
    <n v="5"/>
    <n v="0"/>
    <x v="2"/>
    <x v="2"/>
    <n v="63330"/>
    <n v="3.6"/>
    <n v="4"/>
    <x v="1"/>
    <n v="3.31"/>
    <s v="High"/>
  </r>
  <r>
    <x v="7"/>
    <s v="Dolphin"/>
    <x v="4"/>
    <s v="Standard"/>
    <n v="36671.61"/>
    <n v="51.7"/>
    <n v="195"/>
    <n v="147.1"/>
    <n v="5.93"/>
    <n v="166"/>
    <n v="378"/>
    <n v="358"/>
    <s v="FWD"/>
    <n v="7"/>
    <s v="Truck"/>
    <n v="51.5"/>
    <n v="2585"/>
    <n v="4"/>
    <n v="1"/>
    <x v="4"/>
    <x v="1"/>
    <n v="112221"/>
    <n v="3.4"/>
    <n v="4"/>
    <x v="1"/>
    <n v="3.77"/>
    <s v="High"/>
  </r>
  <r>
    <x v="8"/>
    <s v="Ioniq 5"/>
    <x v="3"/>
    <s v="Standard"/>
    <n v="37110.33"/>
    <n v="75.5"/>
    <n v="266"/>
    <n v="79.400000000000006"/>
    <n v="7.93"/>
    <n v="130"/>
    <n v="269"/>
    <n v="275"/>
    <s v="AWD"/>
    <n v="7"/>
    <s v="Hatchback"/>
    <n v="31.6"/>
    <n v="1594"/>
    <n v="5"/>
    <n v="1"/>
    <x v="3"/>
    <x v="1"/>
    <n v="143597"/>
    <n v="3.5"/>
    <n v="4"/>
    <x v="2"/>
    <n v="3.52"/>
    <s v="High"/>
  </r>
  <r>
    <x v="5"/>
    <s v="EQE"/>
    <x v="3"/>
    <s v="Performance"/>
    <n v="103655.43"/>
    <n v="79.599999999999994"/>
    <n v="307"/>
    <n v="201.7"/>
    <n v="3.25"/>
    <n v="197"/>
    <n v="574"/>
    <n v="523"/>
    <s v="RWD"/>
    <n v="7"/>
    <s v="Van"/>
    <n v="62.1"/>
    <n v="1865"/>
    <n v="4"/>
    <n v="2"/>
    <x v="0"/>
    <x v="0"/>
    <n v="54248"/>
    <n v="3.9"/>
    <n v="8"/>
    <x v="0"/>
    <n v="3.86"/>
    <s v="High"/>
  </r>
  <r>
    <x v="2"/>
    <s v="Blazer EV"/>
    <x v="2"/>
    <s v="Performance"/>
    <n v="41328.5"/>
    <n v="93.2"/>
    <n v="342"/>
    <n v="182.4"/>
    <n v="4.37"/>
    <n v="186"/>
    <n v="448"/>
    <n v="355"/>
    <s v="RWD"/>
    <n v="5"/>
    <s v="Hatchback"/>
    <n v="26.7"/>
    <n v="1818"/>
    <n v="5"/>
    <n v="2"/>
    <x v="2"/>
    <x v="1"/>
    <n v="18258"/>
    <n v="3.9"/>
    <n v="4"/>
    <x v="1"/>
    <n v="3.67"/>
    <s v="Medium"/>
  </r>
  <r>
    <x v="3"/>
    <s v="Picanto EV"/>
    <x v="3"/>
    <s v="Base"/>
    <n v="28245.98"/>
    <n v="68.8"/>
    <n v="222"/>
    <n v="54.1"/>
    <n v="5.42"/>
    <n v="171"/>
    <n v="171"/>
    <n v="200"/>
    <s v="RWD"/>
    <n v="5"/>
    <s v="Sedan"/>
    <n v="37.200000000000003"/>
    <n v="1730"/>
    <n v="4"/>
    <n v="0"/>
    <x v="3"/>
    <x v="3"/>
    <n v="75515"/>
    <n v="3.3"/>
    <n v="4"/>
    <x v="1"/>
    <n v="3.23"/>
    <s v="High"/>
  </r>
  <r>
    <x v="3"/>
    <s v="Niro EV"/>
    <x v="3"/>
    <s v="Base"/>
    <n v="55056.42"/>
    <n v="81"/>
    <n v="274"/>
    <n v="99.8"/>
    <n v="6.27"/>
    <n v="160"/>
    <n v="541"/>
    <n v="502"/>
    <s v="RWD"/>
    <n v="7"/>
    <s v="Coupe"/>
    <n v="20.3"/>
    <n v="1500"/>
    <n v="4"/>
    <n v="0"/>
    <x v="3"/>
    <x v="1"/>
    <n v="118841"/>
    <n v="3.4"/>
    <n v="3"/>
    <x v="1"/>
    <n v="3.38"/>
    <s v="High"/>
  </r>
  <r>
    <x v="8"/>
    <s v="Kona Electric"/>
    <x v="2"/>
    <s v="Premium"/>
    <n v="69523.19"/>
    <n v="77.900000000000006"/>
    <n v="274"/>
    <n v="115.1"/>
    <n v="6.78"/>
    <n v="145"/>
    <n v="852"/>
    <n v="751"/>
    <s v="RWD"/>
    <n v="7"/>
    <s v="Hatchback"/>
    <n v="18.399999999999999"/>
    <n v="1807"/>
    <n v="4"/>
    <n v="2"/>
    <x v="3"/>
    <x v="2"/>
    <n v="133082"/>
    <n v="3.5"/>
    <n v="4"/>
    <x v="1"/>
    <n v="3.52"/>
    <s v="High"/>
  </r>
  <r>
    <x v="7"/>
    <s v="Atto 3"/>
    <x v="2"/>
    <s v="Long Range"/>
    <n v="25253.73"/>
    <n v="99.1"/>
    <n v="355"/>
    <n v="139.69999999999999"/>
    <n v="5.45"/>
    <n v="167"/>
    <n v="197"/>
    <n v="200"/>
    <s v="FWD"/>
    <n v="7"/>
    <s v="Van"/>
    <n v="73.400000000000006"/>
    <n v="1891"/>
    <n v="4"/>
    <n v="0"/>
    <x v="4"/>
    <x v="3"/>
    <n v="158999"/>
    <n v="3.6"/>
    <n v="4"/>
    <x v="1"/>
    <n v="3.58"/>
    <s v="High"/>
  </r>
  <r>
    <x v="3"/>
    <s v="Sportage EV"/>
    <x v="1"/>
    <s v="Long Range"/>
    <n v="89447.77"/>
    <n v="97.2"/>
    <n v="328"/>
    <n v="73.099999999999994"/>
    <n v="4.03"/>
    <n v="187"/>
    <n v="1000"/>
    <n v="921"/>
    <s v="FWD"/>
    <n v="5"/>
    <s v="SUV"/>
    <n v="69.599999999999994"/>
    <n v="2041"/>
    <n v="5"/>
    <n v="0"/>
    <x v="3"/>
    <x v="2"/>
    <n v="135902"/>
    <n v="3.7"/>
    <n v="4"/>
    <x v="1"/>
    <n v="3.37"/>
    <s v="High"/>
  </r>
  <r>
    <x v="10"/>
    <s v="iX"/>
    <x v="3"/>
    <s v="Base"/>
    <n v="76098.899999999994"/>
    <n v="67.8"/>
    <n v="221"/>
    <n v="149.80000000000001"/>
    <n v="6.59"/>
    <n v="150"/>
    <n v="535"/>
    <n v="453"/>
    <s v="FWD"/>
    <n v="5"/>
    <s v="SUV"/>
    <n v="40.4"/>
    <n v="1969"/>
    <n v="5"/>
    <n v="1"/>
    <x v="0"/>
    <x v="2"/>
    <n v="36766"/>
    <n v="3.4"/>
    <n v="8"/>
    <x v="1"/>
    <n v="3.26"/>
    <s v="High"/>
  </r>
  <r>
    <x v="11"/>
    <s v="Q4 e-tron"/>
    <x v="2"/>
    <s v="Base"/>
    <n v="103666.6"/>
    <n v="66.400000000000006"/>
    <n v="243"/>
    <n v="142.19999999999999"/>
    <n v="6.98"/>
    <n v="141"/>
    <n v="742"/>
    <n v="633"/>
    <s v="FWD"/>
    <n v="5"/>
    <s v="Truck"/>
    <n v="64.099999999999994"/>
    <n v="2348"/>
    <n v="4"/>
    <n v="2"/>
    <x v="0"/>
    <x v="0"/>
    <n v="59232"/>
    <n v="3.4"/>
    <n v="6"/>
    <x v="1"/>
    <n v="3.66"/>
    <s v="High"/>
  </r>
  <r>
    <x v="10"/>
    <s v="i4"/>
    <x v="2"/>
    <s v="Standard"/>
    <n v="86675.29"/>
    <n v="62.4"/>
    <n v="204"/>
    <n v="145.80000000000001"/>
    <n v="5.0999999999999996"/>
    <n v="172"/>
    <n v="640"/>
    <n v="578"/>
    <s v="FWD"/>
    <n v="5"/>
    <s v="Truck"/>
    <n v="67.2"/>
    <n v="2345"/>
    <n v="4"/>
    <n v="2"/>
    <x v="0"/>
    <x v="2"/>
    <n v="72572"/>
    <n v="3.4"/>
    <n v="8"/>
    <x v="1"/>
    <n v="3.27"/>
    <s v="High"/>
  </r>
  <r>
    <x v="2"/>
    <s v="Bolt EUV"/>
    <x v="4"/>
    <s v="Standard"/>
    <n v="64473.77"/>
    <n v="77.599999999999994"/>
    <n v="293"/>
    <n v="135.5"/>
    <n v="6.86"/>
    <n v="143"/>
    <n v="834"/>
    <n v="769"/>
    <s v="FWD"/>
    <n v="5"/>
    <s v="Truck"/>
    <n v="66"/>
    <n v="2241"/>
    <n v="4"/>
    <n v="0"/>
    <x v="2"/>
    <x v="1"/>
    <n v="9147"/>
    <n v="3.7"/>
    <n v="4"/>
    <x v="1"/>
    <n v="3.78"/>
    <s v="Medium"/>
  </r>
  <r>
    <x v="4"/>
    <s v="Cybertruck"/>
    <x v="3"/>
    <s v="Base"/>
    <n v="55743.68"/>
    <n v="46.8"/>
    <n v="183"/>
    <n v="220.8"/>
    <n v="5.76"/>
    <n v="168"/>
    <n v="398"/>
    <n v="339"/>
    <s v="AWD"/>
    <n v="5"/>
    <s v="Truck"/>
    <n v="52.1"/>
    <n v="2748"/>
    <n v="4"/>
    <n v="2"/>
    <x v="2"/>
    <x v="1"/>
    <n v="237895"/>
    <n v="3.3"/>
    <n v="5"/>
    <x v="1"/>
    <n v="3.91"/>
    <s v="High"/>
  </r>
  <r>
    <x v="8"/>
    <s v="i30"/>
    <x v="3"/>
    <s v="Performance"/>
    <n v="72352.97"/>
    <n v="86.6"/>
    <n v="289"/>
    <n v="157.1"/>
    <n v="3.15"/>
    <n v="200"/>
    <n v="921"/>
    <n v="811"/>
    <s v="RWD"/>
    <n v="5"/>
    <s v="Van"/>
    <n v="63.6"/>
    <n v="1868"/>
    <n v="3"/>
    <n v="0"/>
    <x v="3"/>
    <x v="2"/>
    <n v="107166"/>
    <n v="3.5"/>
    <n v="4"/>
    <x v="0"/>
    <n v="3.34"/>
    <s v="High"/>
  </r>
  <r>
    <x v="4"/>
    <s v="Model 3"/>
    <x v="2"/>
    <s v="Performance"/>
    <n v="92846.92"/>
    <n v="75.3"/>
    <n v="265"/>
    <n v="226.2"/>
    <n v="4.28"/>
    <n v="180"/>
    <n v="653"/>
    <n v="618"/>
    <s v="RWD"/>
    <n v="5"/>
    <s v="Sedan"/>
    <n v="21.8"/>
    <n v="1500"/>
    <n v="3"/>
    <n v="2"/>
    <x v="2"/>
    <x v="2"/>
    <n v="187727"/>
    <n v="3.9"/>
    <n v="4"/>
    <x v="1"/>
    <n v="3.52"/>
    <s v="High"/>
  </r>
  <r>
    <x v="7"/>
    <s v="Dolphin"/>
    <x v="3"/>
    <s v="Base"/>
    <n v="64952.61"/>
    <n v="79.2"/>
    <n v="299"/>
    <n v="135.5"/>
    <n v="7.42"/>
    <n v="144"/>
    <n v="769"/>
    <n v="669"/>
    <s v="AWD"/>
    <n v="7"/>
    <s v="Coupe"/>
    <n v="35"/>
    <n v="1563"/>
    <n v="5"/>
    <n v="2"/>
    <x v="4"/>
    <x v="1"/>
    <n v="246706"/>
    <n v="3.8"/>
    <n v="4"/>
    <x v="2"/>
    <n v="3.78"/>
    <s v="High"/>
  </r>
  <r>
    <x v="2"/>
    <s v="Equinox EV"/>
    <x v="2"/>
    <s v="Base"/>
    <n v="32869.42"/>
    <n v="73.8"/>
    <n v="276"/>
    <n v="87.4"/>
    <n v="5.87"/>
    <n v="157"/>
    <n v="282"/>
    <n v="288"/>
    <s v="FWD"/>
    <n v="5"/>
    <s v="SUV"/>
    <n v="40"/>
    <n v="2125"/>
    <n v="3"/>
    <n v="0"/>
    <x v="2"/>
    <x v="3"/>
    <n v="10258"/>
    <n v="3.6"/>
    <n v="4"/>
    <x v="1"/>
    <n v="3.74"/>
    <s v="Medium"/>
  </r>
  <r>
    <x v="15"/>
    <s v="C40 Recharge"/>
    <x v="1"/>
    <s v="Base"/>
    <n v="46215.01"/>
    <n v="45.9"/>
    <n v="150"/>
    <n v="127.8"/>
    <n v="5.43"/>
    <n v="165"/>
    <n v="215"/>
    <n v="200"/>
    <s v="FWD"/>
    <n v="5"/>
    <s v="Hatchback"/>
    <n v="20.7"/>
    <n v="1790"/>
    <n v="5"/>
    <n v="1"/>
    <x v="5"/>
    <x v="1"/>
    <n v="17974"/>
    <n v="3.3"/>
    <n v="3"/>
    <x v="1"/>
    <n v="3.27"/>
    <s v="Medium"/>
  </r>
  <r>
    <x v="4"/>
    <s v="Model 3"/>
    <x v="3"/>
    <s v="Premium"/>
    <n v="109716.37"/>
    <n v="72.900000000000006"/>
    <n v="254"/>
    <n v="269"/>
    <n v="7.48"/>
    <n v="140"/>
    <n v="761"/>
    <n v="696"/>
    <s v="AWD"/>
    <n v="7"/>
    <s v="Truck"/>
    <n v="75.7"/>
    <n v="2588"/>
    <n v="5"/>
    <n v="2"/>
    <x v="2"/>
    <x v="0"/>
    <n v="176733"/>
    <n v="3.8"/>
    <n v="4"/>
    <x v="2"/>
    <n v="3.48"/>
    <s v="High"/>
  </r>
  <r>
    <x v="0"/>
    <s v="ID.4"/>
    <x v="1"/>
    <s v="Long Range"/>
    <n v="82795.09"/>
    <n v="103.2"/>
    <n v="345"/>
    <n v="103.7"/>
    <n v="4.66"/>
    <n v="181"/>
    <n v="931"/>
    <n v="861"/>
    <s v="AWD"/>
    <n v="7"/>
    <s v="Coupe"/>
    <n v="20.5"/>
    <n v="1581"/>
    <n v="4"/>
    <n v="0"/>
    <x v="0"/>
    <x v="2"/>
    <n v="263434"/>
    <n v="3.5"/>
    <n v="5"/>
    <x v="1"/>
    <n v="3.34"/>
    <s v="High"/>
  </r>
  <r>
    <x v="9"/>
    <s v="Mustang Mach-E"/>
    <x v="5"/>
    <s v="Long Range"/>
    <n v="61924.92"/>
    <n v="108.2"/>
    <n v="354"/>
    <n v="77.3"/>
    <n v="5.13"/>
    <n v="168"/>
    <n v="651"/>
    <n v="587"/>
    <s v="FWD"/>
    <n v="7"/>
    <s v="Van"/>
    <n v="68.3"/>
    <n v="1684"/>
    <n v="4"/>
    <n v="1"/>
    <x v="2"/>
    <x v="1"/>
    <n v="37462"/>
    <n v="3.8"/>
    <n v="5"/>
    <x v="1"/>
    <n v="3.27"/>
    <s v="High"/>
  </r>
  <r>
    <x v="7"/>
    <s v="Leaf 50X"/>
    <x v="3"/>
    <s v="Long Range"/>
    <n v="51480.21"/>
    <n v="84.7"/>
    <n v="320"/>
    <n v="50.9"/>
    <n v="5.99"/>
    <n v="158"/>
    <n v="596"/>
    <n v="507"/>
    <s v="AWD"/>
    <n v="5"/>
    <s v="Hatchback"/>
    <n v="21.7"/>
    <n v="1730"/>
    <n v="5"/>
    <n v="0"/>
    <x v="4"/>
    <x v="1"/>
    <n v="132415"/>
    <n v="3.4"/>
    <n v="5"/>
    <x v="1"/>
    <n v="3.78"/>
    <s v="High"/>
  </r>
  <r>
    <x v="3"/>
    <s v="Sportage EV"/>
    <x v="5"/>
    <s v="Standard"/>
    <n v="75695.59"/>
    <n v="58.1"/>
    <n v="208"/>
    <n v="85.2"/>
    <n v="6.28"/>
    <n v="151"/>
    <n v="904"/>
    <n v="810"/>
    <s v="AWD"/>
    <n v="5"/>
    <s v="SUV"/>
    <n v="56.3"/>
    <n v="1910"/>
    <n v="4"/>
    <n v="2"/>
    <x v="3"/>
    <x v="2"/>
    <n v="99994"/>
    <n v="3.4"/>
    <n v="4"/>
    <x v="1"/>
    <n v="3.58"/>
    <s v="High"/>
  </r>
  <r>
    <x v="2"/>
    <s v="Blazer EV"/>
    <x v="0"/>
    <s v="Base"/>
    <n v="30572.73"/>
    <n v="55.2"/>
    <n v="208"/>
    <n v="113.6"/>
    <n v="7.82"/>
    <n v="134"/>
    <n v="222"/>
    <n v="209"/>
    <s v="AWD"/>
    <n v="7"/>
    <s v="Coupe"/>
    <n v="34.1"/>
    <n v="1561"/>
    <n v="4"/>
    <n v="0"/>
    <x v="2"/>
    <x v="3"/>
    <n v="13459"/>
    <n v="3.3"/>
    <n v="4"/>
    <x v="2"/>
    <n v="3.77"/>
    <s v="Medium"/>
  </r>
  <r>
    <x v="3"/>
    <s v="Sportage EV"/>
    <x v="4"/>
    <s v="Performance"/>
    <n v="92296.55"/>
    <n v="118.8"/>
    <n v="403"/>
    <n v="218.8"/>
    <n v="3.5"/>
    <n v="197"/>
    <n v="1000"/>
    <n v="906"/>
    <s v="RWD"/>
    <n v="5"/>
    <s v="SUV"/>
    <n v="49.7"/>
    <n v="2329"/>
    <n v="5"/>
    <n v="0"/>
    <x v="3"/>
    <x v="2"/>
    <n v="79309"/>
    <n v="4"/>
    <n v="4"/>
    <x v="0"/>
    <n v="3.39"/>
    <s v="High"/>
  </r>
  <r>
    <x v="4"/>
    <s v="Model S"/>
    <x v="0"/>
    <s v="Base"/>
    <n v="41460.269999999997"/>
    <n v="53.8"/>
    <n v="191"/>
    <n v="277"/>
    <n v="6.4"/>
    <n v="155"/>
    <n v="277"/>
    <n v="278"/>
    <s v="RWD"/>
    <n v="5"/>
    <s v="Van"/>
    <n v="78.400000000000006"/>
    <n v="1500"/>
    <n v="4"/>
    <n v="2"/>
    <x v="2"/>
    <x v="1"/>
    <n v="119951"/>
    <n v="3.6"/>
    <n v="4"/>
    <x v="1"/>
    <n v="3.55"/>
    <s v="High"/>
  </r>
  <r>
    <x v="0"/>
    <s v="ID.3"/>
    <x v="3"/>
    <s v="Standard"/>
    <n v="53934.12"/>
    <n v="54.5"/>
    <n v="187"/>
    <n v="68.5"/>
    <n v="6.33"/>
    <n v="143"/>
    <n v="534"/>
    <n v="464"/>
    <s v="FWD"/>
    <n v="7"/>
    <s v="Sedan"/>
    <n v="33.700000000000003"/>
    <n v="1763"/>
    <n v="5"/>
    <n v="1"/>
    <x v="0"/>
    <x v="1"/>
    <n v="220093"/>
    <n v="3.4"/>
    <n v="3"/>
    <x v="1"/>
    <n v="3.43"/>
    <s v="High"/>
  </r>
  <r>
    <x v="9"/>
    <s v="Explorer EV"/>
    <x v="2"/>
    <s v="Premium"/>
    <n v="86809.78"/>
    <n v="64"/>
    <n v="201"/>
    <n v="144.5"/>
    <n v="7.58"/>
    <n v="126"/>
    <n v="1000"/>
    <n v="931"/>
    <s v="AWD"/>
    <n v="7"/>
    <s v="Truck"/>
    <n v="78.599999999999994"/>
    <n v="2676"/>
    <n v="4"/>
    <n v="2"/>
    <x v="2"/>
    <x v="2"/>
    <n v="40976"/>
    <n v="3"/>
    <n v="3"/>
    <x v="2"/>
    <n v="3.14"/>
    <s v="High"/>
  </r>
  <r>
    <x v="3"/>
    <s v="EV9"/>
    <x v="2"/>
    <s v="Performance"/>
    <n v="107669.85"/>
    <n v="101.4"/>
    <n v="345"/>
    <n v="247.6"/>
    <n v="2.61"/>
    <n v="200"/>
    <n v="1000"/>
    <n v="905"/>
    <s v="AWD"/>
    <n v="7"/>
    <s v="SUV"/>
    <n v="42.4"/>
    <n v="1870"/>
    <n v="5"/>
    <n v="0"/>
    <x v="3"/>
    <x v="0"/>
    <n v="128063"/>
    <n v="4.2"/>
    <n v="4"/>
    <x v="0"/>
    <n v="3.4"/>
    <s v="High"/>
  </r>
  <r>
    <x v="4"/>
    <s v="Cybertruck"/>
    <x v="3"/>
    <s v="Premium"/>
    <n v="113505.79"/>
    <n v="80.7"/>
    <n v="286"/>
    <n v="323.10000000000002"/>
    <n v="6.52"/>
    <n v="155"/>
    <n v="854"/>
    <n v="760"/>
    <s v="RWD"/>
    <n v="5"/>
    <s v="Truck"/>
    <n v="51.4"/>
    <n v="2737"/>
    <n v="4"/>
    <n v="3"/>
    <x v="2"/>
    <x v="0"/>
    <n v="162101"/>
    <n v="3.9"/>
    <n v="5"/>
    <x v="1"/>
    <n v="3.54"/>
    <s v="High"/>
  </r>
  <r>
    <x v="2"/>
    <s v="Bolt EV"/>
    <x v="2"/>
    <s v="Standard"/>
    <n v="37659.35"/>
    <n v="52.6"/>
    <n v="166"/>
    <n v="66.3"/>
    <n v="6.06"/>
    <n v="154"/>
    <n v="425"/>
    <n v="341"/>
    <s v="AWD"/>
    <n v="7"/>
    <s v="Sedan"/>
    <n v="29.7"/>
    <n v="1500"/>
    <n v="5"/>
    <n v="0"/>
    <x v="2"/>
    <x v="1"/>
    <n v="14766"/>
    <n v="3.2"/>
    <n v="4"/>
    <x v="1"/>
    <n v="3.16"/>
    <s v="Medium"/>
  </r>
  <r>
    <x v="4"/>
    <s v="Cybertruck"/>
    <x v="3"/>
    <s v="Long Range"/>
    <n v="118632.47"/>
    <n v="86.9"/>
    <n v="300"/>
    <n v="238.9"/>
    <n v="4.75"/>
    <n v="168"/>
    <n v="867"/>
    <n v="784"/>
    <s v="FWD"/>
    <n v="5"/>
    <s v="Truck"/>
    <n v="62.8"/>
    <n v="2731"/>
    <n v="5"/>
    <n v="2"/>
    <x v="2"/>
    <x v="0"/>
    <n v="209669"/>
    <n v="4"/>
    <n v="5"/>
    <x v="1"/>
    <n v="3.45"/>
    <s v="High"/>
  </r>
  <r>
    <x v="2"/>
    <s v="Bolt EUV"/>
    <x v="5"/>
    <s v="Premium"/>
    <n v="71451.17"/>
    <n v="77"/>
    <n v="267"/>
    <n v="102.3"/>
    <n v="7.57"/>
    <n v="130"/>
    <n v="979"/>
    <n v="856"/>
    <s v="AWD"/>
    <n v="7"/>
    <s v="Van"/>
    <n v="71.5"/>
    <n v="1633"/>
    <n v="5"/>
    <n v="0"/>
    <x v="2"/>
    <x v="2"/>
    <n v="1367"/>
    <n v="3.5"/>
    <n v="3"/>
    <x v="2"/>
    <n v="3.47"/>
    <s v="Low"/>
  </r>
  <r>
    <x v="4"/>
    <s v="Model S"/>
    <x v="3"/>
    <s v="Base"/>
    <n v="66113.759999999995"/>
    <n v="42.6"/>
    <n v="168"/>
    <n v="261"/>
    <n v="7.33"/>
    <n v="137"/>
    <n v="469"/>
    <n v="481"/>
    <s v="RWD"/>
    <n v="7"/>
    <s v="Sedan"/>
    <n v="34"/>
    <n v="1665"/>
    <n v="4"/>
    <n v="2"/>
    <x v="2"/>
    <x v="2"/>
    <n v="185813"/>
    <n v="3.3"/>
    <n v="5"/>
    <x v="2"/>
    <n v="3.94"/>
    <s v="High"/>
  </r>
  <r>
    <x v="1"/>
    <s v="bZ4X"/>
    <x v="1"/>
    <s v="Premium"/>
    <n v="46862.78"/>
    <n v="63.4"/>
    <n v="215"/>
    <n v="101.5"/>
    <n v="6.6"/>
    <n v="151"/>
    <n v="390"/>
    <n v="345"/>
    <s v="AWD"/>
    <n v="7"/>
    <s v="Sedan"/>
    <n v="26.9"/>
    <n v="1614"/>
    <n v="5"/>
    <n v="0"/>
    <x v="1"/>
    <x v="1"/>
    <n v="1920"/>
    <n v="3.4"/>
    <n v="4"/>
    <x v="1"/>
    <n v="3.39"/>
    <s v="Low"/>
  </r>
  <r>
    <x v="0"/>
    <s v="ID.3"/>
    <x v="0"/>
    <s v="Performance"/>
    <n v="70444.740000000005"/>
    <n v="90.5"/>
    <n v="338"/>
    <n v="176.8"/>
    <n v="4.38"/>
    <n v="185"/>
    <n v="775"/>
    <n v="702"/>
    <s v="FWD"/>
    <n v="7"/>
    <s v="Truck"/>
    <n v="67.099999999999994"/>
    <n v="2184"/>
    <n v="4"/>
    <n v="2"/>
    <x v="0"/>
    <x v="2"/>
    <n v="214221"/>
    <n v="3.7"/>
    <n v="4"/>
    <x v="1"/>
    <n v="3.73"/>
    <s v="High"/>
  </r>
  <r>
    <x v="7"/>
    <s v="Qin"/>
    <x v="1"/>
    <s v="Long Range"/>
    <n v="77020.14"/>
    <n v="86.6"/>
    <n v="333"/>
    <n v="87.9"/>
    <n v="5.6"/>
    <n v="161"/>
    <n v="792"/>
    <n v="733"/>
    <s v="FWD"/>
    <n v="5"/>
    <s v="Van"/>
    <n v="74.400000000000006"/>
    <n v="1500"/>
    <n v="5"/>
    <n v="1"/>
    <x v="4"/>
    <x v="2"/>
    <n v="167490"/>
    <n v="3.6"/>
    <n v="4"/>
    <x v="1"/>
    <n v="3.85"/>
    <s v="High"/>
  </r>
  <r>
    <x v="4"/>
    <s v="Model S"/>
    <x v="3"/>
    <s v="Performance"/>
    <n v="169177.37"/>
    <n v="89.9"/>
    <n v="303"/>
    <n v="309.60000000000002"/>
    <n v="3.53"/>
    <n v="200"/>
    <n v="1000"/>
    <n v="898"/>
    <s v="RWD"/>
    <n v="7"/>
    <s v="SUV"/>
    <n v="66.8"/>
    <n v="2131"/>
    <n v="4"/>
    <n v="3"/>
    <x v="2"/>
    <x v="0"/>
    <n v="130032"/>
    <n v="3.7"/>
    <n v="6"/>
    <x v="0"/>
    <n v="3.37"/>
    <s v="High"/>
  </r>
  <r>
    <x v="7"/>
    <s v="Atto 3"/>
    <x v="3"/>
    <s v="Base"/>
    <n v="39603.870000000003"/>
    <n v="75.099999999999994"/>
    <n v="266"/>
    <n v="100.7"/>
    <n v="5.93"/>
    <n v="158"/>
    <n v="525"/>
    <n v="432"/>
    <s v="AWD"/>
    <n v="5"/>
    <s v="Van"/>
    <n v="76.7"/>
    <n v="1754"/>
    <n v="5"/>
    <n v="0"/>
    <x v="4"/>
    <x v="1"/>
    <n v="195375"/>
    <n v="3.5"/>
    <n v="4"/>
    <x v="1"/>
    <n v="3.54"/>
    <s v="High"/>
  </r>
  <r>
    <x v="11"/>
    <s v="Q4 e-tron"/>
    <x v="0"/>
    <s v="Base"/>
    <n v="48523.32"/>
    <n v="82.6"/>
    <n v="283"/>
    <n v="91.7"/>
    <n v="7.19"/>
    <n v="137"/>
    <n v="157"/>
    <n v="200"/>
    <s v="AWD"/>
    <n v="5"/>
    <s v="SUV"/>
    <n v="55.9"/>
    <n v="2208"/>
    <n v="5"/>
    <n v="2"/>
    <x v="0"/>
    <x v="1"/>
    <n v="57366"/>
    <n v="3.6"/>
    <n v="6"/>
    <x v="2"/>
    <n v="3.43"/>
    <s v="High"/>
  </r>
  <r>
    <x v="18"/>
    <s v="SU7"/>
    <x v="4"/>
    <s v="Long Range"/>
    <n v="49221.78"/>
    <n v="80.400000000000006"/>
    <n v="266"/>
    <n v="104.9"/>
    <n v="4.6500000000000004"/>
    <n v="176"/>
    <n v="353"/>
    <n v="314"/>
    <s v="AWD"/>
    <n v="5"/>
    <s v="Hatchback"/>
    <n v="28.7"/>
    <n v="1717"/>
    <n v="5"/>
    <n v="2"/>
    <x v="4"/>
    <x v="1"/>
    <n v="23659"/>
    <n v="3.6"/>
    <n v="3"/>
    <x v="1"/>
    <n v="3.31"/>
    <s v="High"/>
  </r>
  <r>
    <x v="0"/>
    <s v="ID.3"/>
    <x v="0"/>
    <s v="Premium"/>
    <n v="57817.4"/>
    <n v="40.4"/>
    <n v="167"/>
    <n v="88.6"/>
    <n v="5.78"/>
    <n v="156"/>
    <n v="536"/>
    <n v="511"/>
    <s v="AWD"/>
    <n v="5"/>
    <s v="Truck"/>
    <n v="70.7"/>
    <n v="2281"/>
    <n v="5"/>
    <n v="1"/>
    <x v="0"/>
    <x v="1"/>
    <n v="227778"/>
    <n v="3.4"/>
    <n v="3"/>
    <x v="1"/>
    <n v="4.13"/>
    <s v="High"/>
  </r>
  <r>
    <x v="0"/>
    <s v="ID. Buzz"/>
    <x v="6"/>
    <s v="Standard"/>
    <n v="72240.69"/>
    <n v="59.6"/>
    <n v="178"/>
    <n v="99.9"/>
    <n v="6.94"/>
    <n v="143"/>
    <n v="750"/>
    <n v="689"/>
    <s v="FWD"/>
    <n v="5"/>
    <s v="Sedan"/>
    <n v="34.799999999999997"/>
    <n v="1734"/>
    <n v="4"/>
    <n v="1"/>
    <x v="0"/>
    <x v="2"/>
    <n v="255858"/>
    <n v="3.3"/>
    <n v="3"/>
    <x v="1"/>
    <n v="2.99"/>
    <s v="High"/>
  </r>
  <r>
    <x v="2"/>
    <s v="Equinox EV"/>
    <x v="1"/>
    <s v="Premium"/>
    <n v="82968.06"/>
    <n v="75.400000000000006"/>
    <n v="253"/>
    <n v="145.5"/>
    <n v="5.92"/>
    <n v="163"/>
    <n v="1000"/>
    <n v="913"/>
    <s v="AWD"/>
    <n v="7"/>
    <s v="SUV"/>
    <n v="36.1"/>
    <n v="2053"/>
    <n v="4"/>
    <n v="0"/>
    <x v="2"/>
    <x v="2"/>
    <n v="7825"/>
    <n v="3.4"/>
    <n v="4"/>
    <x v="1"/>
    <n v="3.36"/>
    <s v="Medium"/>
  </r>
  <r>
    <x v="11"/>
    <s v="e-tron"/>
    <x v="0"/>
    <s v="Long Range"/>
    <n v="82135.990000000005"/>
    <n v="78.3"/>
    <n v="272"/>
    <n v="70.7"/>
    <n v="4.67"/>
    <n v="170"/>
    <n v="456"/>
    <n v="415"/>
    <s v="AWD"/>
    <n v="5"/>
    <s v="Sedan"/>
    <n v="35.799999999999997"/>
    <n v="1600"/>
    <n v="4"/>
    <n v="1"/>
    <x v="0"/>
    <x v="2"/>
    <n v="56851"/>
    <n v="3.7"/>
    <n v="6"/>
    <x v="1"/>
    <n v="3.47"/>
    <s v="High"/>
  </r>
  <r>
    <x v="3"/>
    <s v="EV9"/>
    <x v="6"/>
    <s v="Base"/>
    <n v="33055.17"/>
    <n v="58.2"/>
    <n v="200"/>
    <n v="83.2"/>
    <n v="6.11"/>
    <n v="158"/>
    <n v="176"/>
    <n v="200"/>
    <s v="AWD"/>
    <n v="7"/>
    <s v="SUV"/>
    <n v="55.5"/>
    <n v="2035"/>
    <n v="4"/>
    <n v="0"/>
    <x v="3"/>
    <x v="3"/>
    <n v="139463"/>
    <n v="3.3"/>
    <n v="3"/>
    <x v="1"/>
    <n v="3.44"/>
    <s v="High"/>
  </r>
  <r>
    <x v="0"/>
    <s v="ID.4"/>
    <x v="1"/>
    <s v="Performance"/>
    <n v="97372.99"/>
    <n v="74.099999999999994"/>
    <n v="240"/>
    <n v="226"/>
    <n v="2.5"/>
    <n v="200"/>
    <n v="1000"/>
    <n v="878"/>
    <s v="AWD"/>
    <n v="5"/>
    <s v="Sedan"/>
    <n v="26"/>
    <n v="1616"/>
    <n v="4"/>
    <n v="0"/>
    <x v="0"/>
    <x v="2"/>
    <n v="246097"/>
    <n v="3.3"/>
    <n v="4"/>
    <x v="0"/>
    <n v="3.24"/>
    <s v="High"/>
  </r>
  <r>
    <x v="0"/>
    <s v="ID.3"/>
    <x v="2"/>
    <s v="Long Range"/>
    <n v="62606.34"/>
    <n v="101.2"/>
    <n v="370"/>
    <n v="104.7"/>
    <n v="4.37"/>
    <n v="186"/>
    <n v="640"/>
    <n v="593"/>
    <s v="RWD"/>
    <n v="5"/>
    <s v="Coupe"/>
    <n v="27.3"/>
    <n v="1892"/>
    <n v="4"/>
    <n v="0"/>
    <x v="0"/>
    <x v="1"/>
    <n v="233529"/>
    <n v="3.8"/>
    <n v="3"/>
    <x v="1"/>
    <n v="3.66"/>
    <s v="High"/>
  </r>
  <r>
    <x v="2"/>
    <s v="Silverado EV"/>
    <x v="2"/>
    <s v="Premium"/>
    <n v="80871.59"/>
    <n v="62.6"/>
    <n v="196"/>
    <n v="135.19999999999999"/>
    <n v="5.27"/>
    <n v="170"/>
    <n v="1000"/>
    <n v="911"/>
    <s v="AWD"/>
    <n v="5"/>
    <s v="Hatchback"/>
    <n v="15.1"/>
    <n v="1778"/>
    <n v="3"/>
    <n v="1"/>
    <x v="2"/>
    <x v="2"/>
    <n v="24840"/>
    <n v="3.5"/>
    <n v="3"/>
    <x v="1"/>
    <n v="3.13"/>
    <s v="High"/>
  </r>
  <r>
    <x v="4"/>
    <s v="Model 3"/>
    <x v="3"/>
    <s v="Standard"/>
    <n v="27829.58"/>
    <n v="72.900000000000006"/>
    <n v="249"/>
    <n v="215.3"/>
    <n v="5.62"/>
    <n v="177"/>
    <n v="169"/>
    <n v="200"/>
    <s v="RWD"/>
    <n v="7"/>
    <s v="Van"/>
    <n v="65.900000000000006"/>
    <n v="1500"/>
    <n v="4"/>
    <n v="2"/>
    <x v="2"/>
    <x v="3"/>
    <n v="110913"/>
    <n v="3.8"/>
    <n v="6"/>
    <x v="1"/>
    <n v="3.42"/>
    <s v="High"/>
  </r>
  <r>
    <x v="10"/>
    <s v="i3"/>
    <x v="3"/>
    <s v="Standard"/>
    <n v="104401.84"/>
    <n v="73.3"/>
    <n v="250"/>
    <n v="133.4"/>
    <n v="5.28"/>
    <n v="178"/>
    <n v="879"/>
    <n v="791"/>
    <s v="RWD"/>
    <n v="5"/>
    <s v="Coupe"/>
    <n v="38.9"/>
    <n v="1612"/>
    <n v="5"/>
    <n v="1"/>
    <x v="0"/>
    <x v="0"/>
    <n v="64517"/>
    <n v="3.6"/>
    <n v="5"/>
    <x v="1"/>
    <n v="3.41"/>
    <s v="High"/>
  </r>
  <r>
    <x v="0"/>
    <s v="ID.3"/>
    <x v="5"/>
    <s v="Performance"/>
    <n v="77434.92"/>
    <n v="112.5"/>
    <n v="381"/>
    <n v="202"/>
    <n v="3.97"/>
    <n v="195"/>
    <n v="813"/>
    <n v="732"/>
    <s v="RWD"/>
    <n v="5"/>
    <s v="Sedan"/>
    <n v="33.6"/>
    <n v="1972"/>
    <n v="5"/>
    <n v="1"/>
    <x v="0"/>
    <x v="2"/>
    <n v="250773"/>
    <n v="3.8"/>
    <n v="3"/>
    <x v="0"/>
    <n v="3.39"/>
    <s v="High"/>
  </r>
  <r>
    <x v="9"/>
    <s v="F-150 Lightning"/>
    <x v="3"/>
    <s v="Performance"/>
    <n v="55789.82"/>
    <n v="103.1"/>
    <n v="355"/>
    <n v="158"/>
    <n v="2.5499999999999998"/>
    <n v="200"/>
    <n v="526"/>
    <n v="443"/>
    <s v="AWD"/>
    <n v="2"/>
    <s v="Truck"/>
    <n v="57.8"/>
    <n v="2494"/>
    <n v="3"/>
    <n v="0"/>
    <x v="2"/>
    <x v="1"/>
    <n v="58686"/>
    <n v="4"/>
    <n v="4"/>
    <x v="0"/>
    <n v="3.44"/>
    <s v="High"/>
  </r>
  <r>
    <x v="4"/>
    <s v="Model Y"/>
    <x v="5"/>
    <s v="Long Range"/>
    <n v="43501.07"/>
    <n v="92.1"/>
    <n v="328"/>
    <n v="316"/>
    <n v="4.82"/>
    <n v="177"/>
    <n v="282"/>
    <n v="240"/>
    <s v="FWD"/>
    <n v="7"/>
    <s v="Hatchback"/>
    <n v="28.1"/>
    <n v="1575"/>
    <n v="4"/>
    <n v="2"/>
    <x v="2"/>
    <x v="1"/>
    <n v="417203"/>
    <n v="3.9"/>
    <n v="6"/>
    <x v="1"/>
    <n v="3.56"/>
    <s v="High"/>
  </r>
  <r>
    <x v="3"/>
    <s v="EV9"/>
    <x v="2"/>
    <s v="Premium"/>
    <n v="73063.27"/>
    <n v="55.1"/>
    <n v="176"/>
    <n v="114.3"/>
    <n v="7.87"/>
    <n v="137"/>
    <n v="826"/>
    <n v="792"/>
    <s v="RWD"/>
    <n v="7"/>
    <s v="SUV"/>
    <n v="46.4"/>
    <n v="1899"/>
    <n v="5"/>
    <n v="0"/>
    <x v="3"/>
    <x v="2"/>
    <n v="143775"/>
    <n v="3.5"/>
    <n v="4"/>
    <x v="2"/>
    <n v="3.19"/>
    <s v="High"/>
  </r>
  <r>
    <x v="8"/>
    <s v="Ioniq 5"/>
    <x v="1"/>
    <s v="Standard"/>
    <n v="34455.089999999997"/>
    <n v="43.1"/>
    <n v="150"/>
    <n v="86.2"/>
    <n v="5.04"/>
    <n v="165"/>
    <n v="227"/>
    <n v="212"/>
    <s v="AWD"/>
    <n v="5"/>
    <s v="Van"/>
    <n v="72"/>
    <n v="1606"/>
    <n v="5"/>
    <n v="1"/>
    <x v="3"/>
    <x v="3"/>
    <n v="120724"/>
    <n v="3.1"/>
    <n v="5"/>
    <x v="1"/>
    <n v="3.48"/>
    <s v="High"/>
  </r>
  <r>
    <x v="10"/>
    <s v="i3"/>
    <x v="2"/>
    <s v="Performance"/>
    <n v="123235.74"/>
    <n v="117.3"/>
    <n v="428"/>
    <n v="187.9"/>
    <n v="3.59"/>
    <n v="186"/>
    <n v="1000"/>
    <n v="922"/>
    <s v="AWD"/>
    <n v="7"/>
    <s v="Truck"/>
    <n v="54"/>
    <n v="2571"/>
    <n v="5"/>
    <n v="1"/>
    <x v="0"/>
    <x v="0"/>
    <n v="49531"/>
    <n v="4"/>
    <n v="6"/>
    <x v="0"/>
    <n v="3.65"/>
    <s v="High"/>
  </r>
  <r>
    <x v="4"/>
    <s v="Cybertruck"/>
    <x v="2"/>
    <s v="Premium"/>
    <n v="117988.5"/>
    <n v="65.2"/>
    <n v="250"/>
    <n v="315.7"/>
    <n v="5.38"/>
    <n v="160"/>
    <n v="846"/>
    <n v="761"/>
    <s v="FWD"/>
    <n v="5"/>
    <s v="Truck"/>
    <n v="57.5"/>
    <n v="2492"/>
    <n v="4"/>
    <n v="2"/>
    <x v="2"/>
    <x v="0"/>
    <n v="117423"/>
    <n v="3.8"/>
    <n v="5"/>
    <x v="1"/>
    <n v="3.83"/>
    <s v="High"/>
  </r>
  <r>
    <x v="3"/>
    <s v="Niro EV"/>
    <x v="2"/>
    <s v="Standard"/>
    <n v="39013.49"/>
    <n v="67.3"/>
    <n v="235"/>
    <n v="97.3"/>
    <n v="5.22"/>
    <n v="171"/>
    <n v="263"/>
    <n v="250"/>
    <s v="RWD"/>
    <n v="7"/>
    <s v="Van"/>
    <n v="60.9"/>
    <n v="1500"/>
    <n v="4"/>
    <n v="1"/>
    <x v="3"/>
    <x v="1"/>
    <n v="124150"/>
    <n v="3.6"/>
    <n v="4"/>
    <x v="1"/>
    <n v="3.49"/>
    <s v="High"/>
  </r>
  <r>
    <x v="3"/>
    <s v="Picanto EV"/>
    <x v="2"/>
    <s v="Long Range"/>
    <n v="50328.06"/>
    <n v="106.7"/>
    <n v="389"/>
    <n v="137.5"/>
    <n v="5.25"/>
    <n v="165"/>
    <n v="491"/>
    <n v="455"/>
    <s v="RWD"/>
    <n v="5"/>
    <s v="Hatchback"/>
    <n v="22.9"/>
    <n v="1655"/>
    <n v="4"/>
    <n v="0"/>
    <x v="3"/>
    <x v="1"/>
    <n v="79174"/>
    <n v="3.9"/>
    <n v="3"/>
    <x v="1"/>
    <n v="3.65"/>
    <s v="High"/>
  </r>
  <r>
    <x v="3"/>
    <s v="Picanto EV"/>
    <x v="3"/>
    <s v="Base"/>
    <n v="48934.98"/>
    <n v="67"/>
    <n v="228"/>
    <n v="121.3"/>
    <n v="6.09"/>
    <n v="154"/>
    <n v="439"/>
    <n v="379"/>
    <s v="FWD"/>
    <n v="7"/>
    <s v="Coupe"/>
    <n v="17.899999999999999"/>
    <n v="1500"/>
    <n v="5"/>
    <n v="1"/>
    <x v="3"/>
    <x v="1"/>
    <n v="106640"/>
    <n v="3.4"/>
    <n v="4"/>
    <x v="1"/>
    <n v="3.4"/>
    <s v="High"/>
  </r>
  <r>
    <x v="3"/>
    <s v="Sportage EV"/>
    <x v="3"/>
    <s v="Premium"/>
    <n v="89200.56"/>
    <n v="62.2"/>
    <n v="211"/>
    <n v="64.2"/>
    <n v="6.77"/>
    <n v="149"/>
    <n v="1000"/>
    <n v="893"/>
    <s v="AWD"/>
    <n v="7"/>
    <s v="SUV"/>
    <n v="37.1"/>
    <n v="2168"/>
    <n v="4"/>
    <n v="1"/>
    <x v="3"/>
    <x v="2"/>
    <n v="55676"/>
    <n v="3"/>
    <n v="5"/>
    <x v="1"/>
    <n v="3.39"/>
    <s v="High"/>
  </r>
  <r>
    <x v="10"/>
    <s v="iX"/>
    <x v="3"/>
    <s v="Long Range"/>
    <n v="133417.07"/>
    <n v="99.6"/>
    <n v="348"/>
    <n v="95.3"/>
    <n v="5.0599999999999996"/>
    <n v="178"/>
    <n v="1000"/>
    <n v="946"/>
    <s v="RWD"/>
    <n v="7"/>
    <s v="Van"/>
    <n v="73.3"/>
    <n v="1852"/>
    <n v="4"/>
    <n v="1"/>
    <x v="0"/>
    <x v="0"/>
    <n v="53580"/>
    <n v="3.9"/>
    <n v="8"/>
    <x v="1"/>
    <n v="3.49"/>
    <s v="High"/>
  </r>
  <r>
    <x v="9"/>
    <s v="Explorer EV"/>
    <x v="3"/>
    <s v="Performance"/>
    <n v="63490.76"/>
    <n v="108"/>
    <n v="370"/>
    <n v="240.1"/>
    <n v="3.78"/>
    <n v="196"/>
    <n v="712"/>
    <n v="688"/>
    <s v="RWD"/>
    <n v="5"/>
    <s v="Sedan"/>
    <n v="32.299999999999997"/>
    <n v="1500"/>
    <n v="4"/>
    <n v="0"/>
    <x v="2"/>
    <x v="1"/>
    <n v="37708"/>
    <n v="3.8"/>
    <n v="4"/>
    <x v="0"/>
    <n v="3.43"/>
    <s v="High"/>
  </r>
  <r>
    <x v="7"/>
    <s v="Leaf 50X"/>
    <x v="3"/>
    <s v="Premium"/>
    <n v="109495.59"/>
    <n v="62.3"/>
    <n v="209"/>
    <n v="109.9"/>
    <n v="6.81"/>
    <n v="147"/>
    <n v="1000"/>
    <n v="906"/>
    <s v="RWD"/>
    <n v="7"/>
    <s v="Hatchback"/>
    <n v="29.5"/>
    <n v="1641"/>
    <n v="4"/>
    <n v="0"/>
    <x v="4"/>
    <x v="0"/>
    <n v="180168"/>
    <n v="3.5"/>
    <n v="4"/>
    <x v="1"/>
    <n v="3.35"/>
    <s v="High"/>
  </r>
  <r>
    <x v="5"/>
    <s v="EQE"/>
    <x v="0"/>
    <s v="Standard"/>
    <n v="112177.54"/>
    <n v="67.5"/>
    <n v="236"/>
    <n v="115.6"/>
    <n v="7.88"/>
    <n v="128"/>
    <n v="598"/>
    <n v="509"/>
    <s v="RWD"/>
    <n v="7"/>
    <s v="Van"/>
    <n v="76.5"/>
    <n v="1500"/>
    <n v="4"/>
    <n v="1"/>
    <x v="0"/>
    <x v="0"/>
    <n v="38676"/>
    <n v="3.8"/>
    <n v="6"/>
    <x v="2"/>
    <n v="3.5"/>
    <s v="High"/>
  </r>
  <r>
    <x v="8"/>
    <s v="Ioniq 6"/>
    <x v="1"/>
    <s v="Premium"/>
    <n v="45588.01"/>
    <n v="53.8"/>
    <n v="175"/>
    <n v="86.1"/>
    <n v="5.73"/>
    <n v="159"/>
    <n v="446"/>
    <n v="421"/>
    <s v="AWD"/>
    <n v="5"/>
    <s v="Truck"/>
    <n v="75.2"/>
    <n v="2462"/>
    <n v="4"/>
    <n v="1"/>
    <x v="3"/>
    <x v="1"/>
    <n v="103603"/>
    <n v="3.5"/>
    <n v="4"/>
    <x v="1"/>
    <n v="3.25"/>
    <s v="High"/>
  </r>
  <r>
    <x v="4"/>
    <s v="Model Y"/>
    <x v="1"/>
    <s v="Long Range"/>
    <n v="79776.37"/>
    <n v="94.5"/>
    <n v="332"/>
    <n v="311.39999999999998"/>
    <n v="5.72"/>
    <n v="163"/>
    <n v="586"/>
    <n v="542"/>
    <s v="FWD"/>
    <n v="5"/>
    <s v="Truck"/>
    <n v="51.9"/>
    <n v="2482"/>
    <n v="3"/>
    <n v="2"/>
    <x v="2"/>
    <x v="2"/>
    <n v="488350"/>
    <n v="4"/>
    <n v="4"/>
    <x v="1"/>
    <n v="3.51"/>
    <s v="High"/>
  </r>
  <r>
    <x v="4"/>
    <s v="Model X"/>
    <x v="2"/>
    <s v="Performance"/>
    <n v="138879.13"/>
    <n v="102.3"/>
    <n v="358"/>
    <n v="284.2"/>
    <n v="3.61"/>
    <n v="197"/>
    <n v="1000"/>
    <n v="899"/>
    <s v="AWD"/>
    <n v="5"/>
    <s v="Sedan"/>
    <n v="29.3"/>
    <n v="1500"/>
    <n v="4"/>
    <n v="2"/>
    <x v="2"/>
    <x v="0"/>
    <n v="187901"/>
    <n v="4.2"/>
    <n v="5"/>
    <x v="0"/>
    <n v="3.5"/>
    <s v="High"/>
  </r>
  <r>
    <x v="7"/>
    <s v="Qin"/>
    <x v="4"/>
    <s v="Premium"/>
    <n v="78313.97"/>
    <n v="76.099999999999994"/>
    <n v="270"/>
    <n v="72.099999999999994"/>
    <n v="7.6"/>
    <n v="135"/>
    <n v="953"/>
    <n v="926"/>
    <s v="AWD"/>
    <n v="5"/>
    <s v="Sedan"/>
    <n v="25.7"/>
    <n v="1856"/>
    <n v="4"/>
    <n v="0"/>
    <x v="4"/>
    <x v="2"/>
    <n v="235914"/>
    <n v="3.5"/>
    <n v="4"/>
    <x v="2"/>
    <n v="3.55"/>
    <s v="High"/>
  </r>
  <r>
    <x v="9"/>
    <s v="E-Transit"/>
    <x v="2"/>
    <s v="Standard"/>
    <n v="81564.12"/>
    <n v="82.3"/>
    <n v="294"/>
    <n v="77.8"/>
    <n v="6.96"/>
    <n v="151"/>
    <n v="942"/>
    <n v="877"/>
    <s v="AWD"/>
    <n v="5"/>
    <s v="Van"/>
    <n v="70"/>
    <n v="1521"/>
    <n v="5"/>
    <n v="0"/>
    <x v="2"/>
    <x v="2"/>
    <n v="70445"/>
    <n v="3.5"/>
    <n v="3"/>
    <x v="1"/>
    <n v="3.57"/>
    <s v="High"/>
  </r>
  <r>
    <x v="2"/>
    <s v="Silverado EV"/>
    <x v="3"/>
    <s v="Base"/>
    <n v="62818"/>
    <n v="73.599999999999994"/>
    <n v="282"/>
    <n v="143.30000000000001"/>
    <n v="6.75"/>
    <n v="140"/>
    <n v="828"/>
    <n v="701"/>
    <s v="RWD"/>
    <n v="7"/>
    <s v="Hatchback"/>
    <n v="22.9"/>
    <n v="1500"/>
    <n v="5"/>
    <n v="0"/>
    <x v="2"/>
    <x v="1"/>
    <n v="4921"/>
    <n v="3.7"/>
    <n v="4"/>
    <x v="1"/>
    <n v="3.83"/>
    <s v="Low"/>
  </r>
  <r>
    <x v="9"/>
    <s v="Explorer EV"/>
    <x v="5"/>
    <s v="Premium"/>
    <n v="99667.98"/>
    <n v="62.4"/>
    <n v="220"/>
    <n v="125.5"/>
    <n v="5.05"/>
    <n v="163"/>
    <n v="1000"/>
    <n v="983"/>
    <s v="RWD"/>
    <n v="5"/>
    <s v="Sedan"/>
    <n v="24.7"/>
    <n v="1528"/>
    <n v="5"/>
    <n v="0"/>
    <x v="2"/>
    <x v="2"/>
    <n v="21835"/>
    <n v="3.4"/>
    <n v="3"/>
    <x v="1"/>
    <n v="3.53"/>
    <s v="High"/>
  </r>
  <r>
    <x v="8"/>
    <s v="i30"/>
    <x v="0"/>
    <s v="Standard"/>
    <n v="33062.26"/>
    <n v="78.5"/>
    <n v="266"/>
    <n v="67.8"/>
    <n v="7.78"/>
    <n v="128"/>
    <n v="260"/>
    <n v="262"/>
    <s v="AWD"/>
    <n v="5"/>
    <s v="Van"/>
    <n v="72.599999999999994"/>
    <n v="1627"/>
    <n v="5"/>
    <n v="0"/>
    <x v="3"/>
    <x v="3"/>
    <n v="88310"/>
    <n v="3.4"/>
    <n v="4"/>
    <x v="2"/>
    <n v="3.39"/>
    <s v="High"/>
  </r>
  <r>
    <x v="0"/>
    <s v="ID.3"/>
    <x v="3"/>
    <s v="Performance"/>
    <n v="46781.599999999999"/>
    <n v="118.1"/>
    <n v="405"/>
    <n v="195.5"/>
    <n v="2.63"/>
    <n v="200"/>
    <n v="384"/>
    <n v="393"/>
    <s v="RWD"/>
    <n v="5"/>
    <s v="Truck"/>
    <n v="54.2"/>
    <n v="2545"/>
    <n v="5"/>
    <n v="2"/>
    <x v="0"/>
    <x v="1"/>
    <n v="268903"/>
    <n v="3.9"/>
    <n v="5"/>
    <x v="0"/>
    <n v="3.43"/>
    <s v="High"/>
  </r>
  <r>
    <x v="4"/>
    <s v="Model S"/>
    <x v="1"/>
    <s v="Standard"/>
    <n v="127540.88"/>
    <n v="49.1"/>
    <n v="186"/>
    <n v="349.5"/>
    <n v="5.72"/>
    <n v="163"/>
    <n v="905"/>
    <n v="847"/>
    <s v="RWD"/>
    <n v="5"/>
    <s v="Coupe"/>
    <n v="33.299999999999997"/>
    <n v="1500"/>
    <n v="3"/>
    <n v="2"/>
    <x v="2"/>
    <x v="0"/>
    <n v="136670"/>
    <n v="3.5"/>
    <n v="5"/>
    <x v="1"/>
    <n v="3.79"/>
    <s v="High"/>
  </r>
  <r>
    <x v="7"/>
    <s v="Seagull"/>
    <x v="2"/>
    <s v="Standard"/>
    <n v="53792.67"/>
    <n v="73.2"/>
    <n v="287"/>
    <n v="103.2"/>
    <n v="7.36"/>
    <n v="136"/>
    <n v="515"/>
    <n v="469"/>
    <s v="RWD"/>
    <n v="5"/>
    <s v="SUV"/>
    <n v="58.7"/>
    <n v="1740"/>
    <n v="4"/>
    <n v="0"/>
    <x v="4"/>
    <x v="1"/>
    <n v="246202"/>
    <n v="3.6"/>
    <n v="5"/>
    <x v="2"/>
    <n v="3.92"/>
    <s v="High"/>
  </r>
  <r>
    <x v="0"/>
    <s v="ID. Buzz"/>
    <x v="0"/>
    <s v="Performance"/>
    <n v="110994.9"/>
    <n v="76.8"/>
    <n v="250"/>
    <n v="178.2"/>
    <n v="3.16"/>
    <n v="198"/>
    <n v="1000"/>
    <n v="854"/>
    <s v="RWD"/>
    <n v="5"/>
    <s v="SUV"/>
    <n v="64.599999999999994"/>
    <n v="2041"/>
    <n v="5"/>
    <n v="2"/>
    <x v="0"/>
    <x v="0"/>
    <n v="225518"/>
    <n v="3.2"/>
    <n v="4"/>
    <x v="0"/>
    <n v="3.26"/>
    <s v="High"/>
  </r>
  <r>
    <x v="4"/>
    <s v="Model X"/>
    <x v="1"/>
    <s v="Long Range"/>
    <n v="85291.7"/>
    <n v="102.2"/>
    <n v="332"/>
    <n v="213.5"/>
    <n v="4.09"/>
    <n v="184"/>
    <n v="551"/>
    <n v="472"/>
    <s v="FWD"/>
    <n v="7"/>
    <s v="Van"/>
    <n v="72.400000000000006"/>
    <n v="1585"/>
    <n v="5"/>
    <n v="3"/>
    <x v="2"/>
    <x v="2"/>
    <n v="146415"/>
    <n v="4"/>
    <n v="4"/>
    <x v="1"/>
    <n v="3.25"/>
    <s v="High"/>
  </r>
  <r>
    <x v="7"/>
    <s v="Seagull"/>
    <x v="2"/>
    <s v="Standard"/>
    <n v="83643.929999999993"/>
    <n v="76.5"/>
    <n v="285"/>
    <n v="54.8"/>
    <n v="6.71"/>
    <n v="154"/>
    <n v="928"/>
    <n v="833"/>
    <s v="FWD"/>
    <n v="5"/>
    <s v="Van"/>
    <n v="62.2"/>
    <n v="1686"/>
    <n v="5"/>
    <n v="0"/>
    <x v="4"/>
    <x v="2"/>
    <n v="218991"/>
    <n v="3.8"/>
    <n v="4"/>
    <x v="1"/>
    <n v="3.73"/>
    <s v="High"/>
  </r>
  <r>
    <x v="3"/>
    <s v="EV6"/>
    <x v="3"/>
    <s v="Performance"/>
    <n v="117355.84"/>
    <n v="92.1"/>
    <n v="333"/>
    <n v="226.6"/>
    <n v="4.5"/>
    <n v="191"/>
    <n v="1000"/>
    <n v="877"/>
    <s v="AWD"/>
    <n v="5"/>
    <s v="Coupe"/>
    <n v="17.899999999999999"/>
    <n v="1599"/>
    <n v="4"/>
    <n v="2"/>
    <x v="3"/>
    <x v="0"/>
    <n v="136386"/>
    <n v="3.7"/>
    <n v="4"/>
    <x v="1"/>
    <n v="3.62"/>
    <s v="High"/>
  </r>
  <r>
    <x v="2"/>
    <s v="Silverado EV"/>
    <x v="0"/>
    <s v="Performance"/>
    <n v="95648.05"/>
    <n v="112.2"/>
    <n v="409"/>
    <n v="226.3"/>
    <n v="2.96"/>
    <n v="200"/>
    <n v="1000"/>
    <n v="920"/>
    <s v="RWD"/>
    <n v="5"/>
    <s v="Truck"/>
    <n v="61.7"/>
    <n v="2567"/>
    <n v="4"/>
    <n v="0"/>
    <x v="2"/>
    <x v="2"/>
    <n v="20948"/>
    <n v="3.7"/>
    <n v="5"/>
    <x v="0"/>
    <n v="3.65"/>
    <s v="High"/>
  </r>
  <r>
    <x v="18"/>
    <s v="SU7"/>
    <x v="3"/>
    <s v="Base"/>
    <n v="55836.28"/>
    <n v="53.9"/>
    <n v="182"/>
    <n v="113.5"/>
    <n v="7.22"/>
    <n v="137"/>
    <n v="481"/>
    <n v="404"/>
    <s v="AWD"/>
    <n v="5"/>
    <s v="SUV"/>
    <n v="64.3"/>
    <n v="2092"/>
    <n v="4"/>
    <n v="1"/>
    <x v="4"/>
    <x v="1"/>
    <n v="22178"/>
    <n v="3.6"/>
    <n v="5"/>
    <x v="2"/>
    <n v="3.38"/>
    <s v="High"/>
  </r>
  <r>
    <x v="13"/>
    <s v="R2"/>
    <x v="3"/>
    <s v="Long Range"/>
    <n v="102186.85"/>
    <n v="81"/>
    <n v="292"/>
    <n v="92.6"/>
    <n v="4.5"/>
    <n v="180"/>
    <n v="1000"/>
    <n v="892"/>
    <s v="RWD"/>
    <n v="5"/>
    <s v="Hatchback"/>
    <n v="30.2"/>
    <n v="1603"/>
    <n v="5"/>
    <n v="0"/>
    <x v="2"/>
    <x v="0"/>
    <n v="2112"/>
    <n v="3.4"/>
    <n v="4"/>
    <x v="1"/>
    <n v="3.6"/>
    <s v="Low"/>
  </r>
  <r>
    <x v="10"/>
    <s v="i4"/>
    <x v="3"/>
    <s v="Long Range"/>
    <n v="101731.56"/>
    <n v="98.6"/>
    <n v="360"/>
    <n v="120.9"/>
    <n v="5.12"/>
    <n v="183"/>
    <n v="853"/>
    <n v="812"/>
    <s v="FWD"/>
    <n v="5"/>
    <s v="Truck"/>
    <n v="55.2"/>
    <n v="2234"/>
    <n v="4"/>
    <n v="1"/>
    <x v="0"/>
    <x v="0"/>
    <n v="41594"/>
    <n v="3.7"/>
    <n v="7"/>
    <x v="1"/>
    <n v="3.65"/>
    <s v="High"/>
  </r>
  <r>
    <x v="0"/>
    <s v="ID. Aero"/>
    <x v="0"/>
    <s v="Base"/>
    <n v="44658.67"/>
    <n v="73.2"/>
    <n v="219"/>
    <n v="131.4"/>
    <n v="7.67"/>
    <n v="140"/>
    <n v="326"/>
    <n v="304"/>
    <s v="FWD"/>
    <n v="5"/>
    <s v="Sedan"/>
    <n v="27.4"/>
    <n v="1726"/>
    <n v="5"/>
    <n v="1"/>
    <x v="0"/>
    <x v="1"/>
    <n v="256210"/>
    <n v="3.4"/>
    <n v="5"/>
    <x v="2"/>
    <n v="2.99"/>
    <s v="High"/>
  </r>
  <r>
    <x v="10"/>
    <s v="i3"/>
    <x v="2"/>
    <s v="Premium"/>
    <n v="104797.89"/>
    <n v="46.5"/>
    <n v="162"/>
    <n v="73.900000000000006"/>
    <n v="5.75"/>
    <n v="160"/>
    <n v="916"/>
    <n v="795"/>
    <s v="AWD"/>
    <n v="7"/>
    <s v="Hatchback"/>
    <n v="17.2"/>
    <n v="1658"/>
    <n v="5"/>
    <n v="2"/>
    <x v="0"/>
    <x v="0"/>
    <n v="26942"/>
    <n v="3.2"/>
    <n v="7"/>
    <x v="1"/>
    <n v="3.48"/>
    <s v="High"/>
  </r>
  <r>
    <x v="9"/>
    <s v="F-150 Lightning"/>
    <x v="3"/>
    <s v="Premium"/>
    <n v="53246.45"/>
    <n v="42.9"/>
    <n v="171"/>
    <n v="69.900000000000006"/>
    <n v="8"/>
    <n v="137"/>
    <n v="543"/>
    <n v="481"/>
    <s v="RWD"/>
    <n v="2"/>
    <s v="Truck"/>
    <n v="66.599999999999994"/>
    <n v="2253"/>
    <n v="4"/>
    <n v="2"/>
    <x v="2"/>
    <x v="1"/>
    <n v="30016"/>
    <n v="3.3"/>
    <n v="3"/>
    <x v="2"/>
    <n v="3.99"/>
    <s v="High"/>
  </r>
  <r>
    <x v="4"/>
    <s v="Model S"/>
    <x v="3"/>
    <s v="Premium"/>
    <n v="176582.51"/>
    <n v="50.4"/>
    <n v="188"/>
    <n v="237.2"/>
    <n v="6.19"/>
    <n v="153"/>
    <n v="1000"/>
    <n v="901"/>
    <s v="RWD"/>
    <n v="5"/>
    <s v="SUV"/>
    <n v="49.2"/>
    <n v="1951"/>
    <n v="4"/>
    <n v="2"/>
    <x v="2"/>
    <x v="0"/>
    <n v="199834"/>
    <n v="3.7"/>
    <n v="4"/>
    <x v="1"/>
    <n v="3.73"/>
    <s v="High"/>
  </r>
  <r>
    <x v="0"/>
    <s v="ID.4"/>
    <x v="0"/>
    <s v="Long Range"/>
    <n v="78653.83"/>
    <n v="94.4"/>
    <n v="350"/>
    <n v="75.5"/>
    <n v="4.49"/>
    <n v="189"/>
    <n v="818"/>
    <n v="716"/>
    <s v="FWD"/>
    <n v="7"/>
    <s v="Coupe"/>
    <n v="25"/>
    <n v="1665"/>
    <n v="5"/>
    <n v="0"/>
    <x v="0"/>
    <x v="2"/>
    <n v="204287"/>
    <n v="4"/>
    <n v="4"/>
    <x v="1"/>
    <n v="3.71"/>
    <s v="High"/>
  </r>
  <r>
    <x v="5"/>
    <s v="EQC"/>
    <x v="2"/>
    <s v="Standard"/>
    <n v="113687.69"/>
    <n v="81.5"/>
    <n v="274"/>
    <n v="139.1"/>
    <n v="7.69"/>
    <n v="128"/>
    <n v="650"/>
    <n v="556"/>
    <s v="FWD"/>
    <n v="7"/>
    <s v="Van"/>
    <n v="60.8"/>
    <n v="1500"/>
    <n v="4"/>
    <n v="2"/>
    <x v="0"/>
    <x v="0"/>
    <n v="59376"/>
    <n v="3.8"/>
    <n v="8"/>
    <x v="2"/>
    <n v="3.36"/>
    <s v="High"/>
  </r>
  <r>
    <x v="0"/>
    <s v="ID.4"/>
    <x v="2"/>
    <s v="Performance"/>
    <n v="61036.31"/>
    <n v="77.7"/>
    <n v="243"/>
    <n v="248"/>
    <n v="3.41"/>
    <n v="193"/>
    <n v="616"/>
    <n v="531"/>
    <s v="AWD"/>
    <n v="5"/>
    <s v="Coupe"/>
    <n v="36"/>
    <n v="1750"/>
    <n v="4"/>
    <n v="1"/>
    <x v="0"/>
    <x v="1"/>
    <n v="274419"/>
    <n v="3.2"/>
    <n v="4"/>
    <x v="0"/>
    <n v="3.13"/>
    <s v="High"/>
  </r>
  <r>
    <x v="3"/>
    <s v="EV6"/>
    <x v="5"/>
    <s v="Performance"/>
    <n v="46823.3"/>
    <n v="98.4"/>
    <n v="366"/>
    <n v="151.69999999999999"/>
    <n v="3.16"/>
    <n v="198"/>
    <n v="473"/>
    <n v="442"/>
    <s v="RWD"/>
    <n v="5"/>
    <s v="Sedan"/>
    <n v="34.700000000000003"/>
    <n v="1581"/>
    <n v="3"/>
    <n v="0"/>
    <x v="3"/>
    <x v="1"/>
    <n v="141318"/>
    <n v="3.8"/>
    <n v="3"/>
    <x v="0"/>
    <n v="3.72"/>
    <s v="High"/>
  </r>
  <r>
    <x v="3"/>
    <s v="Picanto EV"/>
    <x v="1"/>
    <s v="Long Range"/>
    <n v="73622.080000000002"/>
    <n v="94.4"/>
    <n v="291"/>
    <n v="141.69999999999999"/>
    <n v="4.0199999999999996"/>
    <n v="187"/>
    <n v="852"/>
    <n v="746"/>
    <s v="FWD"/>
    <n v="5"/>
    <s v="SUV"/>
    <n v="41.4"/>
    <n v="1901"/>
    <n v="5"/>
    <n v="2"/>
    <x v="3"/>
    <x v="2"/>
    <n v="128389"/>
    <n v="3.4"/>
    <n v="4"/>
    <x v="1"/>
    <n v="3.08"/>
    <s v="High"/>
  </r>
  <r>
    <x v="4"/>
    <s v="Cybertruck"/>
    <x v="5"/>
    <s v="Performance"/>
    <n v="70200.56"/>
    <n v="85"/>
    <n v="286"/>
    <n v="209.3"/>
    <n v="3.65"/>
    <n v="189"/>
    <n v="498"/>
    <n v="438"/>
    <s v="RWD"/>
    <n v="5"/>
    <s v="Truck"/>
    <n v="73.400000000000006"/>
    <n v="2486"/>
    <n v="5"/>
    <n v="2"/>
    <x v="2"/>
    <x v="2"/>
    <n v="166507"/>
    <n v="3.9"/>
    <n v="4"/>
    <x v="0"/>
    <n v="3.36"/>
    <s v="High"/>
  </r>
  <r>
    <x v="0"/>
    <s v="ID. Aero"/>
    <x v="3"/>
    <s v="Performance"/>
    <n v="86735.2"/>
    <n v="77.5"/>
    <n v="296"/>
    <n v="203.5"/>
    <n v="4.3099999999999996"/>
    <n v="188"/>
    <n v="975"/>
    <n v="841"/>
    <s v="AWD"/>
    <n v="7"/>
    <s v="Van"/>
    <n v="72.5"/>
    <n v="1665"/>
    <n v="5"/>
    <n v="0"/>
    <x v="0"/>
    <x v="2"/>
    <n v="261533"/>
    <n v="3.2"/>
    <n v="3"/>
    <x v="1"/>
    <n v="3.82"/>
    <s v="High"/>
  </r>
  <r>
    <x v="7"/>
    <s v="Max"/>
    <x v="2"/>
    <s v="Premium"/>
    <n v="105441.86"/>
    <n v="57.2"/>
    <n v="209"/>
    <n v="54.8"/>
    <n v="6.44"/>
    <n v="152"/>
    <n v="1000"/>
    <n v="896"/>
    <s v="AWD"/>
    <n v="7"/>
    <s v="Truck"/>
    <n v="53.1"/>
    <n v="2431"/>
    <n v="5"/>
    <n v="0"/>
    <x v="4"/>
    <x v="0"/>
    <n v="226549"/>
    <n v="3.3"/>
    <n v="5"/>
    <x v="1"/>
    <n v="3.65"/>
    <s v="High"/>
  </r>
  <r>
    <x v="4"/>
    <s v="Cybertruck"/>
    <x v="3"/>
    <s v="Base"/>
    <n v="98106.32"/>
    <n v="49.7"/>
    <n v="172"/>
    <n v="224.2"/>
    <n v="7.4"/>
    <n v="143"/>
    <n v="674"/>
    <n v="592"/>
    <s v="AWD"/>
    <n v="5"/>
    <s v="Truck"/>
    <n v="52.7"/>
    <n v="2705"/>
    <n v="4"/>
    <n v="2"/>
    <x v="2"/>
    <x v="2"/>
    <n v="221459"/>
    <n v="3.6"/>
    <n v="5"/>
    <x v="2"/>
    <n v="3.46"/>
    <s v="High"/>
  </r>
  <r>
    <x v="4"/>
    <s v="Model 3"/>
    <x v="2"/>
    <s v="Premium"/>
    <n v="128470.34"/>
    <n v="75.7"/>
    <n v="268"/>
    <n v="263.7"/>
    <n v="7.17"/>
    <n v="140"/>
    <n v="913"/>
    <n v="812"/>
    <s v="RWD"/>
    <n v="7"/>
    <s v="Truck"/>
    <n v="77.7"/>
    <n v="2712"/>
    <n v="3"/>
    <n v="2"/>
    <x v="2"/>
    <x v="0"/>
    <n v="244654"/>
    <n v="3.6"/>
    <n v="6"/>
    <x v="2"/>
    <n v="3.54"/>
    <s v="High"/>
  </r>
  <r>
    <x v="5"/>
    <s v="GLE EV"/>
    <x v="3"/>
    <s v="Premium"/>
    <n v="92407.64"/>
    <n v="58"/>
    <n v="199"/>
    <n v="90.5"/>
    <n v="6.1"/>
    <n v="167"/>
    <n v="380"/>
    <n v="329"/>
    <s v="RWD"/>
    <n v="5"/>
    <s v="Sedan"/>
    <n v="21.4"/>
    <n v="1500"/>
    <n v="4"/>
    <n v="1"/>
    <x v="0"/>
    <x v="2"/>
    <n v="22464"/>
    <n v="3.5"/>
    <n v="5"/>
    <x v="1"/>
    <n v="3.43"/>
    <s v="High"/>
  </r>
  <r>
    <x v="7"/>
    <s v="Dolphin"/>
    <x v="1"/>
    <s v="Base"/>
    <n v="71011.58"/>
    <n v="47.4"/>
    <n v="159"/>
    <n v="97"/>
    <n v="7.76"/>
    <n v="132"/>
    <n v="792"/>
    <n v="662"/>
    <s v="FWD"/>
    <n v="5"/>
    <s v="SUV"/>
    <n v="45.2"/>
    <n v="2283"/>
    <n v="4"/>
    <n v="0"/>
    <x v="4"/>
    <x v="2"/>
    <n v="210658"/>
    <n v="3.1"/>
    <n v="4"/>
    <x v="2"/>
    <n v="3.35"/>
    <s v="High"/>
  </r>
  <r>
    <x v="8"/>
    <s v="Kona Electric"/>
    <x v="3"/>
    <s v="Long Range"/>
    <n v="92989.48"/>
    <n v="91"/>
    <n v="315"/>
    <n v="115.3"/>
    <n v="5.49"/>
    <n v="166"/>
    <n v="1000"/>
    <n v="954"/>
    <s v="RWD"/>
    <n v="7"/>
    <s v="SUV"/>
    <n v="50.4"/>
    <n v="1766"/>
    <n v="5"/>
    <n v="2"/>
    <x v="3"/>
    <x v="2"/>
    <n v="132728"/>
    <n v="3.6"/>
    <n v="4"/>
    <x v="1"/>
    <n v="3.46"/>
    <s v="High"/>
  </r>
  <r>
    <x v="7"/>
    <s v="Leaf 50X"/>
    <x v="0"/>
    <s v="Standard"/>
    <n v="74284.45"/>
    <n v="84.2"/>
    <n v="286"/>
    <n v="132.1"/>
    <n v="6.13"/>
    <n v="162"/>
    <n v="865"/>
    <n v="781"/>
    <s v="FWD"/>
    <n v="5"/>
    <s v="Truck"/>
    <n v="57.8"/>
    <n v="2198"/>
    <n v="5"/>
    <n v="1"/>
    <x v="4"/>
    <x v="2"/>
    <n v="128075"/>
    <n v="3.8"/>
    <n v="5"/>
    <x v="1"/>
    <n v="3.4"/>
    <s v="High"/>
  </r>
  <r>
    <x v="12"/>
    <s v="ET6"/>
    <x v="2"/>
    <s v="Standard"/>
    <n v="78059.06"/>
    <n v="66.599999999999994"/>
    <n v="252"/>
    <n v="118.3"/>
    <n v="6.02"/>
    <n v="157"/>
    <n v="657"/>
    <n v="597"/>
    <s v="FWD"/>
    <n v="7"/>
    <s v="SUV"/>
    <n v="36.6"/>
    <n v="2102"/>
    <n v="5"/>
    <n v="0"/>
    <x v="4"/>
    <x v="2"/>
    <n v="24158"/>
    <n v="3.3"/>
    <n v="5"/>
    <x v="1"/>
    <n v="3.78"/>
    <s v="High"/>
  </r>
  <r>
    <x v="7"/>
    <s v="Seagull"/>
    <x v="0"/>
    <s v="Premium"/>
    <n v="109450.6"/>
    <n v="64.2"/>
    <n v="232"/>
    <n v="67.3"/>
    <n v="7.02"/>
    <n v="143"/>
    <n v="1000"/>
    <n v="898"/>
    <s v="AWD"/>
    <n v="5"/>
    <s v="Sedan"/>
    <n v="31"/>
    <n v="1504"/>
    <n v="5"/>
    <n v="2"/>
    <x v="4"/>
    <x v="0"/>
    <n v="128508"/>
    <n v="3.6"/>
    <n v="4"/>
    <x v="2"/>
    <n v="3.61"/>
    <s v="High"/>
  </r>
  <r>
    <x v="0"/>
    <s v="ID.3"/>
    <x v="2"/>
    <s v="Premium"/>
    <n v="49550.91"/>
    <n v="41.8"/>
    <n v="150"/>
    <n v="143.1"/>
    <n v="6.85"/>
    <n v="153"/>
    <n v="490"/>
    <n v="386"/>
    <s v="AWD"/>
    <n v="7"/>
    <s v="Coupe"/>
    <n v="32"/>
    <n v="1737"/>
    <n v="3"/>
    <n v="1"/>
    <x v="0"/>
    <x v="1"/>
    <n v="222078"/>
    <n v="3.5"/>
    <n v="4"/>
    <x v="1"/>
    <n v="3.59"/>
    <s v="High"/>
  </r>
  <r>
    <x v="5"/>
    <s v="EQG"/>
    <x v="3"/>
    <s v="Long Range"/>
    <n v="102050.83"/>
    <n v="92.4"/>
    <n v="312"/>
    <n v="53.2"/>
    <n v="4.32"/>
    <n v="178"/>
    <n v="474"/>
    <n v="389"/>
    <s v="AWD"/>
    <n v="5"/>
    <s v="Coupe"/>
    <n v="24.1"/>
    <n v="1700"/>
    <n v="5"/>
    <n v="1"/>
    <x v="0"/>
    <x v="0"/>
    <n v="26785"/>
    <n v="3.9"/>
    <n v="7"/>
    <x v="1"/>
    <n v="3.38"/>
    <s v="High"/>
  </r>
  <r>
    <x v="5"/>
    <s v="EQE"/>
    <x v="5"/>
    <s v="Premium"/>
    <n v="93286.78"/>
    <n v="82.1"/>
    <n v="282"/>
    <n v="142.9"/>
    <n v="7.41"/>
    <n v="136"/>
    <n v="457"/>
    <n v="407"/>
    <s v="FWD"/>
    <n v="5"/>
    <s v="Hatchback"/>
    <n v="37.5"/>
    <n v="1500"/>
    <n v="3"/>
    <n v="1"/>
    <x v="0"/>
    <x v="2"/>
    <n v="49781"/>
    <n v="3.7"/>
    <n v="8"/>
    <x v="2"/>
    <n v="3.43"/>
    <s v="High"/>
  </r>
  <r>
    <x v="4"/>
    <s v="Model X"/>
    <x v="0"/>
    <s v="Performance"/>
    <n v="164467.67000000001"/>
    <n v="113.9"/>
    <n v="371"/>
    <n v="279.39999999999998"/>
    <n v="3.22"/>
    <n v="200"/>
    <n v="1000"/>
    <n v="848"/>
    <s v="RWD"/>
    <n v="5"/>
    <s v="Van"/>
    <n v="66"/>
    <n v="1822"/>
    <n v="5"/>
    <n v="2"/>
    <x v="2"/>
    <x v="0"/>
    <n v="146842"/>
    <n v="3.9"/>
    <n v="4"/>
    <x v="0"/>
    <n v="3.26"/>
    <s v="High"/>
  </r>
  <r>
    <x v="9"/>
    <s v="Mustang Mach-E"/>
    <x v="3"/>
    <s v="Long Range"/>
    <n v="62237.09"/>
    <n v="86.7"/>
    <n v="299"/>
    <n v="97"/>
    <n v="5.35"/>
    <n v="166"/>
    <n v="680"/>
    <n v="604"/>
    <s v="FWD"/>
    <n v="5"/>
    <s v="Sedan"/>
    <n v="25.1"/>
    <n v="1557"/>
    <n v="5"/>
    <n v="1"/>
    <x v="2"/>
    <x v="1"/>
    <n v="34572"/>
    <n v="3.5"/>
    <n v="4"/>
    <x v="1"/>
    <n v="3.45"/>
    <s v="High"/>
  </r>
  <r>
    <x v="8"/>
    <s v="Ioniq 5"/>
    <x v="0"/>
    <s v="Standard"/>
    <n v="55335.519999999997"/>
    <n v="51.9"/>
    <n v="156"/>
    <n v="87.3"/>
    <n v="5.55"/>
    <n v="176"/>
    <n v="665"/>
    <n v="612"/>
    <s v="FWD"/>
    <n v="5"/>
    <s v="Van"/>
    <n v="60.1"/>
    <n v="1644"/>
    <n v="3"/>
    <n v="0"/>
    <x v="3"/>
    <x v="1"/>
    <n v="84896"/>
    <n v="3.3"/>
    <n v="5"/>
    <x v="1"/>
    <n v="3.01"/>
    <s v="High"/>
  </r>
  <r>
    <x v="8"/>
    <s v="Ioniq"/>
    <x v="5"/>
    <s v="Standard"/>
    <n v="37257.29"/>
    <n v="52.5"/>
    <n v="164"/>
    <n v="104.7"/>
    <n v="5.96"/>
    <n v="160"/>
    <n v="257"/>
    <n v="213"/>
    <s v="AWD"/>
    <n v="5"/>
    <s v="SUV"/>
    <n v="43"/>
    <n v="2264"/>
    <n v="3"/>
    <n v="1"/>
    <x v="3"/>
    <x v="1"/>
    <n v="64933"/>
    <n v="3.2"/>
    <n v="5"/>
    <x v="1"/>
    <n v="3.12"/>
    <s v="High"/>
  </r>
  <r>
    <x v="4"/>
    <s v="Cybertruck"/>
    <x v="3"/>
    <s v="Long Range"/>
    <n v="45726.22"/>
    <n v="92.1"/>
    <n v="327"/>
    <n v="234.9"/>
    <n v="5.54"/>
    <n v="161"/>
    <n v="336"/>
    <n v="360"/>
    <s v="RWD"/>
    <n v="5"/>
    <s v="Truck"/>
    <n v="58.1"/>
    <n v="2592"/>
    <n v="5"/>
    <n v="2"/>
    <x v="2"/>
    <x v="1"/>
    <n v="240212"/>
    <n v="4"/>
    <n v="5"/>
    <x v="1"/>
    <n v="3.55"/>
    <s v="High"/>
  </r>
  <r>
    <x v="4"/>
    <s v="Model Y"/>
    <x v="3"/>
    <s v="Long Range"/>
    <n v="107944.96000000001"/>
    <n v="81"/>
    <n v="289"/>
    <n v="219.3"/>
    <n v="5.45"/>
    <n v="162"/>
    <n v="773"/>
    <n v="713"/>
    <s v="AWD"/>
    <n v="7"/>
    <s v="Hatchback"/>
    <n v="37.4"/>
    <n v="1644"/>
    <n v="4"/>
    <n v="2"/>
    <x v="2"/>
    <x v="0"/>
    <n v="410789"/>
    <n v="3.9"/>
    <n v="5"/>
    <x v="1"/>
    <n v="3.57"/>
    <s v="High"/>
  </r>
  <r>
    <x v="2"/>
    <s v="Silverado EV"/>
    <x v="6"/>
    <s v="Long Range"/>
    <n v="45327.78"/>
    <n v="86.2"/>
    <n v="305"/>
    <n v="77.599999999999994"/>
    <n v="4.96"/>
    <n v="174"/>
    <n v="493"/>
    <n v="447"/>
    <s v="AWD"/>
    <n v="5"/>
    <s v="Coupe"/>
    <n v="35.5"/>
    <n v="1796"/>
    <n v="4"/>
    <n v="0"/>
    <x v="2"/>
    <x v="1"/>
    <n v="20824"/>
    <n v="3.6"/>
    <n v="3"/>
    <x v="1"/>
    <n v="3.54"/>
    <s v="High"/>
  </r>
  <r>
    <x v="8"/>
    <s v="Ioniq 5"/>
    <x v="0"/>
    <s v="Long Range"/>
    <n v="41738.1"/>
    <n v="88.1"/>
    <n v="330"/>
    <n v="140.9"/>
    <n v="5.47"/>
    <n v="167"/>
    <n v="392"/>
    <n v="339"/>
    <s v="RWD"/>
    <n v="7"/>
    <s v="Hatchback"/>
    <n v="36.5"/>
    <n v="1697"/>
    <n v="5"/>
    <n v="0"/>
    <x v="3"/>
    <x v="1"/>
    <n v="92151"/>
    <n v="3.7"/>
    <n v="4"/>
    <x v="1"/>
    <n v="3.75"/>
    <s v="High"/>
  </r>
  <r>
    <x v="0"/>
    <s v="ID. Aero"/>
    <x v="5"/>
    <s v="Base"/>
    <n v="69452.44"/>
    <n v="63.6"/>
    <n v="224"/>
    <n v="70.099999999999994"/>
    <n v="6.86"/>
    <n v="148"/>
    <n v="732"/>
    <n v="617"/>
    <s v="RWD"/>
    <n v="7"/>
    <s v="Van"/>
    <n v="65.3"/>
    <n v="1614"/>
    <n v="4"/>
    <n v="0"/>
    <x v="0"/>
    <x v="2"/>
    <n v="260693"/>
    <n v="3.7"/>
    <n v="5"/>
    <x v="1"/>
    <n v="3.52"/>
    <s v="High"/>
  </r>
  <r>
    <x v="2"/>
    <s v="Equinox EV"/>
    <x v="4"/>
    <s v="Performance"/>
    <n v="65656.759999999995"/>
    <n v="86.5"/>
    <n v="340"/>
    <n v="170"/>
    <n v="4.0599999999999996"/>
    <n v="190"/>
    <n v="876"/>
    <n v="788"/>
    <s v="AWD"/>
    <n v="5"/>
    <s v="SUV"/>
    <n v="59.1"/>
    <n v="2129"/>
    <n v="5"/>
    <n v="0"/>
    <x v="2"/>
    <x v="2"/>
    <n v="12802"/>
    <n v="4"/>
    <n v="5"/>
    <x v="1"/>
    <n v="3.93"/>
    <s v="Medium"/>
  </r>
  <r>
    <x v="9"/>
    <s v="E-Transit"/>
    <x v="3"/>
    <s v="Base"/>
    <n v="61660.35"/>
    <n v="67.900000000000006"/>
    <n v="221"/>
    <n v="89.6"/>
    <n v="5.21"/>
    <n v="167"/>
    <n v="673"/>
    <n v="572"/>
    <s v="RWD"/>
    <n v="7"/>
    <s v="Coupe"/>
    <n v="27.1"/>
    <n v="1660"/>
    <n v="4"/>
    <n v="2"/>
    <x v="2"/>
    <x v="1"/>
    <n v="27087"/>
    <n v="3.6"/>
    <n v="5"/>
    <x v="1"/>
    <n v="3.25"/>
    <s v="High"/>
  </r>
  <r>
    <x v="4"/>
    <s v="Model 3"/>
    <x v="3"/>
    <s v="Standard"/>
    <n v="72436.36"/>
    <n v="83"/>
    <n v="289"/>
    <n v="317.2"/>
    <n v="5.85"/>
    <n v="147"/>
    <n v="541"/>
    <n v="464"/>
    <s v="AWD"/>
    <n v="7"/>
    <s v="Van"/>
    <n v="64.400000000000006"/>
    <n v="1777"/>
    <n v="3"/>
    <n v="3"/>
    <x v="2"/>
    <x v="2"/>
    <n v="139369"/>
    <n v="3.7"/>
    <n v="5"/>
    <x v="1"/>
    <n v="3.48"/>
    <s v="High"/>
  </r>
  <r>
    <x v="3"/>
    <s v="EV9"/>
    <x v="3"/>
    <s v="Long Range"/>
    <n v="49012.19"/>
    <n v="102.8"/>
    <n v="368"/>
    <n v="149.19999999999999"/>
    <n v="4.4800000000000004"/>
    <n v="185"/>
    <n v="484"/>
    <n v="432"/>
    <s v="AWD"/>
    <n v="5"/>
    <s v="SUV"/>
    <n v="52.7"/>
    <n v="1708"/>
    <n v="5"/>
    <n v="0"/>
    <x v="3"/>
    <x v="1"/>
    <n v="114969"/>
    <n v="3.9"/>
    <n v="4"/>
    <x v="1"/>
    <n v="3.58"/>
    <s v="High"/>
  </r>
  <r>
    <x v="4"/>
    <s v="Model S"/>
    <x v="5"/>
    <s v="Base"/>
    <n v="119417.95"/>
    <n v="65.3"/>
    <n v="248"/>
    <n v="212.2"/>
    <n v="7.14"/>
    <n v="145"/>
    <n v="885"/>
    <n v="775"/>
    <s v="AWD"/>
    <n v="7"/>
    <s v="Sedan"/>
    <n v="24.6"/>
    <n v="1500"/>
    <n v="5"/>
    <n v="2"/>
    <x v="2"/>
    <x v="0"/>
    <n v="170811"/>
    <n v="3.7"/>
    <n v="4"/>
    <x v="2"/>
    <n v="3.8"/>
    <s v="High"/>
  </r>
  <r>
    <x v="2"/>
    <s v="Equinox EV"/>
    <x v="2"/>
    <s v="Standard"/>
    <n v="34301.370000000003"/>
    <n v="70"/>
    <n v="218"/>
    <n v="59.2"/>
    <n v="5.68"/>
    <n v="163"/>
    <n v="333"/>
    <n v="310"/>
    <s v="RWD"/>
    <n v="7"/>
    <s v="SUV"/>
    <n v="39.4"/>
    <n v="2077"/>
    <n v="4"/>
    <n v="1"/>
    <x v="2"/>
    <x v="3"/>
    <n v="738"/>
    <n v="3.6"/>
    <n v="3"/>
    <x v="1"/>
    <n v="3.11"/>
    <s v="Low"/>
  </r>
  <r>
    <x v="10"/>
    <s v="i3"/>
    <x v="0"/>
    <s v="Long Range"/>
    <n v="122665.71"/>
    <n v="102.1"/>
    <n v="360"/>
    <n v="92"/>
    <n v="4.21"/>
    <n v="190"/>
    <n v="1000"/>
    <n v="935"/>
    <s v="FWD"/>
    <n v="5"/>
    <s v="Hatchback"/>
    <n v="38.299999999999997"/>
    <n v="1500"/>
    <n v="5"/>
    <n v="2"/>
    <x v="0"/>
    <x v="0"/>
    <n v="66187"/>
    <n v="3.8"/>
    <n v="7"/>
    <x v="1"/>
    <n v="3.53"/>
    <s v="High"/>
  </r>
  <r>
    <x v="1"/>
    <s v="bZ4X"/>
    <x v="2"/>
    <s v="Performance"/>
    <n v="66816.55"/>
    <n v="110.6"/>
    <n v="367"/>
    <n v="236.3"/>
    <n v="4.25"/>
    <n v="181"/>
    <n v="783"/>
    <n v="733"/>
    <s v="AWD"/>
    <n v="5"/>
    <s v="Hatchback"/>
    <n v="23.1"/>
    <n v="1863"/>
    <n v="4"/>
    <n v="0"/>
    <x v="1"/>
    <x v="2"/>
    <n v="11062"/>
    <n v="3.8"/>
    <n v="4"/>
    <x v="1"/>
    <n v="3.32"/>
    <s v="Medium"/>
  </r>
  <r>
    <x v="4"/>
    <s v="Model 3"/>
    <x v="3"/>
    <s v="Long Range"/>
    <n v="49281.26"/>
    <n v="90.6"/>
    <n v="325"/>
    <n v="325.60000000000002"/>
    <n v="5.55"/>
    <n v="167"/>
    <n v="351"/>
    <n v="324"/>
    <s v="RWD"/>
    <n v="7"/>
    <s v="Truck"/>
    <n v="74.599999999999994"/>
    <n v="2920"/>
    <n v="3"/>
    <n v="3"/>
    <x v="2"/>
    <x v="1"/>
    <n v="224804"/>
    <n v="4.0999999999999996"/>
    <n v="6"/>
    <x v="1"/>
    <n v="3.59"/>
    <s v="High"/>
  </r>
  <r>
    <x v="4"/>
    <s v="Model X"/>
    <x v="5"/>
    <s v="Premium"/>
    <n v="139665.73000000001"/>
    <n v="70.7"/>
    <n v="248"/>
    <n v="330.7"/>
    <n v="5.07"/>
    <n v="175"/>
    <n v="1000"/>
    <n v="875"/>
    <s v="RWD"/>
    <n v="5"/>
    <s v="Coupe"/>
    <n v="34.799999999999997"/>
    <n v="1500"/>
    <n v="3"/>
    <n v="2"/>
    <x v="2"/>
    <x v="0"/>
    <n v="165373"/>
    <n v="3.7"/>
    <n v="4"/>
    <x v="1"/>
    <n v="3.51"/>
    <s v="High"/>
  </r>
  <r>
    <x v="7"/>
    <s v="Qin"/>
    <x v="3"/>
    <s v="Premium"/>
    <n v="47547.88"/>
    <n v="67.400000000000006"/>
    <n v="246"/>
    <n v="67.2"/>
    <n v="6.76"/>
    <n v="156"/>
    <n v="522"/>
    <n v="494"/>
    <s v="RWD"/>
    <n v="5"/>
    <s v="Coupe"/>
    <n v="28.5"/>
    <n v="1512"/>
    <n v="4"/>
    <n v="0"/>
    <x v="4"/>
    <x v="1"/>
    <n v="214113"/>
    <n v="3.4"/>
    <n v="4"/>
    <x v="1"/>
    <n v="3.65"/>
    <s v="High"/>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FE068C1-BBD3-46FD-88DB-9BAD11689118}" name="PivotTable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 rowHeaderCaption="Brand">
  <location ref="B4:C14" firstHeaderRow="1" firstDataRow="1" firstDataCol="1"/>
  <pivotFields count="27">
    <pivotField axis="axisRow" showAll="0" measureFilter="1" sortType="descending">
      <items count="21">
        <item x="11"/>
        <item x="10"/>
        <item x="7"/>
        <item x="6"/>
        <item x="9"/>
        <item x="2"/>
        <item x="17"/>
        <item x="8"/>
        <item x="3"/>
        <item x="16"/>
        <item x="5"/>
        <item x="12"/>
        <item x="19"/>
        <item x="14"/>
        <item x="13"/>
        <item x="4"/>
        <item x="1"/>
        <item x="0"/>
        <item x="15"/>
        <item x="18"/>
        <item t="default"/>
      </items>
      <autoSortScope>
        <pivotArea dataOnly="0" outline="0" fieldPosition="0">
          <references count="1">
            <reference field="4294967294" count="1" selected="0">
              <x v="0"/>
            </reference>
          </references>
        </pivotArea>
      </autoSortScope>
    </pivotField>
    <pivotField showAll="0"/>
    <pivotField showAll="0">
      <items count="8">
        <item x="6"/>
        <item x="4"/>
        <item x="1"/>
        <item x="0"/>
        <item x="2"/>
        <item x="3"/>
        <item x="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5">
        <item x="3"/>
        <item x="0"/>
        <item x="1"/>
        <item x="2"/>
        <item t="default"/>
      </items>
    </pivotField>
    <pivotField dataField="1" showAll="0"/>
    <pivotField showAll="0"/>
    <pivotField showAll="0"/>
    <pivotField showAll="0">
      <items count="4">
        <item x="0"/>
        <item x="1"/>
        <item x="2"/>
        <item t="default"/>
      </items>
    </pivotField>
    <pivotField showAll="0"/>
    <pivotField showAll="0"/>
  </pivotFields>
  <rowFields count="1">
    <field x="0"/>
  </rowFields>
  <rowItems count="10">
    <i>
      <x v="15"/>
    </i>
    <i>
      <x v="2"/>
    </i>
    <i>
      <x v="17"/>
    </i>
    <i>
      <x v="8"/>
    </i>
    <i>
      <x v="7"/>
    </i>
    <i>
      <x v="1"/>
    </i>
    <i>
      <x v="4"/>
    </i>
    <i>
      <x v="10"/>
    </i>
    <i>
      <x/>
    </i>
    <i>
      <x v="5"/>
    </i>
  </rowItems>
  <colItems count="1">
    <i/>
  </colItems>
  <dataFields count="1">
    <dataField name="Total Sales" fld="21" baseField="0" baseItem="0" numFmtId="164"/>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973A8A1-DE01-45A9-BACC-B3ACB7FBEFB2}" name="PivotTable7"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 rowHeaderCaption="Performance Type ">
  <location ref="K4:L7" firstHeaderRow="1" firstDataRow="1" firstDataCol="1"/>
  <pivotFields count="27">
    <pivotField dataField="1" showAll="0">
      <items count="21">
        <item x="11"/>
        <item x="10"/>
        <item x="7"/>
        <item x="6"/>
        <item x="9"/>
        <item x="2"/>
        <item x="17"/>
        <item x="8"/>
        <item x="3"/>
        <item x="16"/>
        <item x="5"/>
        <item x="12"/>
        <item x="19"/>
        <item x="14"/>
        <item x="13"/>
        <item x="4"/>
        <item x="1"/>
        <item x="0"/>
        <item x="15"/>
        <item x="18"/>
        <item t="default"/>
      </items>
    </pivotField>
    <pivotField showAll="0"/>
    <pivotField showAll="0">
      <items count="8">
        <item x="6"/>
        <item x="4"/>
        <item x="1"/>
        <item x="0"/>
        <item x="2"/>
        <item x="3"/>
        <item x="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5">
        <item x="3"/>
        <item x="0"/>
        <item x="1"/>
        <item x="2"/>
        <item t="default"/>
      </items>
    </pivotField>
    <pivotField showAll="0"/>
    <pivotField showAll="0"/>
    <pivotField showAll="0"/>
    <pivotField axis="axisRow" showAll="0" sortType="descending">
      <items count="4">
        <item x="2"/>
        <item x="1"/>
        <item x="0"/>
        <item t="default"/>
      </items>
    </pivotField>
    <pivotField showAll="0"/>
    <pivotField showAll="0"/>
  </pivotFields>
  <rowFields count="1">
    <field x="24"/>
  </rowFields>
  <rowItems count="3">
    <i>
      <x/>
    </i>
    <i>
      <x v="1"/>
    </i>
    <i>
      <x v="2"/>
    </i>
  </rowItems>
  <colItems count="1">
    <i/>
  </colItems>
  <dataFields count="1">
    <dataField name="Total Vehicles" fld="0"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1ACDFA7-591A-4B7D-977C-9E98F3D66163}" name="PivotTable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 rowHeaderCaption="Country ">
  <location ref="N4:O10" firstHeaderRow="1" firstDataRow="1" firstDataCol="1"/>
  <pivotFields count="27">
    <pivotField showAll="0">
      <items count="21">
        <item x="11"/>
        <item x="10"/>
        <item x="7"/>
        <item x="6"/>
        <item x="9"/>
        <item x="2"/>
        <item x="17"/>
        <item x="8"/>
        <item x="3"/>
        <item x="16"/>
        <item x="5"/>
        <item x="12"/>
        <item x="19"/>
        <item x="14"/>
        <item x="13"/>
        <item x="4"/>
        <item x="1"/>
        <item x="0"/>
        <item x="15"/>
        <item x="18"/>
        <item t="default"/>
      </items>
    </pivotField>
    <pivotField showAll="0"/>
    <pivotField showAll="0">
      <items count="8">
        <item x="6"/>
        <item x="4"/>
        <item x="1"/>
        <item x="0"/>
        <item x="2"/>
        <item x="3"/>
        <item x="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sortType="descending">
      <items count="7">
        <item x="4"/>
        <item x="0"/>
        <item x="1"/>
        <item x="3"/>
        <item x="5"/>
        <item x="2"/>
        <item t="default"/>
      </items>
      <autoSortScope>
        <pivotArea dataOnly="0" outline="0" fieldPosition="0">
          <references count="1">
            <reference field="4294967294" count="1" selected="0">
              <x v="0"/>
            </reference>
          </references>
        </pivotArea>
      </autoSortScope>
    </pivotField>
    <pivotField showAll="0">
      <items count="5">
        <item x="3"/>
        <item x="0"/>
        <item x="1"/>
        <item x="2"/>
        <item t="default"/>
      </items>
    </pivotField>
    <pivotField dataField="1" showAll="0"/>
    <pivotField showAll="0"/>
    <pivotField showAll="0"/>
    <pivotField showAll="0">
      <items count="4">
        <item x="0"/>
        <item x="1"/>
        <item x="2"/>
        <item t="default"/>
      </items>
    </pivotField>
    <pivotField showAll="0"/>
    <pivotField showAll="0"/>
  </pivotFields>
  <rowFields count="1">
    <field x="19"/>
  </rowFields>
  <rowItems count="6">
    <i>
      <x v="5"/>
    </i>
    <i>
      <x v="1"/>
    </i>
    <i>
      <x/>
    </i>
    <i>
      <x v="3"/>
    </i>
    <i>
      <x v="2"/>
    </i>
    <i>
      <x v="4"/>
    </i>
  </rowItems>
  <colItems count="1">
    <i/>
  </colItems>
  <dataFields count="1">
    <dataField name="Annual Sales " fld="21" baseField="0" baseItem="0" numFmtId="164"/>
  </dataFields>
  <formats count="2">
    <format dxfId="6">
      <pivotArea collapsedLevelsAreSubtotals="1" fieldPosition="0">
        <references count="1">
          <reference field="19" count="1">
            <x v="1"/>
          </reference>
        </references>
      </pivotArea>
    </format>
    <format dxfId="5">
      <pivotArea outline="0" fieldPosition="0">
        <references count="1">
          <reference field="4294967294" count="1">
            <x v="0"/>
          </reference>
        </references>
      </pivotArea>
    </format>
  </formats>
  <chartFormats count="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9"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76F8529-7BF1-4005-8BB4-D0D39FC2FB16}" name="PivotTable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
  <location ref="H4:I24" firstHeaderRow="1" firstDataRow="1" firstDataCol="1"/>
  <pivotFields count="27">
    <pivotField axis="axisRow" showAll="0" sortType="descending">
      <items count="21">
        <item x="11"/>
        <item x="10"/>
        <item x="7"/>
        <item x="6"/>
        <item x="9"/>
        <item x="2"/>
        <item x="17"/>
        <item x="8"/>
        <item x="3"/>
        <item x="16"/>
        <item x="5"/>
        <item x="12"/>
        <item x="19"/>
        <item x="14"/>
        <item x="13"/>
        <item x="4"/>
        <item x="1"/>
        <item x="0"/>
        <item x="15"/>
        <item x="18"/>
        <item t="default"/>
      </items>
      <autoSortScope>
        <pivotArea dataOnly="0" outline="0" fieldPosition="0">
          <references count="1">
            <reference field="4294967294" count="1" selected="0">
              <x v="0"/>
            </reference>
          </references>
        </pivotArea>
      </autoSortScope>
    </pivotField>
    <pivotField showAll="0"/>
    <pivotField showAll="0">
      <items count="8">
        <item x="6"/>
        <item x="4"/>
        <item x="1"/>
        <item x="0"/>
        <item x="2"/>
        <item x="3"/>
        <item x="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5">
        <item x="3"/>
        <item x="0"/>
        <item x="1"/>
        <item x="2"/>
        <item t="default"/>
      </items>
    </pivotField>
    <pivotField showAll="0"/>
    <pivotField showAll="0"/>
    <pivotField showAll="0"/>
    <pivotField showAll="0">
      <items count="4">
        <item x="0"/>
        <item x="1"/>
        <item x="2"/>
        <item t="default"/>
      </items>
    </pivotField>
    <pivotField dataField="1" showAll="0"/>
    <pivotField showAll="0"/>
  </pivotFields>
  <rowFields count="1">
    <field x="0"/>
  </rowFields>
  <rowItems count="20">
    <i>
      <x v="9"/>
    </i>
    <i>
      <x v="12"/>
    </i>
    <i>
      <x v="18"/>
    </i>
    <i>
      <x v="3"/>
    </i>
    <i>
      <x v="13"/>
    </i>
    <i>
      <x v="5"/>
    </i>
    <i>
      <x v="6"/>
    </i>
    <i>
      <x v="11"/>
    </i>
    <i>
      <x v="2"/>
    </i>
    <i>
      <x v="4"/>
    </i>
    <i>
      <x v="14"/>
    </i>
    <i>
      <x v="16"/>
    </i>
    <i>
      <x v="1"/>
    </i>
    <i>
      <x v="15"/>
    </i>
    <i>
      <x v="17"/>
    </i>
    <i>
      <x v="8"/>
    </i>
    <i>
      <x/>
    </i>
    <i>
      <x v="7"/>
    </i>
    <i>
      <x v="10"/>
    </i>
    <i>
      <x v="19"/>
    </i>
  </rowItems>
  <colItems count="1">
    <i/>
  </colItems>
  <dataFields count="1">
    <dataField name="Average of Efficiency" fld="25" subtotal="average" baseField="0" baseItem="0" numFmtId="2"/>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25EEE65-B742-403B-A5C8-A5976FFF5520}" name="PivotTable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 rowHeaderCaption="Market Segment">
  <location ref="E4:F8" firstHeaderRow="1" firstDataRow="1" firstDataCol="1"/>
  <pivotFields count="27">
    <pivotField dataField="1" showAll="0">
      <items count="21">
        <item x="11"/>
        <item x="10"/>
        <item x="7"/>
        <item x="6"/>
        <item x="9"/>
        <item x="2"/>
        <item x="17"/>
        <item x="8"/>
        <item x="3"/>
        <item x="16"/>
        <item x="5"/>
        <item x="12"/>
        <item x="19"/>
        <item x="14"/>
        <item x="13"/>
        <item x="4"/>
        <item x="1"/>
        <item x="0"/>
        <item x="15"/>
        <item x="18"/>
        <item t="default"/>
      </items>
    </pivotField>
    <pivotField showAll="0"/>
    <pivotField showAll="0">
      <items count="8">
        <item x="6"/>
        <item x="4"/>
        <item x="1"/>
        <item x="0"/>
        <item x="2"/>
        <item x="3"/>
        <item x="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5">
        <item x="3"/>
        <item x="0"/>
        <item x="1"/>
        <item x="2"/>
        <item t="default"/>
      </items>
    </pivotField>
    <pivotField showAll="0"/>
    <pivotField showAll="0"/>
    <pivotField showAll="0"/>
    <pivotField showAll="0">
      <items count="4">
        <item x="0"/>
        <item x="1"/>
        <item x="2"/>
        <item t="default"/>
      </items>
    </pivotField>
    <pivotField showAll="0"/>
    <pivotField showAll="0"/>
  </pivotFields>
  <rowFields count="1">
    <field x="20"/>
  </rowFields>
  <rowItems count="4">
    <i>
      <x/>
    </i>
    <i>
      <x v="1"/>
    </i>
    <i>
      <x v="2"/>
    </i>
    <i>
      <x v="3"/>
    </i>
  </rowItems>
  <colItems count="1">
    <i/>
  </colItems>
  <dataFields count="1">
    <dataField name="Total Vehicles" fld="0" subtotal="count" baseField="0" baseItem="0"/>
  </dataFields>
  <chartFormats count="5">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0" count="1" selected="0">
            <x v="1"/>
          </reference>
        </references>
      </pivotArea>
    </chartFormat>
    <chartFormat chart="0" format="2">
      <pivotArea type="data" outline="0" fieldPosition="0">
        <references count="2">
          <reference field="4294967294" count="1" selected="0">
            <x v="0"/>
          </reference>
          <reference field="20" count="1" selected="0">
            <x v="0"/>
          </reference>
        </references>
      </pivotArea>
    </chartFormat>
    <chartFormat chart="0" format="3">
      <pivotArea type="data" outline="0" fieldPosition="0">
        <references count="2">
          <reference field="4294967294" count="1" selected="0">
            <x v="0"/>
          </reference>
          <reference field="20" count="1" selected="0">
            <x v="2"/>
          </reference>
        </references>
      </pivotArea>
    </chartFormat>
    <chartFormat chart="0" format="4">
      <pivotArea type="data" outline="0" fieldPosition="0">
        <references count="2">
          <reference field="4294967294" count="1" selected="0">
            <x v="0"/>
          </reference>
          <reference field="20"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D19B8A9-C95A-4A6E-AD91-F74CAD70C4AD}"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Performance Type ">
  <location ref="A3:B7" firstHeaderRow="1" firstDataRow="1" firstDataCol="1"/>
  <pivotFields count="27">
    <pivotField dataField="1" showAll="0">
      <items count="21">
        <item x="11"/>
        <item x="10"/>
        <item x="7"/>
        <item x="6"/>
        <item x="9"/>
        <item x="2"/>
        <item x="17"/>
        <item x="8"/>
        <item x="3"/>
        <item x="16"/>
        <item x="5"/>
        <item x="12"/>
        <item x="19"/>
        <item x="14"/>
        <item x="13"/>
        <item x="4"/>
        <item x="1"/>
        <item x="0"/>
        <item x="15"/>
        <item x="18"/>
        <item t="default"/>
      </items>
    </pivotField>
    <pivotField showAll="0"/>
    <pivotField showAll="0">
      <items count="8">
        <item x="6"/>
        <item x="4"/>
        <item x="1"/>
        <item x="0"/>
        <item x="2"/>
        <item x="3"/>
        <item x="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7">
        <item x="4"/>
        <item x="0"/>
        <item x="1"/>
        <item x="3"/>
        <item x="5"/>
        <item x="2"/>
        <item t="default"/>
      </items>
    </pivotField>
    <pivotField showAll="0">
      <items count="5">
        <item x="3"/>
        <item x="0"/>
        <item x="1"/>
        <item x="2"/>
        <item t="default"/>
      </items>
    </pivotField>
    <pivotField showAll="0"/>
    <pivotField showAll="0"/>
    <pivotField showAll="0"/>
    <pivotField axis="axisRow" showAll="0" sortType="descending">
      <items count="4">
        <item x="2"/>
        <item x="1"/>
        <item x="0"/>
        <item t="default"/>
      </items>
    </pivotField>
    <pivotField showAll="0"/>
    <pivotField showAll="0"/>
  </pivotFields>
  <rowFields count="1">
    <field x="24"/>
  </rowFields>
  <rowItems count="4">
    <i>
      <x/>
    </i>
    <i>
      <x v="1"/>
    </i>
    <i>
      <x v="2"/>
    </i>
    <i t="grand">
      <x/>
    </i>
  </rowItems>
  <colItems count="1">
    <i/>
  </colItems>
  <dataFields count="1">
    <dataField name="Total Vehicles" fld="0"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375364C-E33B-413A-A25E-5CC4DFAAC928}"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27">
    <pivotField showAll="0">
      <items count="21">
        <item x="11"/>
        <item x="10"/>
        <item x="7"/>
        <item x="6"/>
        <item x="9"/>
        <item x="2"/>
        <item x="17"/>
        <item x="8"/>
        <item x="3"/>
        <item x="16"/>
        <item x="5"/>
        <item x="12"/>
        <item x="19"/>
        <item x="14"/>
        <item x="13"/>
        <item x="4"/>
        <item x="1"/>
        <item x="0"/>
        <item x="15"/>
        <item x="18"/>
        <item t="default"/>
      </items>
    </pivotField>
    <pivotField showAll="0"/>
    <pivotField showAll="0">
      <items count="8">
        <item x="6"/>
        <item x="4"/>
        <item x="1"/>
        <item x="0"/>
        <item x="2"/>
        <item x="3"/>
        <item x="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5">
        <item x="3"/>
        <item x="0"/>
        <item x="1"/>
        <item x="2"/>
        <item t="default"/>
      </items>
    </pivotField>
    <pivotField showAll="0"/>
    <pivotField dataField="1" showAll="0"/>
    <pivotField showAll="0"/>
    <pivotField showAll="0">
      <items count="4">
        <item x="0"/>
        <item x="1"/>
        <item x="2"/>
        <item t="default"/>
      </items>
    </pivotField>
    <pivotField showAll="0"/>
    <pivotField showAll="0"/>
  </pivotFields>
  <rowItems count="1">
    <i/>
  </rowItems>
  <colItems count="1">
    <i/>
  </colItems>
  <dataFields count="1">
    <dataField name="Average of customer_rating" fld="22" subtotal="average" baseField="0" baseItem="0" numFmtId="167"/>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4E44740-DE2E-4358-9276-7BADF1E1C84F}"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Country ">
  <location ref="A3:B10" firstHeaderRow="1" firstDataRow="1" firstDataCol="1"/>
  <pivotFields count="27">
    <pivotField showAll="0">
      <items count="21">
        <item x="11"/>
        <item x="10"/>
        <item x="7"/>
        <item x="6"/>
        <item x="9"/>
        <item x="2"/>
        <item x="17"/>
        <item x="8"/>
        <item x="3"/>
        <item x="16"/>
        <item x="5"/>
        <item x="12"/>
        <item x="19"/>
        <item x="14"/>
        <item x="13"/>
        <item x="4"/>
        <item x="1"/>
        <item x="0"/>
        <item x="15"/>
        <item x="18"/>
        <item t="default"/>
      </items>
    </pivotField>
    <pivotField showAll="0"/>
    <pivotField showAll="0">
      <items count="8">
        <item x="6"/>
        <item x="4"/>
        <item x="1"/>
        <item x="0"/>
        <item x="2"/>
        <item x="3"/>
        <item x="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sortType="descending">
      <items count="7">
        <item x="4"/>
        <item x="0"/>
        <item x="1"/>
        <item x="3"/>
        <item x="5"/>
        <item x="2"/>
        <item t="default"/>
      </items>
      <autoSortScope>
        <pivotArea dataOnly="0" outline="0" fieldPosition="0">
          <references count="1">
            <reference field="4294967294" count="1" selected="0">
              <x v="0"/>
            </reference>
          </references>
        </pivotArea>
      </autoSortScope>
    </pivotField>
    <pivotField showAll="0">
      <items count="5">
        <item x="3"/>
        <item x="0"/>
        <item x="1"/>
        <item x="2"/>
        <item t="default"/>
      </items>
    </pivotField>
    <pivotField dataField="1" showAll="0"/>
    <pivotField showAll="0"/>
    <pivotField showAll="0"/>
    <pivotField showAll="0">
      <items count="4">
        <item x="0"/>
        <item x="1"/>
        <item x="2"/>
        <item t="default"/>
      </items>
    </pivotField>
    <pivotField showAll="0"/>
    <pivotField showAll="0"/>
  </pivotFields>
  <rowFields count="1">
    <field x="19"/>
  </rowFields>
  <rowItems count="7">
    <i>
      <x v="5"/>
    </i>
    <i>
      <x v="1"/>
    </i>
    <i>
      <x/>
    </i>
    <i>
      <x v="3"/>
    </i>
    <i>
      <x v="2"/>
    </i>
    <i>
      <x v="4"/>
    </i>
    <i t="grand">
      <x/>
    </i>
  </rowItems>
  <colItems count="1">
    <i/>
  </colItems>
  <dataFields count="1">
    <dataField name="Annual Sales " fld="21" baseField="0" baseItem="0" numFmtId="164"/>
  </dataFields>
  <formats count="2">
    <format dxfId="4">
      <pivotArea collapsedLevelsAreSubtotals="1" fieldPosition="0">
        <references count="1">
          <reference field="19" count="1">
            <x v="1"/>
          </reference>
        </references>
      </pivotArea>
    </format>
    <format dxfId="3">
      <pivotArea outline="0" fieldPosition="0">
        <references count="1">
          <reference field="4294967294" count="1">
            <x v="0"/>
          </reference>
        </references>
      </pivotArea>
    </format>
  </formats>
  <chartFormats count="3">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9" count="1" selected="0">
            <x v="5"/>
          </reference>
        </references>
      </pivotArea>
    </chartFormat>
    <chartFormat chart="2"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972AE88-2700-4189-BCE3-8A0CE69881C3}"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27">
    <pivotField showAll="0">
      <items count="21">
        <item x="11"/>
        <item x="10"/>
        <item x="7"/>
        <item x="6"/>
        <item x="9"/>
        <item x="2"/>
        <item x="17"/>
        <item x="8"/>
        <item x="3"/>
        <item x="16"/>
        <item x="5"/>
        <item x="12"/>
        <item x="19"/>
        <item x="14"/>
        <item x="13"/>
        <item x="4"/>
        <item x="1"/>
        <item x="0"/>
        <item x="15"/>
        <item x="18"/>
        <item t="default"/>
      </items>
    </pivotField>
    <pivotField showAll="0"/>
    <pivotField showAll="0">
      <items count="8">
        <item x="6"/>
        <item x="4"/>
        <item x="1"/>
        <item x="0"/>
        <item x="2"/>
        <item x="3"/>
        <item x="5"/>
        <item t="default"/>
      </items>
    </pivotField>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5">
        <item x="3"/>
        <item x="0"/>
        <item x="1"/>
        <item x="2"/>
        <item t="default"/>
      </items>
    </pivotField>
    <pivotField showAll="0"/>
    <pivotField showAll="0"/>
    <pivotField showAll="0"/>
    <pivotField showAll="0">
      <items count="4">
        <item x="0"/>
        <item x="1"/>
        <item x="2"/>
        <item t="default"/>
      </items>
    </pivotField>
    <pivotField showAll="0"/>
    <pivotField showAll="0"/>
  </pivotFields>
  <rowItems count="1">
    <i/>
  </rowItems>
  <colItems count="1">
    <i/>
  </colItems>
  <dataFields count="1">
    <dataField name="Average of Battery Capacity (kwh)" fld="5" subtotal="average"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A9B2F99-DE3B-4503-B93F-69559577E08B}"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27">
    <pivotField showAll="0">
      <items count="21">
        <item x="11"/>
        <item x="10"/>
        <item x="7"/>
        <item x="6"/>
        <item x="9"/>
        <item x="2"/>
        <item x="17"/>
        <item x="8"/>
        <item x="3"/>
        <item x="16"/>
        <item x="5"/>
        <item x="12"/>
        <item x="19"/>
        <item x="14"/>
        <item x="13"/>
        <item x="4"/>
        <item x="1"/>
        <item x="0"/>
        <item x="15"/>
        <item x="18"/>
        <item t="default"/>
      </items>
    </pivotField>
    <pivotField showAll="0"/>
    <pivotField showAll="0">
      <items count="8">
        <item x="6"/>
        <item x="4"/>
        <item x="1"/>
        <item x="0"/>
        <item x="2"/>
        <item x="3"/>
        <item x="5"/>
        <item t="default"/>
      </items>
    </pivotField>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5">
        <item x="3"/>
        <item x="0"/>
        <item x="1"/>
        <item x="2"/>
        <item t="default"/>
      </items>
    </pivotField>
    <pivotField showAll="0"/>
    <pivotField showAll="0"/>
    <pivotField showAll="0"/>
    <pivotField showAll="0">
      <items count="4">
        <item x="0"/>
        <item x="1"/>
        <item x="2"/>
        <item t="default"/>
      </items>
    </pivotField>
    <pivotField showAll="0"/>
    <pivotField showAll="0"/>
  </pivotFields>
  <rowItems count="1">
    <i/>
  </rowItems>
  <colItems count="1">
    <i/>
  </colItems>
  <dataFields count="1">
    <dataField name="Average of range_miles" fld="6" subtotal="average"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6B4A569E-EAEB-4CDB-9927-721D6627A8B9}" name="PivotTable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 rowHeaderCaption="Brand">
  <location ref="A3:B13" firstHeaderRow="1" firstDataRow="1" firstDataCol="1"/>
  <pivotFields count="27">
    <pivotField axis="axisRow" showAll="0" measureFilter="1" sortType="descending">
      <items count="21">
        <item x="11"/>
        <item x="10"/>
        <item x="7"/>
        <item x="6"/>
        <item x="9"/>
        <item x="2"/>
        <item x="17"/>
        <item x="8"/>
        <item x="3"/>
        <item x="16"/>
        <item x="5"/>
        <item x="12"/>
        <item x="19"/>
        <item x="14"/>
        <item x="13"/>
        <item x="4"/>
        <item x="1"/>
        <item x="0"/>
        <item x="15"/>
        <item x="18"/>
        <item t="default"/>
      </items>
      <autoSortScope>
        <pivotArea dataOnly="0" outline="0" fieldPosition="0">
          <references count="1">
            <reference field="4294967294" count="1" selected="0">
              <x v="0"/>
            </reference>
          </references>
        </pivotArea>
      </autoSortScope>
    </pivotField>
    <pivotField showAll="0"/>
    <pivotField showAll="0">
      <items count="8">
        <item x="6"/>
        <item x="4"/>
        <item x="1"/>
        <item x="0"/>
        <item x="2"/>
        <item x="3"/>
        <item x="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5">
        <item x="3"/>
        <item x="0"/>
        <item x="1"/>
        <item x="2"/>
        <item t="default"/>
      </items>
    </pivotField>
    <pivotField showAll="0"/>
    <pivotField showAll="0"/>
    <pivotField showAll="0"/>
    <pivotField showAll="0">
      <items count="4">
        <item x="0"/>
        <item x="1"/>
        <item x="2"/>
        <item t="default"/>
      </items>
    </pivotField>
    <pivotField dataField="1" showAll="0"/>
    <pivotField showAll="0"/>
  </pivotFields>
  <rowFields count="1">
    <field x="0"/>
  </rowFields>
  <rowItems count="10">
    <i>
      <x v="9"/>
    </i>
    <i>
      <x v="12"/>
    </i>
    <i>
      <x v="18"/>
    </i>
    <i>
      <x v="3"/>
    </i>
    <i>
      <x v="13"/>
    </i>
    <i>
      <x v="5"/>
    </i>
    <i>
      <x v="6"/>
    </i>
    <i>
      <x v="11"/>
    </i>
    <i>
      <x v="2"/>
    </i>
    <i>
      <x v="4"/>
    </i>
  </rowItems>
  <colItems count="1">
    <i/>
  </colItems>
  <dataFields count="1">
    <dataField name="Average of Efficiency" fld="25" subtotal="average" baseField="0" baseItem="0" numFmtId="2"/>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2E29DCAA-C6EE-4C01-B09E-4AB0FC512A4B}"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27">
    <pivotField showAll="0">
      <items count="21">
        <item x="11"/>
        <item x="10"/>
        <item x="7"/>
        <item x="6"/>
        <item x="9"/>
        <item x="2"/>
        <item x="17"/>
        <item x="8"/>
        <item x="3"/>
        <item x="16"/>
        <item x="5"/>
        <item x="12"/>
        <item x="19"/>
        <item x="14"/>
        <item x="13"/>
        <item x="4"/>
        <item x="1"/>
        <item x="0"/>
        <item x="15"/>
        <item x="18"/>
        <item t="default"/>
      </items>
    </pivotField>
    <pivotField showAll="0"/>
    <pivotField showAll="0">
      <items count="8">
        <item x="6"/>
        <item x="4"/>
        <item x="1"/>
        <item x="0"/>
        <item x="2"/>
        <item x="3"/>
        <item x="5"/>
        <item t="default"/>
      </items>
    </pivotField>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5">
        <item x="3"/>
        <item x="0"/>
        <item x="1"/>
        <item x="2"/>
        <item t="default"/>
      </items>
    </pivotField>
    <pivotField showAll="0"/>
    <pivotField showAll="0"/>
    <pivotField showAll="0"/>
    <pivotField showAll="0">
      <items count="4">
        <item x="0"/>
        <item x="1"/>
        <item x="2"/>
        <item t="default"/>
      </items>
    </pivotField>
    <pivotField showAll="0"/>
    <pivotField showAll="0"/>
  </pivotFields>
  <rowItems count="1">
    <i/>
  </rowItems>
  <colItems count="1">
    <i/>
  </colItems>
  <dataFields count="1">
    <dataField name="Average of Price USD" fld="4" subtotal="average" baseField="0" baseItem="0" numFmtId="166"/>
  </dataFields>
  <formats count="3">
    <format dxfId="2">
      <pivotArea dataOnly="0" labelOnly="1" outline="0" axis="axisValues" fieldPosition="0"/>
    </format>
    <format dxfId="1">
      <pivotArea outline="0" fieldPosition="0">
        <references count="1">
          <reference field="4294967294" count="1">
            <x v="0"/>
          </reference>
        </references>
      </pivotArea>
    </format>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FCF3A735-D02E-4192-939E-85191F1FA933}" name="PivotTable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 rowHeaderCaption="Market Segment">
  <location ref="A3:B7" firstHeaderRow="1" firstDataRow="1" firstDataCol="1"/>
  <pivotFields count="27">
    <pivotField dataField="1" showAll="0">
      <items count="21">
        <item x="11"/>
        <item x="10"/>
        <item x="7"/>
        <item x="6"/>
        <item x="9"/>
        <item x="2"/>
        <item x="17"/>
        <item x="8"/>
        <item x="3"/>
        <item x="16"/>
        <item x="5"/>
        <item x="12"/>
        <item x="19"/>
        <item x="14"/>
        <item x="13"/>
        <item x="4"/>
        <item x="1"/>
        <item x="0"/>
        <item x="15"/>
        <item x="18"/>
        <item t="default"/>
      </items>
    </pivotField>
    <pivotField showAll="0"/>
    <pivotField showAll="0">
      <items count="8">
        <item x="6"/>
        <item x="4"/>
        <item x="1"/>
        <item x="0"/>
        <item x="2"/>
        <item x="3"/>
        <item x="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5">
        <item x="3"/>
        <item x="0"/>
        <item x="1"/>
        <item x="2"/>
        <item t="default"/>
      </items>
    </pivotField>
    <pivotField showAll="0"/>
    <pivotField showAll="0"/>
    <pivotField showAll="0"/>
    <pivotField showAll="0">
      <items count="4">
        <item x="0"/>
        <item x="1"/>
        <item x="2"/>
        <item t="default"/>
      </items>
    </pivotField>
    <pivotField showAll="0"/>
    <pivotField showAll="0"/>
  </pivotFields>
  <rowFields count="1">
    <field x="20"/>
  </rowFields>
  <rowItems count="4">
    <i>
      <x/>
    </i>
    <i>
      <x v="1"/>
    </i>
    <i>
      <x v="2"/>
    </i>
    <i>
      <x v="3"/>
    </i>
  </rowItems>
  <colItems count="1">
    <i/>
  </colItems>
  <dataFields count="1">
    <dataField name="Total Vehicles" fld="0" subtotal="count" baseField="0" baseItem="0"/>
  </dataFields>
  <chartFormats count="1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0" count="1" selected="0">
            <x v="1"/>
          </reference>
        </references>
      </pivotArea>
    </chartFormat>
    <chartFormat chart="0" format="2">
      <pivotArea type="data" outline="0" fieldPosition="0">
        <references count="2">
          <reference field="4294967294" count="1" selected="0">
            <x v="0"/>
          </reference>
          <reference field="20" count="1" selected="0">
            <x v="0"/>
          </reference>
        </references>
      </pivotArea>
    </chartFormat>
    <chartFormat chart="0" format="3">
      <pivotArea type="data" outline="0" fieldPosition="0">
        <references count="2">
          <reference field="4294967294" count="1" selected="0">
            <x v="0"/>
          </reference>
          <reference field="20" count="1" selected="0">
            <x v="2"/>
          </reference>
        </references>
      </pivotArea>
    </chartFormat>
    <chartFormat chart="0" format="4">
      <pivotArea type="data" outline="0" fieldPosition="0">
        <references count="2">
          <reference field="4294967294" count="1" selected="0">
            <x v="0"/>
          </reference>
          <reference field="20" count="1" selected="0">
            <x v="3"/>
          </reference>
        </references>
      </pivotArea>
    </chartFormat>
    <chartFormat chart="3" format="10" series="1">
      <pivotArea type="data" outline="0" fieldPosition="0">
        <references count="1">
          <reference field="4294967294" count="1" selected="0">
            <x v="0"/>
          </reference>
        </references>
      </pivotArea>
    </chartFormat>
    <chartFormat chart="3" format="11">
      <pivotArea type="data" outline="0" fieldPosition="0">
        <references count="2">
          <reference field="4294967294" count="1" selected="0">
            <x v="0"/>
          </reference>
          <reference field="20" count="1" selected="0">
            <x v="0"/>
          </reference>
        </references>
      </pivotArea>
    </chartFormat>
    <chartFormat chart="3" format="12">
      <pivotArea type="data" outline="0" fieldPosition="0">
        <references count="2">
          <reference field="4294967294" count="1" selected="0">
            <x v="0"/>
          </reference>
          <reference field="20" count="1" selected="0">
            <x v="1"/>
          </reference>
        </references>
      </pivotArea>
    </chartFormat>
    <chartFormat chart="3" format="13">
      <pivotArea type="data" outline="0" fieldPosition="0">
        <references count="2">
          <reference field="4294967294" count="1" selected="0">
            <x v="0"/>
          </reference>
          <reference field="20" count="1" selected="0">
            <x v="2"/>
          </reference>
        </references>
      </pivotArea>
    </chartFormat>
    <chartFormat chart="3" format="14">
      <pivotArea type="data" outline="0" fieldPosition="0">
        <references count="2">
          <reference field="4294967294" count="1" selected="0">
            <x v="0"/>
          </reference>
          <reference field="20"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EB3C9BA8-6787-4B16-B7A1-4DEEFC4DD9D1}" name="PivotTable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6" rowHeaderCaption="Brand">
  <location ref="A3:B13" firstHeaderRow="1" firstDataRow="1" firstDataCol="1"/>
  <pivotFields count="27">
    <pivotField axis="axisRow" showAll="0" measureFilter="1" sortType="descending">
      <items count="21">
        <item x="11"/>
        <item x="10"/>
        <item x="7"/>
        <item x="6"/>
        <item x="9"/>
        <item x="2"/>
        <item x="17"/>
        <item x="8"/>
        <item x="3"/>
        <item x="16"/>
        <item x="5"/>
        <item x="12"/>
        <item x="19"/>
        <item x="14"/>
        <item x="13"/>
        <item x="4"/>
        <item x="1"/>
        <item x="0"/>
        <item x="15"/>
        <item x="18"/>
        <item t="default"/>
      </items>
      <autoSortScope>
        <pivotArea dataOnly="0" outline="0" fieldPosition="0">
          <references count="1">
            <reference field="4294967294" count="1" selected="0">
              <x v="0"/>
            </reference>
          </references>
        </pivotArea>
      </autoSortScope>
    </pivotField>
    <pivotField showAll="0"/>
    <pivotField showAll="0">
      <items count="8">
        <item x="6"/>
        <item x="4"/>
        <item x="1"/>
        <item x="0"/>
        <item x="2"/>
        <item x="3"/>
        <item x="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5">
        <item x="3"/>
        <item x="0"/>
        <item x="1"/>
        <item x="2"/>
        <item t="default"/>
      </items>
    </pivotField>
    <pivotField dataField="1" showAll="0"/>
    <pivotField showAll="0"/>
    <pivotField showAll="0"/>
    <pivotField showAll="0">
      <items count="4">
        <item x="0"/>
        <item x="1"/>
        <item x="2"/>
        <item t="default"/>
      </items>
    </pivotField>
    <pivotField showAll="0"/>
    <pivotField showAll="0"/>
  </pivotFields>
  <rowFields count="1">
    <field x="0"/>
  </rowFields>
  <rowItems count="10">
    <i>
      <x v="15"/>
    </i>
    <i>
      <x v="2"/>
    </i>
    <i>
      <x v="17"/>
    </i>
    <i>
      <x v="8"/>
    </i>
    <i>
      <x v="7"/>
    </i>
    <i>
      <x v="1"/>
    </i>
    <i>
      <x v="4"/>
    </i>
    <i>
      <x v="10"/>
    </i>
    <i>
      <x/>
    </i>
    <i>
      <x v="5"/>
    </i>
  </rowItems>
  <colItems count="1">
    <i/>
  </colItems>
  <dataFields count="1">
    <dataField name="Total Sales" fld="21" baseField="0" baseItem="0" numFmtId="164"/>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d" xr10:uid="{26C0CDBF-A2DC-4972-A307-FA73BB0C4B2F}" sourceName="brand">
  <pivotTables>
    <pivotTable tabId="10" name="PivotTable1"/>
    <pivotTable tabId="15" name="PivotTable10"/>
    <pivotTable tabId="12" name="PivotTable8"/>
    <pivotTable tabId="14" name="PivotTable9"/>
    <pivotTable tabId="16" name="PivotTable11"/>
    <pivotTable tabId="11" name="PivotTable1"/>
    <pivotTable tabId="7" name="PivotTable5"/>
    <pivotTable tabId="6" name="PivotTable3"/>
    <pivotTable tabId="2" name="PivotTable2"/>
    <pivotTable tabId="2" name="PivotTable4"/>
    <pivotTable tabId="2" name="PivotTable5"/>
    <pivotTable tabId="2" name="PivotTable6"/>
    <pivotTable tabId="2" name="PivotTable7"/>
    <pivotTable tabId="5" name="PivotTable1"/>
  </pivotTables>
  <data>
    <tabular pivotCacheId="190925858">
      <items count="20">
        <i x="11" s="1"/>
        <i x="10" s="1"/>
        <i x="7" s="1"/>
        <i x="6" s="1"/>
        <i x="9" s="1"/>
        <i x="2" s="1"/>
        <i x="17" s="1"/>
        <i x="8" s="1"/>
        <i x="3" s="1"/>
        <i x="16" s="1"/>
        <i x="5" s="1"/>
        <i x="12" s="1"/>
        <i x="19" s="1"/>
        <i x="14" s="1"/>
        <i x="13" s="1"/>
        <i x="4" s="1"/>
        <i x="1" s="1"/>
        <i x="0" s="1"/>
        <i x="15" s="1"/>
        <i x="18"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_of_origin" xr10:uid="{B0FC0EEE-8833-4BA2-9C70-653F5FF36ECF}" sourceName="country_of_origin">
  <pivotTables>
    <pivotTable tabId="10" name="PivotTable1"/>
  </pivotTables>
  <data>
    <tabular pivotCacheId="190925858">
      <items count="6">
        <i x="4" s="1"/>
        <i x="0" s="1"/>
        <i x="1" s="1"/>
        <i x="3" s="1"/>
        <i x="5"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erformance_Type" xr10:uid="{67F3509D-E67F-4778-B1CA-47BDB95C0210}" sourceName="Performance Type">
  <pivotTables>
    <pivotTable tabId="5" name="PivotTable1"/>
    <pivotTable tabId="11" name="PivotTable1"/>
    <pivotTable tabId="7" name="PivotTable5"/>
    <pivotTable tabId="6" name="PivotTable3"/>
    <pivotTable tabId="10" name="PivotTable1"/>
    <pivotTable tabId="15" name="PivotTable10"/>
    <pivotTable tabId="12" name="PivotTable8"/>
    <pivotTable tabId="14" name="PivotTable9"/>
    <pivotTable tabId="16" name="PivotTable11"/>
    <pivotTable tabId="2" name="PivotTable2"/>
    <pivotTable tabId="2" name="PivotTable4"/>
    <pivotTable tabId="2" name="PivotTable5"/>
    <pivotTable tabId="2" name="PivotTable6"/>
    <pivotTable tabId="2" name="PivotTable7"/>
  </pivotTables>
  <data>
    <tabular pivotCacheId="190925858">
      <items count="3">
        <i x="0" s="1"/>
        <i x="1"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ice_Category" xr10:uid="{D4D8316D-960B-448F-94BF-7BBFB26026E5}" sourceName="Price Category ">
  <pivotTables>
    <pivotTable tabId="5" name="PivotTable1"/>
    <pivotTable tabId="15" name="PivotTable10"/>
    <pivotTable tabId="12" name="PivotTable8"/>
    <pivotTable tabId="14" name="PivotTable9"/>
    <pivotTable tabId="16" name="PivotTable11"/>
    <pivotTable tabId="11" name="PivotTable1"/>
    <pivotTable tabId="7" name="PivotTable5"/>
    <pivotTable tabId="6" name="PivotTable3"/>
    <pivotTable tabId="10" name="PivotTable1"/>
    <pivotTable tabId="2" name="PivotTable2"/>
    <pivotTable tabId="2" name="PivotTable4"/>
    <pivotTable tabId="2" name="PivotTable5"/>
    <pivotTable tabId="2" name="PivotTable6"/>
    <pivotTable tabId="2" name="PivotTable7"/>
  </pivotTables>
  <data>
    <tabular pivotCacheId="190925858">
      <items count="4">
        <i x="3" s="1"/>
        <i x="0" s="1"/>
        <i x="1" s="1"/>
        <i x="2"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D200592A-3659-44E4-BFD4-55C8E3D94B09}" sourceName="year">
  <pivotTables>
    <pivotTable tabId="6" name="PivotTable3"/>
    <pivotTable tabId="15" name="PivotTable10"/>
    <pivotTable tabId="12" name="PivotTable8"/>
    <pivotTable tabId="14" name="PivotTable9"/>
    <pivotTable tabId="16" name="PivotTable11"/>
    <pivotTable tabId="11" name="PivotTable1"/>
    <pivotTable tabId="7" name="PivotTable5"/>
    <pivotTable tabId="10" name="PivotTable1"/>
    <pivotTable tabId="2" name="PivotTable2"/>
    <pivotTable tabId="2" name="PivotTable4"/>
    <pivotTable tabId="2" name="PivotTable5"/>
    <pivotTable tabId="2" name="PivotTable6"/>
    <pivotTable tabId="2" name="PivotTable7"/>
    <pivotTable tabId="5" name="PivotTable1"/>
  </pivotTables>
  <data>
    <tabular pivotCacheId="190925858">
      <items count="7">
        <i x="6" s="1"/>
        <i x="4" s="1"/>
        <i x="1" s="1"/>
        <i x="0" s="1"/>
        <i x="2" s="1"/>
        <i x="3" s="1"/>
        <i x="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rand" xr10:uid="{0BC3CCA3-13C5-4157-88E4-50D5DE0FFBBF}" cache="Slicer_brand" caption="brand" style="SlicerStyleDark6" rowHeight="234950"/>
  <slicer name="country_of_origin" xr10:uid="{67E63440-C43A-45D9-BA96-2D31DCEDC321}" cache="Slicer_country_of_origin" caption="country_of_origin" style="SlicerStyleDark6" rowHeight="234950"/>
  <slicer name="Performance Type" xr10:uid="{C6CAA9F9-69CF-4E95-957C-5C5C84090DEA}" cache="Slicer_Performance_Type" caption="Performance Type" style="SlicerStyleDark6" rowHeight="234950"/>
  <slicer name="Price Category " xr10:uid="{5B1026F0-336D-4CFF-A26B-169548F78EAB}" cache="Slicer_Price_Category" caption="Price Category " style="SlicerStyleDark6" rowHeight="234950"/>
  <slicer name="year" xr10:uid="{771832A3-97D2-4C4D-85CE-65C22C6403D1}" cache="Slicer_year" caption="year" startItem="5" style="SlicerStyleDark6"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14D04A3-8D35-4D32-A8A6-838F9CE3B0CC}" name="Table1" displayName="Table1" ref="A1:AA2001" totalsRowShown="0">
  <autoFilter ref="A1:AA2001" xr:uid="{A14D04A3-8D35-4D32-A8A6-838F9CE3B0CC}"/>
  <tableColumns count="27">
    <tableColumn id="1" xr3:uid="{E9D4B736-7572-4FF4-8EE2-D30A759F093D}" name="brand"/>
    <tableColumn id="2" xr3:uid="{E1282144-9A75-409F-B1DB-1E5511BCA8C5}" name="model"/>
    <tableColumn id="3" xr3:uid="{BC513E82-67A0-4505-B9C5-F8606F67459D}" name="year"/>
    <tableColumn id="4" xr3:uid="{A7D3F3DD-AE78-48F5-84C6-755E5276B217}" name="variant"/>
    <tableColumn id="5" xr3:uid="{6EF61579-298F-4C51-89A3-0B1D7FE769E0}" name="Price USD"/>
    <tableColumn id="6" xr3:uid="{D50CEBB3-1DBB-4454-A5F0-2C864CE9EA25}" name="Battery Capacity (kwh)"/>
    <tableColumn id="7" xr3:uid="{D823EC04-5FBD-4AC6-8C60-7D9DE7D11649}" name="range_miles"/>
    <tableColumn id="8" xr3:uid="{FFA9EE1C-8302-4628-A332-19CC80EFCFEE}" name="charging_speed_kw"/>
    <tableColumn id="9" xr3:uid="{AE958B44-BF5C-45F3-B8C8-6ECA8B8FF902}" name="Acceleration 0-60 MPH"/>
    <tableColumn id="10" xr3:uid="{77DCE7A2-1707-4150-8A37-C5550FAC0FF2}" name="top_speed_mph"/>
    <tableColumn id="11" xr3:uid="{47D620F1-F506-4339-9A50-3968E5AB97DF}" name="horsepower"/>
    <tableColumn id="12" xr3:uid="{0935C0C1-03E9-4F27-901D-FAE60A71D4FA}" name="torque_nm"/>
    <tableColumn id="13" xr3:uid="{4B20EBE7-9009-4DC1-825F-C880617E0886}" name="drive_type"/>
    <tableColumn id="14" xr3:uid="{29279F5F-7F75-4740-AD0A-F82C88ED51FA}" name="seating_capacity"/>
    <tableColumn id="15" xr3:uid="{87A136AE-C85D-436F-87E9-24B603E733D7}" name="body_type"/>
    <tableColumn id="16" xr3:uid="{DA797694-FC9F-49CF-A40C-4D224C168EB0}" name="cargo_volume_cubic_ft"/>
    <tableColumn id="17" xr3:uid="{A17B1B75-D304-4A70-A25D-D9B2F12B40DF}" name="weight_kg"/>
    <tableColumn id="18" xr3:uid="{FBE95088-AC7C-494F-A641-5067D2CFCE65}" name="safety_rating"/>
    <tableColumn id="19" xr3:uid="{30AC5BEE-7221-49FE-9612-29B3B7EAD01F}" name="autopilot_level"/>
    <tableColumn id="20" xr3:uid="{D0B53494-B356-4258-9076-DD72B31DDFFA}" name="country_of_origin"/>
    <tableColumn id="21" xr3:uid="{5619621A-6EBE-4EAD-9A1F-3ED217570B83}" name="Price Category "/>
    <tableColumn id="22" xr3:uid="{60803F60-9174-4999-83F1-26D175C17D31}" name="annual_sales_units"/>
    <tableColumn id="23" xr3:uid="{3A77789B-1649-4855-BA41-7B9AFA0F09EE}" name="customer_rating"/>
    <tableColumn id="24" xr3:uid="{C8CE43C2-0407-4B09-8409-2BA35AC424E2}" name="warranty_years"/>
    <tableColumn id="25" xr3:uid="{311D9722-3DB9-49ED-8FF5-65AC03175FAA}" name="Performance Type"/>
    <tableColumn id="26" xr3:uid="{5A6817AD-A5BA-451C-98D4-5D2858C4E926}" name="Efficiency"/>
    <tableColumn id="27" xr3:uid="{4B3F4B71-D681-42FC-B091-2B88647BD1A0}" name="Sales Category "/>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6.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10.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11.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12.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13.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1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52634-A2F5-45C0-831A-0970791A5B6B}">
  <sheetPr>
    <tabColor rgb="FF00B050"/>
  </sheetPr>
  <dimension ref="A1:AF46"/>
  <sheetViews>
    <sheetView showGridLines="0" tabSelected="1" zoomScale="80" zoomScaleNormal="80" workbookViewId="0">
      <selection sqref="A1:AD1"/>
    </sheetView>
  </sheetViews>
  <sheetFormatPr defaultRowHeight="14.4" x14ac:dyDescent="0.3"/>
  <sheetData>
    <row r="1" spans="1:30" ht="24" thickBot="1" x14ac:dyDescent="0.5">
      <c r="A1" s="10" t="s">
        <v>168</v>
      </c>
      <c r="B1" s="11"/>
      <c r="C1" s="11"/>
      <c r="D1" s="11"/>
      <c r="E1" s="11"/>
      <c r="F1" s="11"/>
      <c r="G1" s="11"/>
      <c r="H1" s="11"/>
      <c r="I1" s="11"/>
      <c r="J1" s="11"/>
      <c r="K1" s="11"/>
      <c r="L1" s="11"/>
      <c r="M1" s="11"/>
      <c r="N1" s="11"/>
      <c r="O1" s="11"/>
      <c r="P1" s="11"/>
      <c r="Q1" s="11"/>
      <c r="R1" s="11"/>
      <c r="S1" s="11"/>
      <c r="T1" s="11"/>
      <c r="U1" s="11"/>
      <c r="V1" s="11"/>
      <c r="W1" s="11"/>
      <c r="X1" s="11"/>
      <c r="Y1" s="11"/>
      <c r="Z1" s="11"/>
      <c r="AA1" s="11"/>
      <c r="AB1" s="11"/>
      <c r="AC1" s="11"/>
      <c r="AD1" s="12"/>
    </row>
    <row r="39" spans="27:32" ht="15" thickBot="1" x14ac:dyDescent="0.35"/>
    <row r="40" spans="27:32" ht="15" thickBot="1" x14ac:dyDescent="0.35">
      <c r="AA40" s="13" t="s">
        <v>167</v>
      </c>
      <c r="AB40" s="14"/>
      <c r="AC40" s="14"/>
      <c r="AD40" s="9"/>
      <c r="AE40" s="8"/>
      <c r="AF40" s="8"/>
    </row>
    <row r="46" spans="27:32" x14ac:dyDescent="0.3">
      <c r="AE46" s="8"/>
    </row>
  </sheetData>
  <mergeCells count="2">
    <mergeCell ref="A1:AD1"/>
    <mergeCell ref="AA40:AC40"/>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35ABDF-C7E3-4B00-B760-5928AED8A7DB}">
  <sheetPr>
    <tabColor rgb="FF00B050"/>
  </sheetPr>
  <dimension ref="B1:O24"/>
  <sheetViews>
    <sheetView workbookViewId="0">
      <selection activeCell="C35" sqref="C35"/>
    </sheetView>
  </sheetViews>
  <sheetFormatPr defaultRowHeight="14.4" x14ac:dyDescent="0.3"/>
  <cols>
    <col min="2" max="2" width="12.5546875" bestFit="1" customWidth="1"/>
    <col min="3" max="3" width="9.88671875" bestFit="1" customWidth="1"/>
    <col min="5" max="5" width="17.33203125" bestFit="1" customWidth="1"/>
    <col min="6" max="6" width="12.5546875" bestFit="1" customWidth="1"/>
    <col min="8" max="8" width="12.5546875" bestFit="1" customWidth="1"/>
    <col min="9" max="9" width="18.88671875" bestFit="1" customWidth="1"/>
    <col min="11" max="11" width="19.21875" bestFit="1" customWidth="1"/>
    <col min="12" max="12" width="12.5546875" bestFit="1" customWidth="1"/>
    <col min="14" max="14" width="10.88671875" bestFit="1" customWidth="1"/>
    <col min="15" max="15" width="12.109375" bestFit="1" customWidth="1"/>
  </cols>
  <sheetData>
    <row r="1" spans="2:15" ht="15" thickBot="1" x14ac:dyDescent="0.35"/>
    <row r="2" spans="2:15" ht="15" thickBot="1" x14ac:dyDescent="0.35">
      <c r="B2" s="13" t="s">
        <v>151</v>
      </c>
      <c r="C2" s="15"/>
      <c r="E2" s="13" t="s">
        <v>154</v>
      </c>
      <c r="F2" s="15"/>
      <c r="H2" s="13" t="s">
        <v>156</v>
      </c>
      <c r="I2" s="15"/>
      <c r="K2" s="13" t="s">
        <v>159</v>
      </c>
      <c r="L2" s="15"/>
      <c r="N2" s="13" t="s">
        <v>162</v>
      </c>
      <c r="O2" s="15"/>
    </row>
    <row r="4" spans="2:15" x14ac:dyDescent="0.3">
      <c r="B4" s="1" t="s">
        <v>149</v>
      </c>
      <c r="C4" t="s">
        <v>150</v>
      </c>
      <c r="E4" s="1" t="s">
        <v>152</v>
      </c>
      <c r="F4" t="s">
        <v>153</v>
      </c>
      <c r="H4" s="1" t="s">
        <v>148</v>
      </c>
      <c r="I4" t="s">
        <v>155</v>
      </c>
      <c r="K4" s="1" t="s">
        <v>158</v>
      </c>
      <c r="L4" t="s">
        <v>153</v>
      </c>
      <c r="N4" s="1" t="s">
        <v>161</v>
      </c>
      <c r="O4" t="s">
        <v>160</v>
      </c>
    </row>
    <row r="5" spans="2:15" x14ac:dyDescent="0.3">
      <c r="B5" s="2" t="s">
        <v>52</v>
      </c>
      <c r="C5" s="3">
        <v>101459482</v>
      </c>
      <c r="E5" s="2" t="s">
        <v>74</v>
      </c>
      <c r="F5">
        <v>151</v>
      </c>
      <c r="H5" s="2" t="s">
        <v>132</v>
      </c>
      <c r="I5" s="4">
        <v>3.6716666666666664</v>
      </c>
      <c r="K5" s="2" t="s">
        <v>61</v>
      </c>
      <c r="L5">
        <v>413</v>
      </c>
      <c r="N5" s="2" t="s">
        <v>47</v>
      </c>
      <c r="O5" s="3">
        <v>110893602</v>
      </c>
    </row>
    <row r="6" spans="2:15" x14ac:dyDescent="0.3">
      <c r="B6" s="2" t="s">
        <v>71</v>
      </c>
      <c r="C6" s="3">
        <v>50472617</v>
      </c>
      <c r="E6" s="2" t="s">
        <v>33</v>
      </c>
      <c r="F6">
        <v>495</v>
      </c>
      <c r="H6" s="2" t="s">
        <v>142</v>
      </c>
      <c r="I6" s="4">
        <v>3.6244444444444444</v>
      </c>
      <c r="K6" s="2" t="s">
        <v>43</v>
      </c>
      <c r="L6">
        <v>1302</v>
      </c>
      <c r="N6" s="2" t="s">
        <v>32</v>
      </c>
      <c r="O6" s="3">
        <v>64652058</v>
      </c>
    </row>
    <row r="7" spans="2:15" x14ac:dyDescent="0.3">
      <c r="B7" s="2" t="s">
        <v>27</v>
      </c>
      <c r="C7" s="3">
        <v>48186657</v>
      </c>
      <c r="E7" s="2" t="s">
        <v>42</v>
      </c>
      <c r="F7">
        <v>642</v>
      </c>
      <c r="H7" s="2" t="s">
        <v>129</v>
      </c>
      <c r="I7" s="4">
        <v>3.5675000000000003</v>
      </c>
      <c r="K7" s="2" t="s">
        <v>34</v>
      </c>
      <c r="L7">
        <v>285</v>
      </c>
      <c r="N7" s="2" t="s">
        <v>73</v>
      </c>
      <c r="O7" s="3">
        <v>51034721</v>
      </c>
    </row>
    <row r="8" spans="2:15" x14ac:dyDescent="0.3">
      <c r="B8" s="2" t="s">
        <v>48</v>
      </c>
      <c r="C8" s="3">
        <v>16612129</v>
      </c>
      <c r="E8" s="2" t="s">
        <v>38</v>
      </c>
      <c r="F8">
        <v>712</v>
      </c>
      <c r="H8" s="2" t="s">
        <v>66</v>
      </c>
      <c r="I8" s="4">
        <v>3.5672000000000001</v>
      </c>
      <c r="N8" s="2" t="s">
        <v>51</v>
      </c>
      <c r="O8" s="3">
        <v>31835174</v>
      </c>
    </row>
    <row r="9" spans="2:15" x14ac:dyDescent="0.3">
      <c r="B9" s="2" t="s">
        <v>76</v>
      </c>
      <c r="C9" s="3">
        <v>15223045</v>
      </c>
      <c r="H9" s="2" t="s">
        <v>107</v>
      </c>
      <c r="I9" s="4">
        <v>3.5428571428571423</v>
      </c>
      <c r="N9" s="2" t="s">
        <v>41</v>
      </c>
      <c r="O9" s="3">
        <v>621044</v>
      </c>
    </row>
    <row r="10" spans="2:15" x14ac:dyDescent="0.3">
      <c r="B10" s="2" t="s">
        <v>91</v>
      </c>
      <c r="C10" s="3">
        <v>7445149</v>
      </c>
      <c r="H10" s="2" t="s">
        <v>44</v>
      </c>
      <c r="I10" s="4">
        <v>3.5379020979020974</v>
      </c>
      <c r="N10" s="2" t="s">
        <v>131</v>
      </c>
      <c r="O10" s="3">
        <v>270585</v>
      </c>
    </row>
    <row r="11" spans="2:15" x14ac:dyDescent="0.3">
      <c r="B11" s="2" t="s">
        <v>84</v>
      </c>
      <c r="C11" s="3">
        <v>6057329</v>
      </c>
      <c r="H11" s="2" t="s">
        <v>137</v>
      </c>
      <c r="I11" s="4">
        <v>3.5300000000000002</v>
      </c>
    </row>
    <row r="12" spans="2:15" x14ac:dyDescent="0.3">
      <c r="B12" s="2" t="s">
        <v>58</v>
      </c>
      <c r="C12" s="3">
        <v>4982856</v>
      </c>
      <c r="H12" s="2" t="s">
        <v>100</v>
      </c>
      <c r="I12" s="4">
        <v>3.5239130434782608</v>
      </c>
    </row>
    <row r="13" spans="2:15" x14ac:dyDescent="0.3">
      <c r="B13" s="2" t="s">
        <v>94</v>
      </c>
      <c r="C13" s="3">
        <v>3811099</v>
      </c>
      <c r="H13" s="2" t="s">
        <v>71</v>
      </c>
      <c r="I13" s="4">
        <v>3.523297872340426</v>
      </c>
    </row>
    <row r="14" spans="2:15" x14ac:dyDescent="0.3">
      <c r="B14" s="2" t="s">
        <v>44</v>
      </c>
      <c r="C14" s="3">
        <v>2292030</v>
      </c>
      <c r="H14" s="2" t="s">
        <v>84</v>
      </c>
      <c r="I14" s="4">
        <v>3.5166666666666662</v>
      </c>
    </row>
    <row r="15" spans="2:15" x14ac:dyDescent="0.3">
      <c r="H15" s="2" t="s">
        <v>102</v>
      </c>
      <c r="I15" s="4">
        <v>3.5164864864864867</v>
      </c>
    </row>
    <row r="16" spans="2:15" x14ac:dyDescent="0.3">
      <c r="H16" s="2" t="s">
        <v>36</v>
      </c>
      <c r="I16" s="4">
        <v>3.5158536585365847</v>
      </c>
    </row>
    <row r="17" spans="8:9" x14ac:dyDescent="0.3">
      <c r="H17" s="2" t="s">
        <v>91</v>
      </c>
      <c r="I17" s="4">
        <v>3.5109333333333335</v>
      </c>
    </row>
    <row r="18" spans="8:9" x14ac:dyDescent="0.3">
      <c r="H18" s="2" t="s">
        <v>52</v>
      </c>
      <c r="I18" s="4">
        <v>3.5073502304147444</v>
      </c>
    </row>
    <row r="19" spans="8:9" x14ac:dyDescent="0.3">
      <c r="H19" s="2" t="s">
        <v>27</v>
      </c>
      <c r="I19" s="4">
        <v>3.5073195876288668</v>
      </c>
    </row>
    <row r="20" spans="8:9" x14ac:dyDescent="0.3">
      <c r="H20" s="2" t="s">
        <v>48</v>
      </c>
      <c r="I20" s="4">
        <v>3.5031325301204852</v>
      </c>
    </row>
    <row r="21" spans="8:9" x14ac:dyDescent="0.3">
      <c r="H21" s="2" t="s">
        <v>94</v>
      </c>
      <c r="I21" s="4">
        <v>3.4994805194805201</v>
      </c>
    </row>
    <row r="22" spans="8:9" x14ac:dyDescent="0.3">
      <c r="H22" s="2" t="s">
        <v>76</v>
      </c>
      <c r="I22" s="4">
        <v>3.49</v>
      </c>
    </row>
    <row r="23" spans="8:9" x14ac:dyDescent="0.3">
      <c r="H23" s="2" t="s">
        <v>58</v>
      </c>
      <c r="I23" s="4">
        <v>3.4867708333333347</v>
      </c>
    </row>
    <row r="24" spans="8:9" x14ac:dyDescent="0.3">
      <c r="H24" s="2" t="s">
        <v>139</v>
      </c>
      <c r="I24" s="4">
        <v>3.3599999999999994</v>
      </c>
    </row>
  </sheetData>
  <mergeCells count="5">
    <mergeCell ref="B2:C2"/>
    <mergeCell ref="E2:F2"/>
    <mergeCell ref="H2:I2"/>
    <mergeCell ref="K2:L2"/>
    <mergeCell ref="N2:O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D2F6AC-3651-48E8-A030-6CCBDB75599E}">
  <sheetPr>
    <tabColor rgb="FF00B050"/>
  </sheetPr>
  <dimension ref="A1:AA2001"/>
  <sheetViews>
    <sheetView topLeftCell="A2" workbookViewId="0">
      <selection activeCell="H30" sqref="H30"/>
    </sheetView>
  </sheetViews>
  <sheetFormatPr defaultRowHeight="14.4" x14ac:dyDescent="0.3"/>
  <cols>
    <col min="5" max="5" width="11" customWidth="1"/>
    <col min="6" max="6" width="22" customWidth="1"/>
    <col min="7" max="7" width="13" customWidth="1"/>
    <col min="8" max="8" width="19.5546875" customWidth="1"/>
    <col min="9" max="9" width="22" customWidth="1"/>
    <col min="10" max="10" width="16.6640625" customWidth="1"/>
    <col min="11" max="11" width="12.88671875" customWidth="1"/>
    <col min="12" max="12" width="12.33203125" customWidth="1"/>
    <col min="13" max="13" width="11.88671875" customWidth="1"/>
    <col min="14" max="14" width="16.88671875" customWidth="1"/>
    <col min="15" max="15" width="12" customWidth="1"/>
    <col min="16" max="16" width="22.6640625" customWidth="1"/>
    <col min="17" max="17" width="11.5546875" customWidth="1"/>
    <col min="18" max="18" width="13.88671875" customWidth="1"/>
    <col min="19" max="19" width="15.44140625" customWidth="1"/>
    <col min="20" max="20" width="18" customWidth="1"/>
    <col min="21" max="21" width="15.44140625" customWidth="1"/>
    <col min="22" max="22" width="18.77734375" customWidth="1"/>
    <col min="23" max="23" width="16.6640625" customWidth="1"/>
    <col min="24" max="24" width="15.88671875" customWidth="1"/>
    <col min="25" max="25" width="18.33203125" customWidth="1"/>
    <col min="26" max="26" width="11" customWidth="1"/>
    <col min="27" max="27" width="15.5546875" customWidth="1"/>
  </cols>
  <sheetData>
    <row r="1" spans="1:27"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row>
    <row r="2" spans="1:27" x14ac:dyDescent="0.3">
      <c r="A2" t="s">
        <v>27</v>
      </c>
      <c r="B2" t="s">
        <v>28</v>
      </c>
      <c r="C2">
        <v>2023</v>
      </c>
      <c r="D2" t="s">
        <v>29</v>
      </c>
      <c r="E2">
        <v>104880.8</v>
      </c>
      <c r="F2">
        <v>118.7</v>
      </c>
      <c r="G2">
        <v>400</v>
      </c>
      <c r="H2">
        <v>234.5</v>
      </c>
      <c r="I2">
        <v>3.04</v>
      </c>
      <c r="J2">
        <v>195</v>
      </c>
      <c r="K2">
        <v>1000</v>
      </c>
      <c r="L2">
        <v>895</v>
      </c>
      <c r="M2" t="s">
        <v>30</v>
      </c>
      <c r="N2">
        <v>7</v>
      </c>
      <c r="O2" t="s">
        <v>31</v>
      </c>
      <c r="P2">
        <v>54.2</v>
      </c>
      <c r="Q2">
        <v>2015</v>
      </c>
      <c r="R2">
        <v>4</v>
      </c>
      <c r="S2">
        <v>2</v>
      </c>
      <c r="T2" t="s">
        <v>32</v>
      </c>
      <c r="U2" t="s">
        <v>33</v>
      </c>
      <c r="V2">
        <v>202182</v>
      </c>
      <c r="W2">
        <v>4</v>
      </c>
      <c r="X2">
        <v>4</v>
      </c>
      <c r="Y2" t="s">
        <v>34</v>
      </c>
      <c r="Z2">
        <v>3.37</v>
      </c>
      <c r="AA2" t="s">
        <v>35</v>
      </c>
    </row>
    <row r="3" spans="1:27" x14ac:dyDescent="0.3">
      <c r="A3" t="s">
        <v>36</v>
      </c>
      <c r="B3" t="s">
        <v>37</v>
      </c>
      <c r="C3">
        <v>2022</v>
      </c>
      <c r="D3" t="s">
        <v>38</v>
      </c>
      <c r="E3">
        <v>48217.41</v>
      </c>
      <c r="F3">
        <v>58.8</v>
      </c>
      <c r="G3">
        <v>219</v>
      </c>
      <c r="H3">
        <v>148.1</v>
      </c>
      <c r="I3">
        <v>5.77</v>
      </c>
      <c r="J3">
        <v>159</v>
      </c>
      <c r="K3">
        <v>381</v>
      </c>
      <c r="L3">
        <v>360</v>
      </c>
      <c r="M3" t="s">
        <v>39</v>
      </c>
      <c r="N3">
        <v>5</v>
      </c>
      <c r="O3" t="s">
        <v>40</v>
      </c>
      <c r="P3">
        <v>69</v>
      </c>
      <c r="Q3">
        <v>1709</v>
      </c>
      <c r="R3">
        <v>4</v>
      </c>
      <c r="S3">
        <v>0</v>
      </c>
      <c r="T3" t="s">
        <v>41</v>
      </c>
      <c r="U3" t="s">
        <v>42</v>
      </c>
      <c r="V3">
        <v>7146</v>
      </c>
      <c r="W3">
        <v>3.6</v>
      </c>
      <c r="X3">
        <v>3</v>
      </c>
      <c r="Y3" t="s">
        <v>43</v>
      </c>
      <c r="Z3">
        <v>3.72</v>
      </c>
      <c r="AA3" t="s">
        <v>43</v>
      </c>
    </row>
    <row r="4" spans="1:27" x14ac:dyDescent="0.3">
      <c r="A4" t="s">
        <v>44</v>
      </c>
      <c r="B4" t="s">
        <v>45</v>
      </c>
      <c r="C4">
        <v>2024</v>
      </c>
      <c r="D4" t="s">
        <v>38</v>
      </c>
      <c r="E4">
        <v>49651.12</v>
      </c>
      <c r="F4">
        <v>58.2</v>
      </c>
      <c r="G4">
        <v>225</v>
      </c>
      <c r="H4">
        <v>104.9</v>
      </c>
      <c r="I4">
        <v>6.84</v>
      </c>
      <c r="J4">
        <v>148</v>
      </c>
      <c r="K4">
        <v>588</v>
      </c>
      <c r="L4">
        <v>516</v>
      </c>
      <c r="M4" t="s">
        <v>30</v>
      </c>
      <c r="N4">
        <v>5</v>
      </c>
      <c r="O4" t="s">
        <v>46</v>
      </c>
      <c r="P4">
        <v>77</v>
      </c>
      <c r="Q4">
        <v>1533</v>
      </c>
      <c r="R4">
        <v>4</v>
      </c>
      <c r="S4">
        <v>1</v>
      </c>
      <c r="T4" t="s">
        <v>47</v>
      </c>
      <c r="U4" t="s">
        <v>42</v>
      </c>
      <c r="V4">
        <v>16590</v>
      </c>
      <c r="W4">
        <v>3.7</v>
      </c>
      <c r="X4">
        <v>3</v>
      </c>
      <c r="Y4" t="s">
        <v>43</v>
      </c>
      <c r="Z4">
        <v>3.87</v>
      </c>
      <c r="AA4" t="s">
        <v>43</v>
      </c>
    </row>
    <row r="5" spans="1:27" x14ac:dyDescent="0.3">
      <c r="A5" t="s">
        <v>48</v>
      </c>
      <c r="B5" t="s">
        <v>49</v>
      </c>
      <c r="C5">
        <v>2024</v>
      </c>
      <c r="D5" t="s">
        <v>50</v>
      </c>
      <c r="E5">
        <v>38131.56</v>
      </c>
      <c r="F5">
        <v>102.5</v>
      </c>
      <c r="G5">
        <v>349</v>
      </c>
      <c r="H5">
        <v>66.5</v>
      </c>
      <c r="I5">
        <v>4.66</v>
      </c>
      <c r="J5">
        <v>176</v>
      </c>
      <c r="K5">
        <v>310</v>
      </c>
      <c r="L5">
        <v>327</v>
      </c>
      <c r="M5" t="s">
        <v>30</v>
      </c>
      <c r="N5">
        <v>7</v>
      </c>
      <c r="O5" t="s">
        <v>40</v>
      </c>
      <c r="P5">
        <v>65.8</v>
      </c>
      <c r="Q5">
        <v>1935</v>
      </c>
      <c r="R5">
        <v>4</v>
      </c>
      <c r="S5">
        <v>2</v>
      </c>
      <c r="T5" t="s">
        <v>51</v>
      </c>
      <c r="U5" t="s">
        <v>42</v>
      </c>
      <c r="V5">
        <v>127201</v>
      </c>
      <c r="W5">
        <v>3.8</v>
      </c>
      <c r="X5">
        <v>3</v>
      </c>
      <c r="Y5" t="s">
        <v>43</v>
      </c>
      <c r="Z5">
        <v>3.4</v>
      </c>
      <c r="AA5" t="s">
        <v>35</v>
      </c>
    </row>
    <row r="6" spans="1:27" x14ac:dyDescent="0.3">
      <c r="A6" t="s">
        <v>52</v>
      </c>
      <c r="B6" t="s">
        <v>53</v>
      </c>
      <c r="C6">
        <v>2022</v>
      </c>
      <c r="D6" t="s">
        <v>50</v>
      </c>
      <c r="E6">
        <v>144079.87</v>
      </c>
      <c r="F6">
        <v>93.9</v>
      </c>
      <c r="G6">
        <v>314</v>
      </c>
      <c r="H6">
        <v>298.5</v>
      </c>
      <c r="I6">
        <v>5.64</v>
      </c>
      <c r="J6">
        <v>165</v>
      </c>
      <c r="K6">
        <v>1000</v>
      </c>
      <c r="L6">
        <v>883</v>
      </c>
      <c r="M6" t="s">
        <v>54</v>
      </c>
      <c r="N6">
        <v>5</v>
      </c>
      <c r="O6" t="s">
        <v>40</v>
      </c>
      <c r="P6">
        <v>38.299999999999997</v>
      </c>
      <c r="Q6">
        <v>2229</v>
      </c>
      <c r="R6">
        <v>4</v>
      </c>
      <c r="S6">
        <v>2</v>
      </c>
      <c r="T6" t="s">
        <v>47</v>
      </c>
      <c r="U6" t="s">
        <v>33</v>
      </c>
      <c r="V6">
        <v>196401</v>
      </c>
      <c r="W6">
        <v>3.8</v>
      </c>
      <c r="X6">
        <v>4</v>
      </c>
      <c r="Y6" t="s">
        <v>43</v>
      </c>
      <c r="Z6">
        <v>3.34</v>
      </c>
      <c r="AA6" t="s">
        <v>35</v>
      </c>
    </row>
    <row r="7" spans="1:27" x14ac:dyDescent="0.3">
      <c r="A7" t="s">
        <v>52</v>
      </c>
      <c r="B7" t="s">
        <v>55</v>
      </c>
      <c r="C7">
        <v>2023</v>
      </c>
      <c r="D7" t="s">
        <v>29</v>
      </c>
      <c r="E7">
        <v>119590.27</v>
      </c>
      <c r="F7">
        <v>78.3</v>
      </c>
      <c r="G7">
        <v>251</v>
      </c>
      <c r="H7">
        <v>334.6</v>
      </c>
      <c r="I7">
        <v>2.84</v>
      </c>
      <c r="J7">
        <v>200</v>
      </c>
      <c r="K7">
        <v>947</v>
      </c>
      <c r="L7">
        <v>858</v>
      </c>
      <c r="M7" t="s">
        <v>30</v>
      </c>
      <c r="N7">
        <v>5</v>
      </c>
      <c r="O7" t="s">
        <v>56</v>
      </c>
      <c r="P7">
        <v>35.5</v>
      </c>
      <c r="Q7">
        <v>1751</v>
      </c>
      <c r="R7">
        <v>5</v>
      </c>
      <c r="S7">
        <v>3</v>
      </c>
      <c r="T7" t="s">
        <v>47</v>
      </c>
      <c r="U7" t="s">
        <v>33</v>
      </c>
      <c r="V7">
        <v>411764</v>
      </c>
      <c r="W7">
        <v>3.7</v>
      </c>
      <c r="X7">
        <v>5</v>
      </c>
      <c r="Y7" t="s">
        <v>34</v>
      </c>
      <c r="Z7">
        <v>3.21</v>
      </c>
      <c r="AA7" t="s">
        <v>35</v>
      </c>
    </row>
    <row r="8" spans="1:27" x14ac:dyDescent="0.3">
      <c r="A8" t="s">
        <v>52</v>
      </c>
      <c r="B8" t="s">
        <v>53</v>
      </c>
      <c r="C8">
        <v>2024</v>
      </c>
      <c r="D8" t="s">
        <v>38</v>
      </c>
      <c r="E8">
        <v>128427.66</v>
      </c>
      <c r="F8">
        <v>68.599999999999994</v>
      </c>
      <c r="G8">
        <v>222</v>
      </c>
      <c r="H8">
        <v>201.9</v>
      </c>
      <c r="I8">
        <v>6.68</v>
      </c>
      <c r="J8">
        <v>149</v>
      </c>
      <c r="K8">
        <v>992</v>
      </c>
      <c r="L8">
        <v>899</v>
      </c>
      <c r="M8" t="s">
        <v>54</v>
      </c>
      <c r="N8">
        <v>5</v>
      </c>
      <c r="O8" t="s">
        <v>57</v>
      </c>
      <c r="P8">
        <v>39.299999999999997</v>
      </c>
      <c r="Q8">
        <v>1500</v>
      </c>
      <c r="R8">
        <v>5</v>
      </c>
      <c r="S8">
        <v>2</v>
      </c>
      <c r="T8" t="s">
        <v>47</v>
      </c>
      <c r="U8" t="s">
        <v>33</v>
      </c>
      <c r="V8">
        <v>213937</v>
      </c>
      <c r="W8">
        <v>3.5</v>
      </c>
      <c r="X8">
        <v>6</v>
      </c>
      <c r="Y8" t="s">
        <v>43</v>
      </c>
      <c r="Z8">
        <v>3.24</v>
      </c>
      <c r="AA8" t="s">
        <v>35</v>
      </c>
    </row>
    <row r="9" spans="1:27" x14ac:dyDescent="0.3">
      <c r="A9" t="s">
        <v>58</v>
      </c>
      <c r="B9" t="s">
        <v>59</v>
      </c>
      <c r="C9">
        <v>2025</v>
      </c>
      <c r="D9" t="s">
        <v>29</v>
      </c>
      <c r="E9">
        <v>131074.23000000001</v>
      </c>
      <c r="F9">
        <v>82.7</v>
      </c>
      <c r="G9">
        <v>292</v>
      </c>
      <c r="H9">
        <v>202.5</v>
      </c>
      <c r="I9">
        <v>2.99</v>
      </c>
      <c r="J9">
        <v>200</v>
      </c>
      <c r="K9">
        <v>764</v>
      </c>
      <c r="L9">
        <v>737</v>
      </c>
      <c r="M9" t="s">
        <v>54</v>
      </c>
      <c r="N9">
        <v>7</v>
      </c>
      <c r="O9" t="s">
        <v>40</v>
      </c>
      <c r="P9">
        <v>61.2</v>
      </c>
      <c r="Q9">
        <v>2219</v>
      </c>
      <c r="R9">
        <v>4</v>
      </c>
      <c r="S9">
        <v>2</v>
      </c>
      <c r="T9" t="s">
        <v>32</v>
      </c>
      <c r="U9" t="s">
        <v>33</v>
      </c>
      <c r="V9">
        <v>48277</v>
      </c>
      <c r="W9">
        <v>4.0999999999999996</v>
      </c>
      <c r="X9">
        <v>8</v>
      </c>
      <c r="Y9" t="s">
        <v>34</v>
      </c>
      <c r="Z9">
        <v>3.53</v>
      </c>
      <c r="AA9" t="s">
        <v>35</v>
      </c>
    </row>
    <row r="10" spans="1:27" x14ac:dyDescent="0.3">
      <c r="A10" t="s">
        <v>48</v>
      </c>
      <c r="B10" t="s">
        <v>60</v>
      </c>
      <c r="C10">
        <v>2021</v>
      </c>
      <c r="D10" t="s">
        <v>38</v>
      </c>
      <c r="E10">
        <v>80530.570000000007</v>
      </c>
      <c r="F10">
        <v>54.6</v>
      </c>
      <c r="G10">
        <v>184</v>
      </c>
      <c r="H10">
        <v>67.5</v>
      </c>
      <c r="I10">
        <v>7.57</v>
      </c>
      <c r="J10">
        <v>137</v>
      </c>
      <c r="K10">
        <v>976</v>
      </c>
      <c r="L10">
        <v>864</v>
      </c>
      <c r="M10" t="s">
        <v>30</v>
      </c>
      <c r="N10">
        <v>7</v>
      </c>
      <c r="O10" t="s">
        <v>56</v>
      </c>
      <c r="P10">
        <v>36.700000000000003</v>
      </c>
      <c r="Q10">
        <v>1511</v>
      </c>
      <c r="R10">
        <v>3</v>
      </c>
      <c r="S10">
        <v>1</v>
      </c>
      <c r="T10" t="s">
        <v>51</v>
      </c>
      <c r="U10" t="s">
        <v>38</v>
      </c>
      <c r="V10">
        <v>90830</v>
      </c>
      <c r="W10">
        <v>3.1</v>
      </c>
      <c r="X10">
        <v>4</v>
      </c>
      <c r="Y10" t="s">
        <v>61</v>
      </c>
      <c r="Z10">
        <v>3.37</v>
      </c>
      <c r="AA10" t="s">
        <v>35</v>
      </c>
    </row>
    <row r="11" spans="1:27" x14ac:dyDescent="0.3">
      <c r="A11" t="s">
        <v>44</v>
      </c>
      <c r="B11" t="s">
        <v>62</v>
      </c>
      <c r="C11">
        <v>2025</v>
      </c>
      <c r="D11" t="s">
        <v>63</v>
      </c>
      <c r="E11">
        <v>56944.53</v>
      </c>
      <c r="F11">
        <v>69.900000000000006</v>
      </c>
      <c r="G11">
        <v>251</v>
      </c>
      <c r="H11">
        <v>117.1</v>
      </c>
      <c r="I11">
        <v>6.68</v>
      </c>
      <c r="J11">
        <v>149</v>
      </c>
      <c r="K11">
        <v>703</v>
      </c>
      <c r="L11">
        <v>604</v>
      </c>
      <c r="M11" t="s">
        <v>39</v>
      </c>
      <c r="N11">
        <v>7</v>
      </c>
      <c r="O11" t="s">
        <v>46</v>
      </c>
      <c r="P11">
        <v>67.599999999999994</v>
      </c>
      <c r="Q11">
        <v>1520</v>
      </c>
      <c r="R11">
        <v>5</v>
      </c>
      <c r="S11">
        <v>2</v>
      </c>
      <c r="T11" t="s">
        <v>47</v>
      </c>
      <c r="U11" t="s">
        <v>42</v>
      </c>
      <c r="V11">
        <v>8761</v>
      </c>
      <c r="W11">
        <v>3.5</v>
      </c>
      <c r="X11">
        <v>5</v>
      </c>
      <c r="Y11" t="s">
        <v>43</v>
      </c>
      <c r="Z11">
        <v>3.59</v>
      </c>
      <c r="AA11" t="s">
        <v>43</v>
      </c>
    </row>
    <row r="12" spans="1:27" x14ac:dyDescent="0.3">
      <c r="A12" t="s">
        <v>52</v>
      </c>
      <c r="B12" t="s">
        <v>64</v>
      </c>
      <c r="C12">
        <v>2026</v>
      </c>
      <c r="D12" t="s">
        <v>50</v>
      </c>
      <c r="E12">
        <v>134165.81</v>
      </c>
      <c r="F12">
        <v>103.2</v>
      </c>
      <c r="G12">
        <v>347</v>
      </c>
      <c r="H12">
        <v>324.39999999999998</v>
      </c>
      <c r="I12">
        <v>4.5599999999999996</v>
      </c>
      <c r="J12">
        <v>187</v>
      </c>
      <c r="K12">
        <v>993</v>
      </c>
      <c r="L12">
        <v>949</v>
      </c>
      <c r="M12" t="s">
        <v>30</v>
      </c>
      <c r="N12">
        <v>5</v>
      </c>
      <c r="O12" t="s">
        <v>65</v>
      </c>
      <c r="P12">
        <v>26.7</v>
      </c>
      <c r="Q12">
        <v>1720</v>
      </c>
      <c r="R12">
        <v>4</v>
      </c>
      <c r="S12">
        <v>2</v>
      </c>
      <c r="T12" t="s">
        <v>47</v>
      </c>
      <c r="U12" t="s">
        <v>33</v>
      </c>
      <c r="V12">
        <v>211478</v>
      </c>
      <c r="W12">
        <v>3.8</v>
      </c>
      <c r="X12">
        <v>4</v>
      </c>
      <c r="Y12" t="s">
        <v>43</v>
      </c>
      <c r="Z12">
        <v>3.36</v>
      </c>
      <c r="AA12" t="s">
        <v>35</v>
      </c>
    </row>
    <row r="13" spans="1:27" x14ac:dyDescent="0.3">
      <c r="A13" t="s">
        <v>66</v>
      </c>
      <c r="B13" t="s">
        <v>67</v>
      </c>
      <c r="C13">
        <v>2025</v>
      </c>
      <c r="D13" t="s">
        <v>68</v>
      </c>
      <c r="E13">
        <v>88914.19</v>
      </c>
      <c r="F13">
        <v>66.7</v>
      </c>
      <c r="G13">
        <v>232</v>
      </c>
      <c r="H13">
        <v>129.5</v>
      </c>
      <c r="I13">
        <v>5.0999999999999996</v>
      </c>
      <c r="J13">
        <v>173</v>
      </c>
      <c r="K13">
        <v>727</v>
      </c>
      <c r="L13">
        <v>689</v>
      </c>
      <c r="M13" t="s">
        <v>30</v>
      </c>
      <c r="N13">
        <v>7</v>
      </c>
      <c r="O13" t="s">
        <v>31</v>
      </c>
      <c r="P13">
        <v>64.7</v>
      </c>
      <c r="Q13">
        <v>2536</v>
      </c>
      <c r="R13">
        <v>3</v>
      </c>
      <c r="S13">
        <v>2</v>
      </c>
      <c r="T13" t="s">
        <v>47</v>
      </c>
      <c r="U13" t="s">
        <v>38</v>
      </c>
      <c r="V13">
        <v>2408</v>
      </c>
      <c r="W13">
        <v>3.7</v>
      </c>
      <c r="X13">
        <v>5</v>
      </c>
      <c r="Y13" t="s">
        <v>43</v>
      </c>
      <c r="Z13">
        <v>3.48</v>
      </c>
      <c r="AA13" t="s">
        <v>69</v>
      </c>
    </row>
    <row r="14" spans="1:27" x14ac:dyDescent="0.3">
      <c r="A14" t="s">
        <v>58</v>
      </c>
      <c r="B14" t="s">
        <v>70</v>
      </c>
      <c r="C14">
        <v>2025</v>
      </c>
      <c r="D14" t="s">
        <v>29</v>
      </c>
      <c r="E14">
        <v>210811.92</v>
      </c>
      <c r="F14">
        <v>93.2</v>
      </c>
      <c r="G14">
        <v>320</v>
      </c>
      <c r="H14">
        <v>166.5</v>
      </c>
      <c r="I14">
        <v>2.84</v>
      </c>
      <c r="J14">
        <v>200</v>
      </c>
      <c r="K14">
        <v>1000</v>
      </c>
      <c r="L14">
        <v>919</v>
      </c>
      <c r="M14" t="s">
        <v>54</v>
      </c>
      <c r="N14">
        <v>7</v>
      </c>
      <c r="O14" t="s">
        <v>56</v>
      </c>
      <c r="P14">
        <v>17.600000000000001</v>
      </c>
      <c r="Q14">
        <v>1562</v>
      </c>
      <c r="R14">
        <v>5</v>
      </c>
      <c r="S14">
        <v>2</v>
      </c>
      <c r="T14" t="s">
        <v>32</v>
      </c>
      <c r="U14" t="s">
        <v>33</v>
      </c>
      <c r="V14">
        <v>56039</v>
      </c>
      <c r="W14">
        <v>3.6</v>
      </c>
      <c r="X14">
        <v>7</v>
      </c>
      <c r="Y14" t="s">
        <v>34</v>
      </c>
      <c r="Z14">
        <v>3.43</v>
      </c>
      <c r="AA14" t="s">
        <v>35</v>
      </c>
    </row>
    <row r="15" spans="1:27" x14ac:dyDescent="0.3">
      <c r="A15" t="s">
        <v>71</v>
      </c>
      <c r="B15" t="s">
        <v>72</v>
      </c>
      <c r="C15">
        <v>2023</v>
      </c>
      <c r="D15" t="s">
        <v>63</v>
      </c>
      <c r="E15">
        <v>16394.330000000002</v>
      </c>
      <c r="F15">
        <v>41.8</v>
      </c>
      <c r="G15">
        <v>158</v>
      </c>
      <c r="H15">
        <v>73.900000000000006</v>
      </c>
      <c r="I15">
        <v>6.41</v>
      </c>
      <c r="J15">
        <v>155</v>
      </c>
      <c r="K15">
        <v>150</v>
      </c>
      <c r="L15">
        <v>200</v>
      </c>
      <c r="M15" t="s">
        <v>39</v>
      </c>
      <c r="N15">
        <v>5</v>
      </c>
      <c r="O15" t="s">
        <v>57</v>
      </c>
      <c r="P15">
        <v>26.9</v>
      </c>
      <c r="Q15">
        <v>1744</v>
      </c>
      <c r="R15">
        <v>5</v>
      </c>
      <c r="S15">
        <v>0</v>
      </c>
      <c r="T15" t="s">
        <v>73</v>
      </c>
      <c r="U15" t="s">
        <v>74</v>
      </c>
      <c r="V15">
        <v>224997</v>
      </c>
      <c r="W15">
        <v>3.6</v>
      </c>
      <c r="X15">
        <v>5</v>
      </c>
      <c r="Y15" t="s">
        <v>43</v>
      </c>
      <c r="Z15">
        <v>3.78</v>
      </c>
      <c r="AA15" t="s">
        <v>35</v>
      </c>
    </row>
    <row r="16" spans="1:27" x14ac:dyDescent="0.3">
      <c r="A16" t="s">
        <v>52</v>
      </c>
      <c r="B16" t="s">
        <v>53</v>
      </c>
      <c r="C16">
        <v>2024</v>
      </c>
      <c r="D16" t="s">
        <v>38</v>
      </c>
      <c r="E16">
        <v>95912.83</v>
      </c>
      <c r="F16">
        <v>49.8</v>
      </c>
      <c r="G16">
        <v>167</v>
      </c>
      <c r="H16">
        <v>241.7</v>
      </c>
      <c r="I16">
        <v>7.45</v>
      </c>
      <c r="J16">
        <v>138</v>
      </c>
      <c r="K16">
        <v>716</v>
      </c>
      <c r="L16">
        <v>627</v>
      </c>
      <c r="M16" t="s">
        <v>39</v>
      </c>
      <c r="N16">
        <v>7</v>
      </c>
      <c r="O16" t="s">
        <v>65</v>
      </c>
      <c r="P16">
        <v>15.7</v>
      </c>
      <c r="Q16">
        <v>1556</v>
      </c>
      <c r="R16">
        <v>4</v>
      </c>
      <c r="S16">
        <v>3</v>
      </c>
      <c r="T16" t="s">
        <v>47</v>
      </c>
      <c r="U16" t="s">
        <v>38</v>
      </c>
      <c r="V16">
        <v>124780</v>
      </c>
      <c r="W16">
        <v>3.6</v>
      </c>
      <c r="X16">
        <v>5</v>
      </c>
      <c r="Y16" t="s">
        <v>61</v>
      </c>
      <c r="Z16">
        <v>3.35</v>
      </c>
      <c r="AA16" t="s">
        <v>35</v>
      </c>
    </row>
    <row r="17" spans="1:27" x14ac:dyDescent="0.3">
      <c r="A17" t="s">
        <v>52</v>
      </c>
      <c r="B17" t="s">
        <v>64</v>
      </c>
      <c r="C17">
        <v>2024</v>
      </c>
      <c r="D17" t="s">
        <v>38</v>
      </c>
      <c r="E17">
        <v>134964.13</v>
      </c>
      <c r="F17">
        <v>67.400000000000006</v>
      </c>
      <c r="G17">
        <v>250</v>
      </c>
      <c r="H17">
        <v>343.3</v>
      </c>
      <c r="I17">
        <v>7.46</v>
      </c>
      <c r="J17">
        <v>135</v>
      </c>
      <c r="K17">
        <v>992</v>
      </c>
      <c r="L17">
        <v>875</v>
      </c>
      <c r="M17" t="s">
        <v>54</v>
      </c>
      <c r="N17">
        <v>5</v>
      </c>
      <c r="O17" t="s">
        <v>46</v>
      </c>
      <c r="P17">
        <v>76</v>
      </c>
      <c r="Q17">
        <v>1500</v>
      </c>
      <c r="R17">
        <v>5</v>
      </c>
      <c r="S17">
        <v>2</v>
      </c>
      <c r="T17" t="s">
        <v>47</v>
      </c>
      <c r="U17" t="s">
        <v>33</v>
      </c>
      <c r="V17">
        <v>235048</v>
      </c>
      <c r="W17">
        <v>3.8</v>
      </c>
      <c r="X17">
        <v>5</v>
      </c>
      <c r="Y17" t="s">
        <v>61</v>
      </c>
      <c r="Z17">
        <v>3.71</v>
      </c>
      <c r="AA17" t="s">
        <v>35</v>
      </c>
    </row>
    <row r="18" spans="1:27" x14ac:dyDescent="0.3">
      <c r="A18" t="s">
        <v>71</v>
      </c>
      <c r="B18" t="s">
        <v>75</v>
      </c>
      <c r="C18">
        <v>2024</v>
      </c>
      <c r="D18" t="s">
        <v>68</v>
      </c>
      <c r="E18">
        <v>64427.02</v>
      </c>
      <c r="F18">
        <v>70.5</v>
      </c>
      <c r="G18">
        <v>265</v>
      </c>
      <c r="H18">
        <v>51</v>
      </c>
      <c r="I18">
        <v>6.91</v>
      </c>
      <c r="J18">
        <v>138</v>
      </c>
      <c r="K18">
        <v>711</v>
      </c>
      <c r="L18">
        <v>662</v>
      </c>
      <c r="M18" t="s">
        <v>54</v>
      </c>
      <c r="N18">
        <v>7</v>
      </c>
      <c r="O18" t="s">
        <v>31</v>
      </c>
      <c r="P18">
        <v>72.2</v>
      </c>
      <c r="Q18">
        <v>2756</v>
      </c>
      <c r="R18">
        <v>5</v>
      </c>
      <c r="S18">
        <v>1</v>
      </c>
      <c r="T18" t="s">
        <v>73</v>
      </c>
      <c r="U18" t="s">
        <v>42</v>
      </c>
      <c r="V18">
        <v>204232</v>
      </c>
      <c r="W18">
        <v>3.5</v>
      </c>
      <c r="X18">
        <v>4</v>
      </c>
      <c r="Y18" t="s">
        <v>43</v>
      </c>
      <c r="Z18">
        <v>3.76</v>
      </c>
      <c r="AA18" t="s">
        <v>35</v>
      </c>
    </row>
    <row r="19" spans="1:27" x14ac:dyDescent="0.3">
      <c r="A19" t="s">
        <v>76</v>
      </c>
      <c r="B19" t="s">
        <v>77</v>
      </c>
      <c r="C19">
        <v>2024</v>
      </c>
      <c r="D19" t="s">
        <v>38</v>
      </c>
      <c r="E19">
        <v>63139.95</v>
      </c>
      <c r="F19">
        <v>81</v>
      </c>
      <c r="G19">
        <v>275</v>
      </c>
      <c r="H19">
        <v>96.7</v>
      </c>
      <c r="I19">
        <v>7.45</v>
      </c>
      <c r="J19">
        <v>141</v>
      </c>
      <c r="K19">
        <v>743</v>
      </c>
      <c r="L19">
        <v>649</v>
      </c>
      <c r="M19" t="s">
        <v>54</v>
      </c>
      <c r="N19">
        <v>5</v>
      </c>
      <c r="O19" t="s">
        <v>57</v>
      </c>
      <c r="P19">
        <v>21.9</v>
      </c>
      <c r="Q19">
        <v>1750</v>
      </c>
      <c r="R19">
        <v>4</v>
      </c>
      <c r="S19">
        <v>1</v>
      </c>
      <c r="T19" t="s">
        <v>51</v>
      </c>
      <c r="U19" t="s">
        <v>42</v>
      </c>
      <c r="V19">
        <v>132242</v>
      </c>
      <c r="W19">
        <v>3.4</v>
      </c>
      <c r="X19">
        <v>5</v>
      </c>
      <c r="Y19" t="s">
        <v>61</v>
      </c>
      <c r="Z19">
        <v>3.4</v>
      </c>
      <c r="AA19" t="s">
        <v>35</v>
      </c>
    </row>
    <row r="20" spans="1:27" x14ac:dyDescent="0.3">
      <c r="A20" t="s">
        <v>27</v>
      </c>
      <c r="B20" t="s">
        <v>78</v>
      </c>
      <c r="C20">
        <v>2024</v>
      </c>
      <c r="D20" t="s">
        <v>50</v>
      </c>
      <c r="E20">
        <v>77030</v>
      </c>
      <c r="F20">
        <v>88</v>
      </c>
      <c r="G20">
        <v>332</v>
      </c>
      <c r="H20">
        <v>118.8</v>
      </c>
      <c r="I20">
        <v>4.75</v>
      </c>
      <c r="J20">
        <v>183</v>
      </c>
      <c r="K20">
        <v>826</v>
      </c>
      <c r="L20">
        <v>707</v>
      </c>
      <c r="M20" t="s">
        <v>30</v>
      </c>
      <c r="N20">
        <v>7</v>
      </c>
      <c r="O20" t="s">
        <v>65</v>
      </c>
      <c r="P20">
        <v>38.700000000000003</v>
      </c>
      <c r="Q20">
        <v>1634</v>
      </c>
      <c r="R20">
        <v>4</v>
      </c>
      <c r="S20">
        <v>0</v>
      </c>
      <c r="T20" t="s">
        <v>32</v>
      </c>
      <c r="U20" t="s">
        <v>38</v>
      </c>
      <c r="V20">
        <v>238587</v>
      </c>
      <c r="W20">
        <v>3.4</v>
      </c>
      <c r="X20">
        <v>4</v>
      </c>
      <c r="Y20" t="s">
        <v>43</v>
      </c>
      <c r="Z20">
        <v>3.77</v>
      </c>
      <c r="AA20" t="s">
        <v>35</v>
      </c>
    </row>
    <row r="21" spans="1:27" x14ac:dyDescent="0.3">
      <c r="A21" t="s">
        <v>71</v>
      </c>
      <c r="B21" t="s">
        <v>75</v>
      </c>
      <c r="C21">
        <v>2024</v>
      </c>
      <c r="D21" t="s">
        <v>38</v>
      </c>
      <c r="E21">
        <v>72336.67</v>
      </c>
      <c r="F21">
        <v>77.900000000000006</v>
      </c>
      <c r="G21">
        <v>295</v>
      </c>
      <c r="H21">
        <v>60.5</v>
      </c>
      <c r="I21">
        <v>5.5</v>
      </c>
      <c r="J21">
        <v>178</v>
      </c>
      <c r="K21">
        <v>800</v>
      </c>
      <c r="L21">
        <v>732</v>
      </c>
      <c r="M21" t="s">
        <v>30</v>
      </c>
      <c r="N21">
        <v>5</v>
      </c>
      <c r="O21" t="s">
        <v>46</v>
      </c>
      <c r="P21">
        <v>60.6</v>
      </c>
      <c r="Q21">
        <v>1500</v>
      </c>
      <c r="R21">
        <v>3</v>
      </c>
      <c r="S21">
        <v>1</v>
      </c>
      <c r="T21" t="s">
        <v>73</v>
      </c>
      <c r="U21" t="s">
        <v>38</v>
      </c>
      <c r="V21">
        <v>168778</v>
      </c>
      <c r="W21">
        <v>3.5</v>
      </c>
      <c r="X21">
        <v>3</v>
      </c>
      <c r="Y21" t="s">
        <v>43</v>
      </c>
      <c r="Z21">
        <v>3.79</v>
      </c>
      <c r="AA21" t="s">
        <v>35</v>
      </c>
    </row>
    <row r="22" spans="1:27" x14ac:dyDescent="0.3">
      <c r="A22" t="s">
        <v>48</v>
      </c>
      <c r="B22" t="s">
        <v>79</v>
      </c>
      <c r="C22">
        <v>2025</v>
      </c>
      <c r="D22" t="s">
        <v>38</v>
      </c>
      <c r="E22">
        <v>106848.2</v>
      </c>
      <c r="F22">
        <v>54.1</v>
      </c>
      <c r="G22">
        <v>193</v>
      </c>
      <c r="H22">
        <v>132.69999999999999</v>
      </c>
      <c r="I22">
        <v>7.95</v>
      </c>
      <c r="J22">
        <v>135</v>
      </c>
      <c r="K22">
        <v>1000</v>
      </c>
      <c r="L22">
        <v>855</v>
      </c>
      <c r="M22" t="s">
        <v>30</v>
      </c>
      <c r="N22">
        <v>5</v>
      </c>
      <c r="O22" t="s">
        <v>57</v>
      </c>
      <c r="P22">
        <v>26.9</v>
      </c>
      <c r="Q22">
        <v>1500</v>
      </c>
      <c r="R22">
        <v>4</v>
      </c>
      <c r="S22">
        <v>1</v>
      </c>
      <c r="T22" t="s">
        <v>51</v>
      </c>
      <c r="U22" t="s">
        <v>33</v>
      </c>
      <c r="V22">
        <v>85618</v>
      </c>
      <c r="W22">
        <v>3.3</v>
      </c>
      <c r="X22">
        <v>5</v>
      </c>
      <c r="Y22" t="s">
        <v>61</v>
      </c>
      <c r="Z22">
        <v>3.57</v>
      </c>
      <c r="AA22" t="s">
        <v>35</v>
      </c>
    </row>
    <row r="23" spans="1:27" x14ac:dyDescent="0.3">
      <c r="A23" t="s">
        <v>52</v>
      </c>
      <c r="B23" t="s">
        <v>80</v>
      </c>
      <c r="C23">
        <v>2023</v>
      </c>
      <c r="D23" t="s">
        <v>63</v>
      </c>
      <c r="E23">
        <v>70531.960000000006</v>
      </c>
      <c r="F23">
        <v>70.5</v>
      </c>
      <c r="G23">
        <v>256</v>
      </c>
      <c r="H23">
        <v>281.7</v>
      </c>
      <c r="I23">
        <v>5.5</v>
      </c>
      <c r="J23">
        <v>165</v>
      </c>
      <c r="K23">
        <v>507</v>
      </c>
      <c r="L23">
        <v>445</v>
      </c>
      <c r="M23" t="s">
        <v>30</v>
      </c>
      <c r="N23">
        <v>7</v>
      </c>
      <c r="O23" t="s">
        <v>31</v>
      </c>
      <c r="P23">
        <v>72</v>
      </c>
      <c r="Q23">
        <v>2290</v>
      </c>
      <c r="R23">
        <v>5</v>
      </c>
      <c r="S23">
        <v>2</v>
      </c>
      <c r="T23" t="s">
        <v>47</v>
      </c>
      <c r="U23" t="s">
        <v>38</v>
      </c>
      <c r="V23">
        <v>209622</v>
      </c>
      <c r="W23">
        <v>3.6</v>
      </c>
      <c r="X23">
        <v>4</v>
      </c>
      <c r="Y23" t="s">
        <v>43</v>
      </c>
      <c r="Z23">
        <v>3.63</v>
      </c>
      <c r="AA23" t="s">
        <v>35</v>
      </c>
    </row>
    <row r="24" spans="1:27" x14ac:dyDescent="0.3">
      <c r="A24" t="s">
        <v>71</v>
      </c>
      <c r="B24" t="s">
        <v>81</v>
      </c>
      <c r="C24">
        <v>2024</v>
      </c>
      <c r="D24" t="s">
        <v>29</v>
      </c>
      <c r="E24">
        <v>114839.62</v>
      </c>
      <c r="F24">
        <v>76.599999999999994</v>
      </c>
      <c r="G24">
        <v>293</v>
      </c>
      <c r="H24">
        <v>185.3</v>
      </c>
      <c r="I24">
        <v>3.42</v>
      </c>
      <c r="J24">
        <v>200</v>
      </c>
      <c r="K24">
        <v>1000</v>
      </c>
      <c r="L24">
        <v>902</v>
      </c>
      <c r="M24" t="s">
        <v>54</v>
      </c>
      <c r="N24">
        <v>5</v>
      </c>
      <c r="O24" t="s">
        <v>40</v>
      </c>
      <c r="P24">
        <v>68</v>
      </c>
      <c r="Q24">
        <v>1978</v>
      </c>
      <c r="R24">
        <v>5</v>
      </c>
      <c r="S24">
        <v>0</v>
      </c>
      <c r="T24" t="s">
        <v>73</v>
      </c>
      <c r="U24" t="s">
        <v>33</v>
      </c>
      <c r="V24">
        <v>229532</v>
      </c>
      <c r="W24">
        <v>3.4</v>
      </c>
      <c r="X24">
        <v>4</v>
      </c>
      <c r="Y24" t="s">
        <v>34</v>
      </c>
      <c r="Z24">
        <v>3.83</v>
      </c>
      <c r="AA24" t="s">
        <v>35</v>
      </c>
    </row>
    <row r="25" spans="1:27" x14ac:dyDescent="0.3">
      <c r="A25" t="s">
        <v>27</v>
      </c>
      <c r="B25" t="s">
        <v>82</v>
      </c>
      <c r="C25">
        <v>2024</v>
      </c>
      <c r="D25" t="s">
        <v>50</v>
      </c>
      <c r="E25">
        <v>51142.17</v>
      </c>
      <c r="F25">
        <v>101.7</v>
      </c>
      <c r="G25">
        <v>359</v>
      </c>
      <c r="H25">
        <v>99.2</v>
      </c>
      <c r="I25">
        <v>5.15</v>
      </c>
      <c r="J25">
        <v>161</v>
      </c>
      <c r="K25">
        <v>493</v>
      </c>
      <c r="L25">
        <v>434</v>
      </c>
      <c r="M25" t="s">
        <v>54</v>
      </c>
      <c r="N25">
        <v>5</v>
      </c>
      <c r="O25" t="s">
        <v>57</v>
      </c>
      <c r="P25">
        <v>26.9</v>
      </c>
      <c r="Q25">
        <v>1500</v>
      </c>
      <c r="R25">
        <v>4</v>
      </c>
      <c r="S25">
        <v>0</v>
      </c>
      <c r="T25" t="s">
        <v>32</v>
      </c>
      <c r="U25" t="s">
        <v>42</v>
      </c>
      <c r="V25">
        <v>203079</v>
      </c>
      <c r="W25">
        <v>3.6</v>
      </c>
      <c r="X25">
        <v>5</v>
      </c>
      <c r="Y25" t="s">
        <v>43</v>
      </c>
      <c r="Z25">
        <v>3.53</v>
      </c>
      <c r="AA25" t="s">
        <v>35</v>
      </c>
    </row>
    <row r="26" spans="1:27" x14ac:dyDescent="0.3">
      <c r="A26" t="s">
        <v>27</v>
      </c>
      <c r="B26" t="s">
        <v>83</v>
      </c>
      <c r="C26">
        <v>2026</v>
      </c>
      <c r="D26" t="s">
        <v>68</v>
      </c>
      <c r="E26">
        <v>59824.88</v>
      </c>
      <c r="F26">
        <v>70.900000000000006</v>
      </c>
      <c r="G26">
        <v>263</v>
      </c>
      <c r="H26">
        <v>63.4</v>
      </c>
      <c r="I26">
        <v>5.9</v>
      </c>
      <c r="J26">
        <v>167</v>
      </c>
      <c r="K26">
        <v>618</v>
      </c>
      <c r="L26">
        <v>540</v>
      </c>
      <c r="M26" t="s">
        <v>30</v>
      </c>
      <c r="N26">
        <v>5</v>
      </c>
      <c r="O26" t="s">
        <v>65</v>
      </c>
      <c r="P26">
        <v>34.799999999999997</v>
      </c>
      <c r="Q26">
        <v>1781</v>
      </c>
      <c r="R26">
        <v>3</v>
      </c>
      <c r="S26">
        <v>0</v>
      </c>
      <c r="T26" t="s">
        <v>32</v>
      </c>
      <c r="U26" t="s">
        <v>42</v>
      </c>
      <c r="V26">
        <v>293709</v>
      </c>
      <c r="W26">
        <v>3.3</v>
      </c>
      <c r="X26">
        <v>5</v>
      </c>
      <c r="Y26" t="s">
        <v>43</v>
      </c>
      <c r="Z26">
        <v>3.71</v>
      </c>
      <c r="AA26" t="s">
        <v>35</v>
      </c>
    </row>
    <row r="27" spans="1:27" x14ac:dyDescent="0.3">
      <c r="A27" t="s">
        <v>84</v>
      </c>
      <c r="B27" t="s">
        <v>85</v>
      </c>
      <c r="C27">
        <v>2025</v>
      </c>
      <c r="D27" t="s">
        <v>29</v>
      </c>
      <c r="E27">
        <v>96527.54</v>
      </c>
      <c r="F27">
        <v>75.2</v>
      </c>
      <c r="G27">
        <v>286</v>
      </c>
      <c r="H27">
        <v>178</v>
      </c>
      <c r="I27">
        <v>3.87</v>
      </c>
      <c r="J27">
        <v>188</v>
      </c>
      <c r="K27">
        <v>1000</v>
      </c>
      <c r="L27">
        <v>924</v>
      </c>
      <c r="M27" t="s">
        <v>39</v>
      </c>
      <c r="N27">
        <v>7</v>
      </c>
      <c r="O27" t="s">
        <v>57</v>
      </c>
      <c r="P27">
        <v>38.9</v>
      </c>
      <c r="Q27">
        <v>1500</v>
      </c>
      <c r="R27">
        <v>3</v>
      </c>
      <c r="S27">
        <v>1</v>
      </c>
      <c r="T27" t="s">
        <v>47</v>
      </c>
      <c r="U27" t="s">
        <v>38</v>
      </c>
      <c r="V27">
        <v>67670</v>
      </c>
      <c r="W27">
        <v>3.6</v>
      </c>
      <c r="X27">
        <v>4</v>
      </c>
      <c r="Y27" t="s">
        <v>34</v>
      </c>
      <c r="Z27">
        <v>3.8</v>
      </c>
      <c r="AA27" t="s">
        <v>35</v>
      </c>
    </row>
    <row r="28" spans="1:27" x14ac:dyDescent="0.3">
      <c r="A28" t="s">
        <v>52</v>
      </c>
      <c r="B28" t="s">
        <v>86</v>
      </c>
      <c r="C28">
        <v>2023</v>
      </c>
      <c r="D28" t="s">
        <v>68</v>
      </c>
      <c r="E28">
        <v>67772.81</v>
      </c>
      <c r="F28">
        <v>53.3</v>
      </c>
      <c r="G28">
        <v>175</v>
      </c>
      <c r="H28">
        <v>320.5</v>
      </c>
      <c r="I28">
        <v>7.79</v>
      </c>
      <c r="J28">
        <v>128</v>
      </c>
      <c r="K28">
        <v>501</v>
      </c>
      <c r="L28">
        <v>445</v>
      </c>
      <c r="M28" t="s">
        <v>39</v>
      </c>
      <c r="N28">
        <v>5</v>
      </c>
      <c r="O28" t="s">
        <v>65</v>
      </c>
      <c r="P28">
        <v>28.7</v>
      </c>
      <c r="Q28">
        <v>1539</v>
      </c>
      <c r="R28">
        <v>5</v>
      </c>
      <c r="S28">
        <v>2</v>
      </c>
      <c r="T28" t="s">
        <v>47</v>
      </c>
      <c r="U28" t="s">
        <v>38</v>
      </c>
      <c r="V28">
        <v>207968</v>
      </c>
      <c r="W28">
        <v>3.4</v>
      </c>
      <c r="X28">
        <v>6</v>
      </c>
      <c r="Y28" t="s">
        <v>61</v>
      </c>
      <c r="Z28">
        <v>3.28</v>
      </c>
      <c r="AA28" t="s">
        <v>35</v>
      </c>
    </row>
    <row r="29" spans="1:27" x14ac:dyDescent="0.3">
      <c r="A29" t="s">
        <v>76</v>
      </c>
      <c r="B29" t="s">
        <v>87</v>
      </c>
      <c r="C29">
        <v>2025</v>
      </c>
      <c r="D29" t="s">
        <v>29</v>
      </c>
      <c r="E29">
        <v>86045.75</v>
      </c>
      <c r="F29">
        <v>96.3</v>
      </c>
      <c r="G29">
        <v>314</v>
      </c>
      <c r="H29">
        <v>180.3</v>
      </c>
      <c r="I29">
        <v>3.08</v>
      </c>
      <c r="J29">
        <v>200</v>
      </c>
      <c r="K29">
        <v>1000</v>
      </c>
      <c r="L29">
        <v>905</v>
      </c>
      <c r="M29" t="s">
        <v>54</v>
      </c>
      <c r="N29">
        <v>7</v>
      </c>
      <c r="O29" t="s">
        <v>56</v>
      </c>
      <c r="P29">
        <v>27.4</v>
      </c>
      <c r="Q29">
        <v>1500</v>
      </c>
      <c r="R29">
        <v>5</v>
      </c>
      <c r="S29">
        <v>0</v>
      </c>
      <c r="T29" t="s">
        <v>51</v>
      </c>
      <c r="U29" t="s">
        <v>38</v>
      </c>
      <c r="V29">
        <v>124864</v>
      </c>
      <c r="W29">
        <v>3.6</v>
      </c>
      <c r="X29">
        <v>4</v>
      </c>
      <c r="Y29" t="s">
        <v>34</v>
      </c>
      <c r="Z29">
        <v>3.26</v>
      </c>
      <c r="AA29" t="s">
        <v>35</v>
      </c>
    </row>
    <row r="30" spans="1:27" x14ac:dyDescent="0.3">
      <c r="A30" t="s">
        <v>48</v>
      </c>
      <c r="B30" t="s">
        <v>88</v>
      </c>
      <c r="C30">
        <v>2024</v>
      </c>
      <c r="D30" t="s">
        <v>68</v>
      </c>
      <c r="E30">
        <v>66876.75</v>
      </c>
      <c r="F30">
        <v>66.7</v>
      </c>
      <c r="G30">
        <v>236</v>
      </c>
      <c r="H30">
        <v>96.7</v>
      </c>
      <c r="I30">
        <v>6.02</v>
      </c>
      <c r="J30">
        <v>164</v>
      </c>
      <c r="K30">
        <v>754</v>
      </c>
      <c r="L30">
        <v>647</v>
      </c>
      <c r="M30" t="s">
        <v>54</v>
      </c>
      <c r="N30">
        <v>5</v>
      </c>
      <c r="O30" t="s">
        <v>40</v>
      </c>
      <c r="P30">
        <v>66.8</v>
      </c>
      <c r="Q30">
        <v>1980</v>
      </c>
      <c r="R30">
        <v>4</v>
      </c>
      <c r="S30">
        <v>2</v>
      </c>
      <c r="T30" t="s">
        <v>51</v>
      </c>
      <c r="U30" t="s">
        <v>38</v>
      </c>
      <c r="V30">
        <v>117514</v>
      </c>
      <c r="W30">
        <v>3.5</v>
      </c>
      <c r="X30">
        <v>3</v>
      </c>
      <c r="Y30" t="s">
        <v>43</v>
      </c>
      <c r="Z30">
        <v>3.54</v>
      </c>
      <c r="AA30" t="s">
        <v>35</v>
      </c>
    </row>
    <row r="31" spans="1:27" x14ac:dyDescent="0.3">
      <c r="A31" t="s">
        <v>52</v>
      </c>
      <c r="B31" t="s">
        <v>55</v>
      </c>
      <c r="C31">
        <v>2025</v>
      </c>
      <c r="D31" t="s">
        <v>29</v>
      </c>
      <c r="E31">
        <v>135780.6</v>
      </c>
      <c r="F31">
        <v>105.2</v>
      </c>
      <c r="G31">
        <v>383</v>
      </c>
      <c r="H31">
        <v>344.9</v>
      </c>
      <c r="I31">
        <v>4.0199999999999996</v>
      </c>
      <c r="J31">
        <v>196</v>
      </c>
      <c r="K31">
        <v>997</v>
      </c>
      <c r="L31">
        <v>903</v>
      </c>
      <c r="M31" t="s">
        <v>30</v>
      </c>
      <c r="N31">
        <v>5</v>
      </c>
      <c r="O31" t="s">
        <v>31</v>
      </c>
      <c r="P31">
        <v>69</v>
      </c>
      <c r="Q31">
        <v>2015</v>
      </c>
      <c r="R31">
        <v>5</v>
      </c>
      <c r="S31">
        <v>2</v>
      </c>
      <c r="T31" t="s">
        <v>47</v>
      </c>
      <c r="U31" t="s">
        <v>33</v>
      </c>
      <c r="V31">
        <v>411097</v>
      </c>
      <c r="W31">
        <v>4.0999999999999996</v>
      </c>
      <c r="X31">
        <v>5</v>
      </c>
      <c r="Y31" t="s">
        <v>43</v>
      </c>
      <c r="Z31">
        <v>3.64</v>
      </c>
      <c r="AA31" t="s">
        <v>35</v>
      </c>
    </row>
    <row r="32" spans="1:27" x14ac:dyDescent="0.3">
      <c r="A32" t="s">
        <v>48</v>
      </c>
      <c r="B32" t="s">
        <v>60</v>
      </c>
      <c r="C32">
        <v>2024</v>
      </c>
      <c r="D32" t="s">
        <v>29</v>
      </c>
      <c r="E32">
        <v>105946.66</v>
      </c>
      <c r="F32">
        <v>79.3</v>
      </c>
      <c r="G32">
        <v>245</v>
      </c>
      <c r="H32">
        <v>222</v>
      </c>
      <c r="I32">
        <v>3.24</v>
      </c>
      <c r="J32">
        <v>200</v>
      </c>
      <c r="K32">
        <v>1000</v>
      </c>
      <c r="L32">
        <v>919</v>
      </c>
      <c r="M32" t="s">
        <v>54</v>
      </c>
      <c r="N32">
        <v>7</v>
      </c>
      <c r="O32" t="s">
        <v>57</v>
      </c>
      <c r="P32">
        <v>15.9</v>
      </c>
      <c r="Q32">
        <v>1701</v>
      </c>
      <c r="R32">
        <v>4</v>
      </c>
      <c r="S32">
        <v>1</v>
      </c>
      <c r="T32" t="s">
        <v>51</v>
      </c>
      <c r="U32" t="s">
        <v>33</v>
      </c>
      <c r="V32">
        <v>147459</v>
      </c>
      <c r="W32">
        <v>3.4</v>
      </c>
      <c r="X32">
        <v>3</v>
      </c>
      <c r="Y32" t="s">
        <v>34</v>
      </c>
      <c r="Z32">
        <v>3.09</v>
      </c>
      <c r="AA32" t="s">
        <v>35</v>
      </c>
    </row>
    <row r="33" spans="1:27" x14ac:dyDescent="0.3">
      <c r="A33" t="s">
        <v>52</v>
      </c>
      <c r="B33" t="s">
        <v>86</v>
      </c>
      <c r="C33">
        <v>2025</v>
      </c>
      <c r="D33" t="s">
        <v>63</v>
      </c>
      <c r="E33">
        <v>110771.86</v>
      </c>
      <c r="F33">
        <v>52.9</v>
      </c>
      <c r="G33">
        <v>177</v>
      </c>
      <c r="H33">
        <v>216.7</v>
      </c>
      <c r="I33">
        <v>6.55</v>
      </c>
      <c r="J33">
        <v>151</v>
      </c>
      <c r="K33">
        <v>826</v>
      </c>
      <c r="L33">
        <v>728</v>
      </c>
      <c r="M33" t="s">
        <v>30</v>
      </c>
      <c r="N33">
        <v>5</v>
      </c>
      <c r="O33" t="s">
        <v>40</v>
      </c>
      <c r="P33">
        <v>35.700000000000003</v>
      </c>
      <c r="Q33">
        <v>1959</v>
      </c>
      <c r="R33">
        <v>4</v>
      </c>
      <c r="S33">
        <v>2</v>
      </c>
      <c r="T33" t="s">
        <v>47</v>
      </c>
      <c r="U33" t="s">
        <v>33</v>
      </c>
      <c r="V33">
        <v>179640</v>
      </c>
      <c r="W33">
        <v>3.4</v>
      </c>
      <c r="X33">
        <v>5</v>
      </c>
      <c r="Y33" t="s">
        <v>43</v>
      </c>
      <c r="Z33">
        <v>3.35</v>
      </c>
      <c r="AA33" t="s">
        <v>35</v>
      </c>
    </row>
    <row r="34" spans="1:27" x14ac:dyDescent="0.3">
      <c r="A34" t="s">
        <v>52</v>
      </c>
      <c r="B34" t="s">
        <v>80</v>
      </c>
      <c r="C34">
        <v>2024</v>
      </c>
      <c r="D34" t="s">
        <v>29</v>
      </c>
      <c r="E34">
        <v>42827.24</v>
      </c>
      <c r="F34">
        <v>89.9</v>
      </c>
      <c r="G34">
        <v>311</v>
      </c>
      <c r="H34">
        <v>240.1</v>
      </c>
      <c r="I34">
        <v>2.94</v>
      </c>
      <c r="J34">
        <v>200</v>
      </c>
      <c r="K34">
        <v>263</v>
      </c>
      <c r="L34">
        <v>241</v>
      </c>
      <c r="M34" t="s">
        <v>30</v>
      </c>
      <c r="N34">
        <v>5</v>
      </c>
      <c r="O34" t="s">
        <v>31</v>
      </c>
      <c r="P34">
        <v>55.5</v>
      </c>
      <c r="Q34">
        <v>2122</v>
      </c>
      <c r="R34">
        <v>4</v>
      </c>
      <c r="S34">
        <v>3</v>
      </c>
      <c r="T34" t="s">
        <v>47</v>
      </c>
      <c r="U34" t="s">
        <v>42</v>
      </c>
      <c r="V34">
        <v>133489</v>
      </c>
      <c r="W34">
        <v>3.8</v>
      </c>
      <c r="X34">
        <v>5</v>
      </c>
      <c r="Y34" t="s">
        <v>34</v>
      </c>
      <c r="Z34">
        <v>3.46</v>
      </c>
      <c r="AA34" t="s">
        <v>35</v>
      </c>
    </row>
    <row r="35" spans="1:27" x14ac:dyDescent="0.3">
      <c r="A35" t="s">
        <v>36</v>
      </c>
      <c r="B35" t="s">
        <v>37</v>
      </c>
      <c r="C35">
        <v>2020</v>
      </c>
      <c r="D35" t="s">
        <v>50</v>
      </c>
      <c r="E35">
        <v>70748.34</v>
      </c>
      <c r="F35">
        <v>94.2</v>
      </c>
      <c r="G35">
        <v>335</v>
      </c>
      <c r="H35">
        <v>104.7</v>
      </c>
      <c r="I35">
        <v>5.66</v>
      </c>
      <c r="J35">
        <v>169</v>
      </c>
      <c r="K35">
        <v>818</v>
      </c>
      <c r="L35">
        <v>760</v>
      </c>
      <c r="M35" t="s">
        <v>30</v>
      </c>
      <c r="N35">
        <v>5</v>
      </c>
      <c r="O35" t="s">
        <v>40</v>
      </c>
      <c r="P35">
        <v>66.5</v>
      </c>
      <c r="Q35">
        <v>2056</v>
      </c>
      <c r="R35">
        <v>5</v>
      </c>
      <c r="S35">
        <v>0</v>
      </c>
      <c r="T35" t="s">
        <v>41</v>
      </c>
      <c r="U35" t="s">
        <v>38</v>
      </c>
      <c r="V35">
        <v>2261</v>
      </c>
      <c r="W35">
        <v>3.7</v>
      </c>
      <c r="X35">
        <v>4</v>
      </c>
      <c r="Y35" t="s">
        <v>43</v>
      </c>
      <c r="Z35">
        <v>3.56</v>
      </c>
      <c r="AA35" t="s">
        <v>69</v>
      </c>
    </row>
    <row r="36" spans="1:27" x14ac:dyDescent="0.3">
      <c r="A36" t="s">
        <v>66</v>
      </c>
      <c r="B36" t="s">
        <v>67</v>
      </c>
      <c r="C36">
        <v>2026</v>
      </c>
      <c r="D36" t="s">
        <v>63</v>
      </c>
      <c r="E36">
        <v>50395.94</v>
      </c>
      <c r="F36">
        <v>63.9</v>
      </c>
      <c r="G36">
        <v>243</v>
      </c>
      <c r="H36">
        <v>106.1</v>
      </c>
      <c r="I36">
        <v>7.33</v>
      </c>
      <c r="J36">
        <v>147</v>
      </c>
      <c r="K36">
        <v>334</v>
      </c>
      <c r="L36">
        <v>275</v>
      </c>
      <c r="M36" t="s">
        <v>39</v>
      </c>
      <c r="N36">
        <v>7</v>
      </c>
      <c r="O36" t="s">
        <v>65</v>
      </c>
      <c r="P36">
        <v>34.5</v>
      </c>
      <c r="Q36">
        <v>1500</v>
      </c>
      <c r="R36">
        <v>5</v>
      </c>
      <c r="S36">
        <v>1</v>
      </c>
      <c r="T36" t="s">
        <v>47</v>
      </c>
      <c r="U36" t="s">
        <v>42</v>
      </c>
      <c r="V36">
        <v>11950</v>
      </c>
      <c r="W36">
        <v>3.5</v>
      </c>
      <c r="X36">
        <v>4</v>
      </c>
      <c r="Y36" t="s">
        <v>61</v>
      </c>
      <c r="Z36">
        <v>3.8</v>
      </c>
      <c r="AA36" t="s">
        <v>43</v>
      </c>
    </row>
    <row r="37" spans="1:27" x14ac:dyDescent="0.3">
      <c r="A37" t="s">
        <v>84</v>
      </c>
      <c r="B37" t="s">
        <v>89</v>
      </c>
      <c r="C37">
        <v>2025</v>
      </c>
      <c r="D37" t="s">
        <v>29</v>
      </c>
      <c r="E37">
        <v>69597.509999999995</v>
      </c>
      <c r="F37">
        <v>106.2</v>
      </c>
      <c r="G37">
        <v>361</v>
      </c>
      <c r="H37">
        <v>219</v>
      </c>
      <c r="I37">
        <v>3.88</v>
      </c>
      <c r="J37">
        <v>192</v>
      </c>
      <c r="K37">
        <v>783</v>
      </c>
      <c r="L37">
        <v>728</v>
      </c>
      <c r="M37" t="s">
        <v>30</v>
      </c>
      <c r="N37">
        <v>5</v>
      </c>
      <c r="O37" t="s">
        <v>65</v>
      </c>
      <c r="P37">
        <v>38.9</v>
      </c>
      <c r="Q37">
        <v>1500</v>
      </c>
      <c r="R37">
        <v>5</v>
      </c>
      <c r="S37">
        <v>1</v>
      </c>
      <c r="T37" t="s">
        <v>47</v>
      </c>
      <c r="U37" t="s">
        <v>38</v>
      </c>
      <c r="V37">
        <v>24574</v>
      </c>
      <c r="W37">
        <v>3.8</v>
      </c>
      <c r="X37">
        <v>3</v>
      </c>
      <c r="Y37" t="s">
        <v>34</v>
      </c>
      <c r="Z37">
        <v>3.4</v>
      </c>
      <c r="AA37" t="s">
        <v>35</v>
      </c>
    </row>
    <row r="38" spans="1:27" x14ac:dyDescent="0.3">
      <c r="A38" t="s">
        <v>71</v>
      </c>
      <c r="B38" t="s">
        <v>90</v>
      </c>
      <c r="C38">
        <v>2025</v>
      </c>
      <c r="D38" t="s">
        <v>68</v>
      </c>
      <c r="E38">
        <v>31434.26</v>
      </c>
      <c r="F38">
        <v>60.6</v>
      </c>
      <c r="G38">
        <v>229</v>
      </c>
      <c r="H38">
        <v>98.1</v>
      </c>
      <c r="I38">
        <v>7.69</v>
      </c>
      <c r="J38">
        <v>136</v>
      </c>
      <c r="K38">
        <v>285</v>
      </c>
      <c r="L38">
        <v>269</v>
      </c>
      <c r="M38" t="s">
        <v>54</v>
      </c>
      <c r="N38">
        <v>5</v>
      </c>
      <c r="O38" t="s">
        <v>56</v>
      </c>
      <c r="P38">
        <v>31.5</v>
      </c>
      <c r="Q38">
        <v>1643</v>
      </c>
      <c r="R38">
        <v>4</v>
      </c>
      <c r="S38">
        <v>0</v>
      </c>
      <c r="T38" t="s">
        <v>73</v>
      </c>
      <c r="U38" t="s">
        <v>74</v>
      </c>
      <c r="V38">
        <v>242953</v>
      </c>
      <c r="W38">
        <v>3.3</v>
      </c>
      <c r="X38">
        <v>4</v>
      </c>
      <c r="Y38" t="s">
        <v>61</v>
      </c>
      <c r="Z38">
        <v>3.78</v>
      </c>
      <c r="AA38" t="s">
        <v>35</v>
      </c>
    </row>
    <row r="39" spans="1:27" x14ac:dyDescent="0.3">
      <c r="A39" t="s">
        <v>52</v>
      </c>
      <c r="B39" t="s">
        <v>86</v>
      </c>
      <c r="C39">
        <v>2023</v>
      </c>
      <c r="D39" t="s">
        <v>63</v>
      </c>
      <c r="E39">
        <v>109503.65</v>
      </c>
      <c r="F39">
        <v>47.9</v>
      </c>
      <c r="G39">
        <v>155</v>
      </c>
      <c r="H39">
        <v>304.7</v>
      </c>
      <c r="I39">
        <v>6.19</v>
      </c>
      <c r="J39">
        <v>164</v>
      </c>
      <c r="K39">
        <v>825</v>
      </c>
      <c r="L39">
        <v>733</v>
      </c>
      <c r="M39" t="s">
        <v>54</v>
      </c>
      <c r="N39">
        <v>5</v>
      </c>
      <c r="O39" t="s">
        <v>46</v>
      </c>
      <c r="P39">
        <v>72.8</v>
      </c>
      <c r="Q39">
        <v>1500</v>
      </c>
      <c r="R39">
        <v>5</v>
      </c>
      <c r="S39">
        <v>3</v>
      </c>
      <c r="T39" t="s">
        <v>47</v>
      </c>
      <c r="U39" t="s">
        <v>33</v>
      </c>
      <c r="V39">
        <v>174834</v>
      </c>
      <c r="W39">
        <v>3.6</v>
      </c>
      <c r="X39">
        <v>4</v>
      </c>
      <c r="Y39" t="s">
        <v>43</v>
      </c>
      <c r="Z39">
        <v>3.24</v>
      </c>
      <c r="AA39" t="s">
        <v>35</v>
      </c>
    </row>
    <row r="40" spans="1:27" x14ac:dyDescent="0.3">
      <c r="A40" t="s">
        <v>91</v>
      </c>
      <c r="B40" t="s">
        <v>92</v>
      </c>
      <c r="C40">
        <v>2025</v>
      </c>
      <c r="D40" t="s">
        <v>29</v>
      </c>
      <c r="E40">
        <v>156773.89000000001</v>
      </c>
      <c r="F40">
        <v>81.400000000000006</v>
      </c>
      <c r="G40">
        <v>266</v>
      </c>
      <c r="H40">
        <v>182.2</v>
      </c>
      <c r="I40">
        <v>4.2</v>
      </c>
      <c r="J40">
        <v>190</v>
      </c>
      <c r="K40">
        <v>1000</v>
      </c>
      <c r="L40">
        <v>908</v>
      </c>
      <c r="M40" t="s">
        <v>30</v>
      </c>
      <c r="N40">
        <v>5</v>
      </c>
      <c r="O40" t="s">
        <v>31</v>
      </c>
      <c r="P40">
        <v>76.8</v>
      </c>
      <c r="Q40">
        <v>2499</v>
      </c>
      <c r="R40">
        <v>5</v>
      </c>
      <c r="S40">
        <v>1</v>
      </c>
      <c r="T40" t="s">
        <v>32</v>
      </c>
      <c r="U40" t="s">
        <v>33</v>
      </c>
      <c r="V40">
        <v>58126</v>
      </c>
      <c r="W40">
        <v>3.6</v>
      </c>
      <c r="X40">
        <v>5</v>
      </c>
      <c r="Y40" t="s">
        <v>43</v>
      </c>
      <c r="Z40">
        <v>3.27</v>
      </c>
      <c r="AA40" t="s">
        <v>35</v>
      </c>
    </row>
    <row r="41" spans="1:27" x14ac:dyDescent="0.3">
      <c r="A41" t="s">
        <v>27</v>
      </c>
      <c r="B41" t="s">
        <v>93</v>
      </c>
      <c r="C41">
        <v>2021</v>
      </c>
      <c r="D41" t="s">
        <v>50</v>
      </c>
      <c r="E41">
        <v>52966.98</v>
      </c>
      <c r="F41">
        <v>96.8</v>
      </c>
      <c r="G41">
        <v>311</v>
      </c>
      <c r="H41">
        <v>134.69999999999999</v>
      </c>
      <c r="I41">
        <v>5.8</v>
      </c>
      <c r="J41">
        <v>171</v>
      </c>
      <c r="K41">
        <v>460</v>
      </c>
      <c r="L41">
        <v>436</v>
      </c>
      <c r="M41" t="s">
        <v>54</v>
      </c>
      <c r="N41">
        <v>5</v>
      </c>
      <c r="O41" t="s">
        <v>57</v>
      </c>
      <c r="P41">
        <v>20.6</v>
      </c>
      <c r="Q41">
        <v>1853</v>
      </c>
      <c r="R41">
        <v>5</v>
      </c>
      <c r="S41">
        <v>0</v>
      </c>
      <c r="T41" t="s">
        <v>32</v>
      </c>
      <c r="U41" t="s">
        <v>42</v>
      </c>
      <c r="V41">
        <v>232633</v>
      </c>
      <c r="W41">
        <v>3.6</v>
      </c>
      <c r="X41">
        <v>5</v>
      </c>
      <c r="Y41" t="s">
        <v>43</v>
      </c>
      <c r="Z41">
        <v>3.21</v>
      </c>
      <c r="AA41" t="s">
        <v>35</v>
      </c>
    </row>
    <row r="42" spans="1:27" x14ac:dyDescent="0.3">
      <c r="A42" t="s">
        <v>52</v>
      </c>
      <c r="B42" t="s">
        <v>80</v>
      </c>
      <c r="C42">
        <v>2024</v>
      </c>
      <c r="D42" t="s">
        <v>68</v>
      </c>
      <c r="E42">
        <v>121805.3</v>
      </c>
      <c r="F42">
        <v>58.9</v>
      </c>
      <c r="G42">
        <v>204</v>
      </c>
      <c r="H42">
        <v>274.60000000000002</v>
      </c>
      <c r="I42">
        <v>5.61</v>
      </c>
      <c r="J42">
        <v>173</v>
      </c>
      <c r="K42">
        <v>850</v>
      </c>
      <c r="L42">
        <v>776</v>
      </c>
      <c r="M42" t="s">
        <v>39</v>
      </c>
      <c r="N42">
        <v>7</v>
      </c>
      <c r="O42" t="s">
        <v>31</v>
      </c>
      <c r="P42">
        <v>56.2</v>
      </c>
      <c r="Q42">
        <v>2502</v>
      </c>
      <c r="R42">
        <v>4</v>
      </c>
      <c r="S42">
        <v>3</v>
      </c>
      <c r="T42" t="s">
        <v>47</v>
      </c>
      <c r="U42" t="s">
        <v>33</v>
      </c>
      <c r="V42">
        <v>225373</v>
      </c>
      <c r="W42">
        <v>3.8</v>
      </c>
      <c r="X42">
        <v>5</v>
      </c>
      <c r="Y42" t="s">
        <v>43</v>
      </c>
      <c r="Z42">
        <v>3.46</v>
      </c>
      <c r="AA42" t="s">
        <v>35</v>
      </c>
    </row>
    <row r="43" spans="1:27" x14ac:dyDescent="0.3">
      <c r="A43" t="s">
        <v>76</v>
      </c>
      <c r="B43" t="s">
        <v>87</v>
      </c>
      <c r="C43">
        <v>2025</v>
      </c>
      <c r="D43" t="s">
        <v>68</v>
      </c>
      <c r="E43">
        <v>69769.460000000006</v>
      </c>
      <c r="F43">
        <v>63.2</v>
      </c>
      <c r="G43">
        <v>212</v>
      </c>
      <c r="H43">
        <v>79</v>
      </c>
      <c r="I43">
        <v>7.79</v>
      </c>
      <c r="J43">
        <v>133</v>
      </c>
      <c r="K43">
        <v>890</v>
      </c>
      <c r="L43">
        <v>734</v>
      </c>
      <c r="M43" t="s">
        <v>39</v>
      </c>
      <c r="N43">
        <v>5</v>
      </c>
      <c r="O43" t="s">
        <v>56</v>
      </c>
      <c r="P43">
        <v>28.1</v>
      </c>
      <c r="Q43">
        <v>1500</v>
      </c>
      <c r="R43">
        <v>4</v>
      </c>
      <c r="S43">
        <v>0</v>
      </c>
      <c r="T43" t="s">
        <v>51</v>
      </c>
      <c r="U43" t="s">
        <v>38</v>
      </c>
      <c r="V43">
        <v>50147</v>
      </c>
      <c r="W43">
        <v>3.2</v>
      </c>
      <c r="X43">
        <v>4</v>
      </c>
      <c r="Y43" t="s">
        <v>61</v>
      </c>
      <c r="Z43">
        <v>3.35</v>
      </c>
      <c r="AA43" t="s">
        <v>35</v>
      </c>
    </row>
    <row r="44" spans="1:27" x14ac:dyDescent="0.3">
      <c r="A44" t="s">
        <v>52</v>
      </c>
      <c r="B44" t="s">
        <v>86</v>
      </c>
      <c r="C44">
        <v>2024</v>
      </c>
      <c r="D44" t="s">
        <v>50</v>
      </c>
      <c r="E44">
        <v>117517.98</v>
      </c>
      <c r="F44">
        <v>101</v>
      </c>
      <c r="G44">
        <v>350</v>
      </c>
      <c r="H44">
        <v>245.4</v>
      </c>
      <c r="I44">
        <v>4.6500000000000004</v>
      </c>
      <c r="J44">
        <v>186</v>
      </c>
      <c r="K44">
        <v>881</v>
      </c>
      <c r="L44">
        <v>810</v>
      </c>
      <c r="M44" t="s">
        <v>30</v>
      </c>
      <c r="N44">
        <v>5</v>
      </c>
      <c r="O44" t="s">
        <v>31</v>
      </c>
      <c r="P44">
        <v>80</v>
      </c>
      <c r="Q44">
        <v>2225</v>
      </c>
      <c r="R44">
        <v>5</v>
      </c>
      <c r="S44">
        <v>2</v>
      </c>
      <c r="T44" t="s">
        <v>47</v>
      </c>
      <c r="U44" t="s">
        <v>33</v>
      </c>
      <c r="V44">
        <v>122440</v>
      </c>
      <c r="W44">
        <v>4</v>
      </c>
      <c r="X44">
        <v>5</v>
      </c>
      <c r="Y44" t="s">
        <v>43</v>
      </c>
      <c r="Z44">
        <v>3.47</v>
      </c>
      <c r="AA44" t="s">
        <v>35</v>
      </c>
    </row>
    <row r="45" spans="1:27" x14ac:dyDescent="0.3">
      <c r="A45" t="s">
        <v>94</v>
      </c>
      <c r="B45" t="s">
        <v>95</v>
      </c>
      <c r="C45">
        <v>2025</v>
      </c>
      <c r="D45" t="s">
        <v>68</v>
      </c>
      <c r="E45">
        <v>53762.11</v>
      </c>
      <c r="F45">
        <v>52.1</v>
      </c>
      <c r="G45">
        <v>156</v>
      </c>
      <c r="H45">
        <v>112.8</v>
      </c>
      <c r="I45">
        <v>6.45</v>
      </c>
      <c r="J45">
        <v>154</v>
      </c>
      <c r="K45">
        <v>207</v>
      </c>
      <c r="L45">
        <v>200</v>
      </c>
      <c r="M45" t="s">
        <v>39</v>
      </c>
      <c r="N45">
        <v>5</v>
      </c>
      <c r="O45" t="s">
        <v>57</v>
      </c>
      <c r="P45">
        <v>17.600000000000001</v>
      </c>
      <c r="Q45">
        <v>1899</v>
      </c>
      <c r="R45">
        <v>4</v>
      </c>
      <c r="S45">
        <v>2</v>
      </c>
      <c r="T45" t="s">
        <v>32</v>
      </c>
      <c r="U45" t="s">
        <v>42</v>
      </c>
      <c r="V45">
        <v>69650</v>
      </c>
      <c r="W45">
        <v>3.7</v>
      </c>
      <c r="X45">
        <v>7</v>
      </c>
      <c r="Y45" t="s">
        <v>43</v>
      </c>
      <c r="Z45">
        <v>2.99</v>
      </c>
      <c r="AA45" t="s">
        <v>35</v>
      </c>
    </row>
    <row r="46" spans="1:27" x14ac:dyDescent="0.3">
      <c r="A46" t="s">
        <v>71</v>
      </c>
      <c r="B46" t="s">
        <v>96</v>
      </c>
      <c r="C46">
        <v>2024</v>
      </c>
      <c r="D46" t="s">
        <v>63</v>
      </c>
      <c r="E46">
        <v>24029.61</v>
      </c>
      <c r="F46">
        <v>45.6</v>
      </c>
      <c r="G46">
        <v>153</v>
      </c>
      <c r="H46">
        <v>53.1</v>
      </c>
      <c r="I46">
        <v>5.16</v>
      </c>
      <c r="J46">
        <v>177</v>
      </c>
      <c r="K46">
        <v>211</v>
      </c>
      <c r="L46">
        <v>200</v>
      </c>
      <c r="M46" t="s">
        <v>39</v>
      </c>
      <c r="N46">
        <v>5</v>
      </c>
      <c r="O46" t="s">
        <v>65</v>
      </c>
      <c r="P46">
        <v>32.5</v>
      </c>
      <c r="Q46">
        <v>1669</v>
      </c>
      <c r="R46">
        <v>5</v>
      </c>
      <c r="S46">
        <v>0</v>
      </c>
      <c r="T46" t="s">
        <v>73</v>
      </c>
      <c r="U46" t="s">
        <v>74</v>
      </c>
      <c r="V46">
        <v>157077</v>
      </c>
      <c r="W46">
        <v>3.5</v>
      </c>
      <c r="X46">
        <v>3</v>
      </c>
      <c r="Y46" t="s">
        <v>43</v>
      </c>
      <c r="Z46">
        <v>3.36</v>
      </c>
      <c r="AA46" t="s">
        <v>35</v>
      </c>
    </row>
    <row r="47" spans="1:27" x14ac:dyDescent="0.3">
      <c r="A47" t="s">
        <v>91</v>
      </c>
      <c r="B47" t="s">
        <v>97</v>
      </c>
      <c r="C47">
        <v>2024</v>
      </c>
      <c r="D47" t="s">
        <v>50</v>
      </c>
      <c r="E47">
        <v>120387.4</v>
      </c>
      <c r="F47">
        <v>79.400000000000006</v>
      </c>
      <c r="G47">
        <v>285</v>
      </c>
      <c r="H47">
        <v>134.30000000000001</v>
      </c>
      <c r="I47">
        <v>4.2</v>
      </c>
      <c r="J47">
        <v>193</v>
      </c>
      <c r="K47">
        <v>1000</v>
      </c>
      <c r="L47">
        <v>988</v>
      </c>
      <c r="M47" t="s">
        <v>54</v>
      </c>
      <c r="N47">
        <v>5</v>
      </c>
      <c r="O47" t="s">
        <v>31</v>
      </c>
      <c r="P47">
        <v>62.9</v>
      </c>
      <c r="Q47">
        <v>2464</v>
      </c>
      <c r="R47">
        <v>4</v>
      </c>
      <c r="S47">
        <v>2</v>
      </c>
      <c r="T47" t="s">
        <v>32</v>
      </c>
      <c r="U47" t="s">
        <v>33</v>
      </c>
      <c r="V47">
        <v>62864</v>
      </c>
      <c r="W47">
        <v>3.3</v>
      </c>
      <c r="X47">
        <v>8</v>
      </c>
      <c r="Y47" t="s">
        <v>43</v>
      </c>
      <c r="Z47">
        <v>3.59</v>
      </c>
      <c r="AA47" t="s">
        <v>35</v>
      </c>
    </row>
    <row r="48" spans="1:27" x14ac:dyDescent="0.3">
      <c r="A48" t="s">
        <v>71</v>
      </c>
      <c r="B48" t="s">
        <v>75</v>
      </c>
      <c r="C48">
        <v>2025</v>
      </c>
      <c r="D48" t="s">
        <v>63</v>
      </c>
      <c r="E48">
        <v>26682.38</v>
      </c>
      <c r="F48">
        <v>53.9</v>
      </c>
      <c r="G48">
        <v>199</v>
      </c>
      <c r="H48">
        <v>117.3</v>
      </c>
      <c r="I48">
        <v>7.39</v>
      </c>
      <c r="J48">
        <v>137</v>
      </c>
      <c r="K48">
        <v>274</v>
      </c>
      <c r="L48">
        <v>206</v>
      </c>
      <c r="M48" t="s">
        <v>39</v>
      </c>
      <c r="N48">
        <v>7</v>
      </c>
      <c r="O48" t="s">
        <v>31</v>
      </c>
      <c r="P48">
        <v>68.8</v>
      </c>
      <c r="Q48">
        <v>2367</v>
      </c>
      <c r="R48">
        <v>4</v>
      </c>
      <c r="S48">
        <v>0</v>
      </c>
      <c r="T48" t="s">
        <v>73</v>
      </c>
      <c r="U48" t="s">
        <v>74</v>
      </c>
      <c r="V48">
        <v>158602</v>
      </c>
      <c r="W48">
        <v>3.3</v>
      </c>
      <c r="X48">
        <v>3</v>
      </c>
      <c r="Y48" t="s">
        <v>61</v>
      </c>
      <c r="Z48">
        <v>3.69</v>
      </c>
      <c r="AA48" t="s">
        <v>35</v>
      </c>
    </row>
    <row r="49" spans="1:27" x14ac:dyDescent="0.3">
      <c r="A49" t="s">
        <v>76</v>
      </c>
      <c r="B49" t="s">
        <v>98</v>
      </c>
      <c r="C49">
        <v>2025</v>
      </c>
      <c r="D49" t="s">
        <v>63</v>
      </c>
      <c r="E49">
        <v>45100.09</v>
      </c>
      <c r="F49">
        <v>79.5</v>
      </c>
      <c r="G49">
        <v>257</v>
      </c>
      <c r="H49">
        <v>85.6</v>
      </c>
      <c r="I49">
        <v>5.25</v>
      </c>
      <c r="J49">
        <v>174</v>
      </c>
      <c r="K49">
        <v>478</v>
      </c>
      <c r="L49">
        <v>396</v>
      </c>
      <c r="M49" t="s">
        <v>30</v>
      </c>
      <c r="N49">
        <v>5</v>
      </c>
      <c r="O49" t="s">
        <v>56</v>
      </c>
      <c r="P49">
        <v>39.6</v>
      </c>
      <c r="Q49">
        <v>1705</v>
      </c>
      <c r="R49">
        <v>4</v>
      </c>
      <c r="S49">
        <v>1</v>
      </c>
      <c r="T49" t="s">
        <v>51</v>
      </c>
      <c r="U49" t="s">
        <v>42</v>
      </c>
      <c r="V49">
        <v>128526</v>
      </c>
      <c r="W49">
        <v>3.6</v>
      </c>
      <c r="X49">
        <v>4</v>
      </c>
      <c r="Y49" t="s">
        <v>43</v>
      </c>
      <c r="Z49">
        <v>3.23</v>
      </c>
      <c r="AA49" t="s">
        <v>35</v>
      </c>
    </row>
    <row r="50" spans="1:27" x14ac:dyDescent="0.3">
      <c r="A50" t="s">
        <v>48</v>
      </c>
      <c r="B50" t="s">
        <v>49</v>
      </c>
      <c r="C50">
        <v>2023</v>
      </c>
      <c r="D50" t="s">
        <v>68</v>
      </c>
      <c r="E50">
        <v>77484.789999999994</v>
      </c>
      <c r="F50">
        <v>81.2</v>
      </c>
      <c r="G50">
        <v>284</v>
      </c>
      <c r="H50">
        <v>147.69999999999999</v>
      </c>
      <c r="I50">
        <v>5.31</v>
      </c>
      <c r="J50">
        <v>169</v>
      </c>
      <c r="K50">
        <v>923</v>
      </c>
      <c r="L50">
        <v>832</v>
      </c>
      <c r="M50" t="s">
        <v>39</v>
      </c>
      <c r="N50">
        <v>5</v>
      </c>
      <c r="O50" t="s">
        <v>40</v>
      </c>
      <c r="P50">
        <v>55.4</v>
      </c>
      <c r="Q50">
        <v>2017</v>
      </c>
      <c r="R50">
        <v>3</v>
      </c>
      <c r="S50">
        <v>1</v>
      </c>
      <c r="T50" t="s">
        <v>51</v>
      </c>
      <c r="U50" t="s">
        <v>38</v>
      </c>
      <c r="V50">
        <v>101678</v>
      </c>
      <c r="W50">
        <v>3.3</v>
      </c>
      <c r="X50">
        <v>4</v>
      </c>
      <c r="Y50" t="s">
        <v>43</v>
      </c>
      <c r="Z50">
        <v>3.5</v>
      </c>
      <c r="AA50" t="s">
        <v>35</v>
      </c>
    </row>
    <row r="51" spans="1:27" x14ac:dyDescent="0.3">
      <c r="A51" t="s">
        <v>52</v>
      </c>
      <c r="B51" t="s">
        <v>55</v>
      </c>
      <c r="C51">
        <v>2023</v>
      </c>
      <c r="D51" t="s">
        <v>68</v>
      </c>
      <c r="E51">
        <v>98108.77</v>
      </c>
      <c r="F51">
        <v>46.5</v>
      </c>
      <c r="G51">
        <v>150</v>
      </c>
      <c r="H51">
        <v>338.8</v>
      </c>
      <c r="I51">
        <v>5.21</v>
      </c>
      <c r="J51">
        <v>174</v>
      </c>
      <c r="K51">
        <v>760</v>
      </c>
      <c r="L51">
        <v>665</v>
      </c>
      <c r="M51" t="s">
        <v>39</v>
      </c>
      <c r="N51">
        <v>5</v>
      </c>
      <c r="O51" t="s">
        <v>40</v>
      </c>
      <c r="P51">
        <v>44.4</v>
      </c>
      <c r="Q51">
        <v>2146</v>
      </c>
      <c r="R51">
        <v>5</v>
      </c>
      <c r="S51">
        <v>2</v>
      </c>
      <c r="T51" t="s">
        <v>47</v>
      </c>
      <c r="U51" t="s">
        <v>38</v>
      </c>
      <c r="V51">
        <v>431290</v>
      </c>
      <c r="W51">
        <v>3.3</v>
      </c>
      <c r="X51">
        <v>4</v>
      </c>
      <c r="Y51" t="s">
        <v>43</v>
      </c>
      <c r="Z51">
        <v>3.23</v>
      </c>
      <c r="AA51" t="s">
        <v>35</v>
      </c>
    </row>
    <row r="52" spans="1:27" x14ac:dyDescent="0.3">
      <c r="A52" t="s">
        <v>66</v>
      </c>
      <c r="B52" t="s">
        <v>67</v>
      </c>
      <c r="C52">
        <v>2020</v>
      </c>
      <c r="D52" t="s">
        <v>29</v>
      </c>
      <c r="E52">
        <v>143106.79</v>
      </c>
      <c r="F52">
        <v>75.3</v>
      </c>
      <c r="G52">
        <v>272</v>
      </c>
      <c r="H52">
        <v>170.3</v>
      </c>
      <c r="I52">
        <v>3.68</v>
      </c>
      <c r="J52">
        <v>197</v>
      </c>
      <c r="K52">
        <v>1000</v>
      </c>
      <c r="L52">
        <v>935</v>
      </c>
      <c r="M52" t="s">
        <v>30</v>
      </c>
      <c r="N52">
        <v>5</v>
      </c>
      <c r="O52" t="s">
        <v>56</v>
      </c>
      <c r="P52">
        <v>38.4</v>
      </c>
      <c r="Q52">
        <v>1705</v>
      </c>
      <c r="R52">
        <v>4</v>
      </c>
      <c r="S52">
        <v>1</v>
      </c>
      <c r="T52" t="s">
        <v>47</v>
      </c>
      <c r="U52" t="s">
        <v>33</v>
      </c>
      <c r="V52">
        <v>18708</v>
      </c>
      <c r="W52">
        <v>3.5</v>
      </c>
      <c r="X52">
        <v>4</v>
      </c>
      <c r="Y52" t="s">
        <v>34</v>
      </c>
      <c r="Z52">
        <v>3.61</v>
      </c>
      <c r="AA52" t="s">
        <v>43</v>
      </c>
    </row>
    <row r="53" spans="1:27" x14ac:dyDescent="0.3">
      <c r="A53" t="s">
        <v>84</v>
      </c>
      <c r="B53" t="s">
        <v>99</v>
      </c>
      <c r="C53">
        <v>2026</v>
      </c>
      <c r="D53" t="s">
        <v>63</v>
      </c>
      <c r="E53">
        <v>52266.720000000001</v>
      </c>
      <c r="F53">
        <v>73.400000000000006</v>
      </c>
      <c r="G53">
        <v>268</v>
      </c>
      <c r="H53">
        <v>58.4</v>
      </c>
      <c r="I53">
        <v>7.42</v>
      </c>
      <c r="J53">
        <v>137</v>
      </c>
      <c r="K53">
        <v>514</v>
      </c>
      <c r="L53">
        <v>472</v>
      </c>
      <c r="M53" t="s">
        <v>39</v>
      </c>
      <c r="N53">
        <v>2</v>
      </c>
      <c r="O53" t="s">
        <v>31</v>
      </c>
      <c r="P53">
        <v>50.3</v>
      </c>
      <c r="Q53">
        <v>2850</v>
      </c>
      <c r="R53">
        <v>5</v>
      </c>
      <c r="S53">
        <v>0</v>
      </c>
      <c r="T53" t="s">
        <v>47</v>
      </c>
      <c r="U53" t="s">
        <v>42</v>
      </c>
      <c r="V53">
        <v>62843</v>
      </c>
      <c r="W53">
        <v>3.7</v>
      </c>
      <c r="X53">
        <v>3</v>
      </c>
      <c r="Y53" t="s">
        <v>61</v>
      </c>
      <c r="Z53">
        <v>3.65</v>
      </c>
      <c r="AA53" t="s">
        <v>35</v>
      </c>
    </row>
    <row r="54" spans="1:27" x14ac:dyDescent="0.3">
      <c r="A54" t="s">
        <v>100</v>
      </c>
      <c r="B54" t="s">
        <v>101</v>
      </c>
      <c r="C54">
        <v>2025</v>
      </c>
      <c r="D54" t="s">
        <v>29</v>
      </c>
      <c r="E54">
        <v>60624.73</v>
      </c>
      <c r="F54">
        <v>82.4</v>
      </c>
      <c r="G54">
        <v>278</v>
      </c>
      <c r="H54">
        <v>174.8</v>
      </c>
      <c r="I54">
        <v>2.63</v>
      </c>
      <c r="J54">
        <v>200</v>
      </c>
      <c r="K54">
        <v>476</v>
      </c>
      <c r="L54">
        <v>420</v>
      </c>
      <c r="M54" t="s">
        <v>54</v>
      </c>
      <c r="N54">
        <v>7</v>
      </c>
      <c r="O54" t="s">
        <v>40</v>
      </c>
      <c r="P54">
        <v>48</v>
      </c>
      <c r="Q54">
        <v>2138</v>
      </c>
      <c r="R54">
        <v>4</v>
      </c>
      <c r="S54">
        <v>0</v>
      </c>
      <c r="T54" t="s">
        <v>73</v>
      </c>
      <c r="U54" t="s">
        <v>42</v>
      </c>
      <c r="V54">
        <v>8857</v>
      </c>
      <c r="W54">
        <v>3.5</v>
      </c>
      <c r="X54">
        <v>4</v>
      </c>
      <c r="Y54" t="s">
        <v>34</v>
      </c>
      <c r="Z54">
        <v>3.37</v>
      </c>
      <c r="AA54" t="s">
        <v>43</v>
      </c>
    </row>
    <row r="55" spans="1:27" x14ac:dyDescent="0.3">
      <c r="A55" t="s">
        <v>94</v>
      </c>
      <c r="B55" t="s">
        <v>95</v>
      </c>
      <c r="C55">
        <v>2025</v>
      </c>
      <c r="D55" t="s">
        <v>63</v>
      </c>
      <c r="E55">
        <v>63332.23</v>
      </c>
      <c r="F55">
        <v>84.4</v>
      </c>
      <c r="G55">
        <v>310</v>
      </c>
      <c r="H55">
        <v>92.7</v>
      </c>
      <c r="I55">
        <v>5.62</v>
      </c>
      <c r="J55">
        <v>162</v>
      </c>
      <c r="K55">
        <v>284</v>
      </c>
      <c r="L55">
        <v>288</v>
      </c>
      <c r="M55" t="s">
        <v>54</v>
      </c>
      <c r="N55">
        <v>7</v>
      </c>
      <c r="O55" t="s">
        <v>57</v>
      </c>
      <c r="P55">
        <v>31.7</v>
      </c>
      <c r="Q55">
        <v>1565</v>
      </c>
      <c r="R55">
        <v>5</v>
      </c>
      <c r="S55">
        <v>1</v>
      </c>
      <c r="T55" t="s">
        <v>32</v>
      </c>
      <c r="U55" t="s">
        <v>42</v>
      </c>
      <c r="V55">
        <v>62327</v>
      </c>
      <c r="W55">
        <v>3.9</v>
      </c>
      <c r="X55">
        <v>6</v>
      </c>
      <c r="Y55" t="s">
        <v>43</v>
      </c>
      <c r="Z55">
        <v>3.67</v>
      </c>
      <c r="AA55" t="s">
        <v>35</v>
      </c>
    </row>
    <row r="56" spans="1:27" x14ac:dyDescent="0.3">
      <c r="A56" t="s">
        <v>48</v>
      </c>
      <c r="B56" t="s">
        <v>49</v>
      </c>
      <c r="C56">
        <v>2024</v>
      </c>
      <c r="D56" t="s">
        <v>50</v>
      </c>
      <c r="E56">
        <v>95244.75</v>
      </c>
      <c r="F56">
        <v>77.2</v>
      </c>
      <c r="G56">
        <v>262</v>
      </c>
      <c r="H56">
        <v>94.4</v>
      </c>
      <c r="I56">
        <v>4.04</v>
      </c>
      <c r="J56">
        <v>194</v>
      </c>
      <c r="K56">
        <v>1000</v>
      </c>
      <c r="L56">
        <v>842</v>
      </c>
      <c r="M56" t="s">
        <v>30</v>
      </c>
      <c r="N56">
        <v>5</v>
      </c>
      <c r="O56" t="s">
        <v>40</v>
      </c>
      <c r="P56">
        <v>67.400000000000006</v>
      </c>
      <c r="Q56">
        <v>2045</v>
      </c>
      <c r="R56">
        <v>4</v>
      </c>
      <c r="S56">
        <v>1</v>
      </c>
      <c r="T56" t="s">
        <v>51</v>
      </c>
      <c r="U56" t="s">
        <v>38</v>
      </c>
      <c r="V56">
        <v>76023</v>
      </c>
      <c r="W56">
        <v>3.4</v>
      </c>
      <c r="X56">
        <v>3</v>
      </c>
      <c r="Y56" t="s">
        <v>43</v>
      </c>
      <c r="Z56">
        <v>3.39</v>
      </c>
      <c r="AA56" t="s">
        <v>35</v>
      </c>
    </row>
    <row r="57" spans="1:27" x14ac:dyDescent="0.3">
      <c r="A57" t="s">
        <v>102</v>
      </c>
      <c r="B57" t="s">
        <v>103</v>
      </c>
      <c r="C57">
        <v>2024</v>
      </c>
      <c r="D57" t="s">
        <v>63</v>
      </c>
      <c r="E57">
        <v>66816.36</v>
      </c>
      <c r="F57">
        <v>69.900000000000006</v>
      </c>
      <c r="G57">
        <v>247</v>
      </c>
      <c r="H57">
        <v>118.5</v>
      </c>
      <c r="I57">
        <v>5.33</v>
      </c>
      <c r="J57">
        <v>171</v>
      </c>
      <c r="K57">
        <v>150</v>
      </c>
      <c r="L57">
        <v>200</v>
      </c>
      <c r="M57" t="s">
        <v>30</v>
      </c>
      <c r="N57">
        <v>5</v>
      </c>
      <c r="O57" t="s">
        <v>65</v>
      </c>
      <c r="P57">
        <v>23.9</v>
      </c>
      <c r="Q57">
        <v>1757</v>
      </c>
      <c r="R57">
        <v>5</v>
      </c>
      <c r="S57">
        <v>0</v>
      </c>
      <c r="T57" t="s">
        <v>47</v>
      </c>
      <c r="U57" t="s">
        <v>38</v>
      </c>
      <c r="V57">
        <v>27456</v>
      </c>
      <c r="W57">
        <v>3.4</v>
      </c>
      <c r="X57">
        <v>6</v>
      </c>
      <c r="Y57" t="s">
        <v>43</v>
      </c>
      <c r="Z57">
        <v>3.53</v>
      </c>
      <c r="AA57" t="s">
        <v>35</v>
      </c>
    </row>
    <row r="58" spans="1:27" x14ac:dyDescent="0.3">
      <c r="A58" t="s">
        <v>52</v>
      </c>
      <c r="B58" t="s">
        <v>86</v>
      </c>
      <c r="C58">
        <v>2025</v>
      </c>
      <c r="D58" t="s">
        <v>63</v>
      </c>
      <c r="E58">
        <v>73015.63</v>
      </c>
      <c r="F58">
        <v>82.4</v>
      </c>
      <c r="G58">
        <v>304</v>
      </c>
      <c r="H58">
        <v>275.5</v>
      </c>
      <c r="I58">
        <v>5.58</v>
      </c>
      <c r="J58">
        <v>156</v>
      </c>
      <c r="K58">
        <v>528</v>
      </c>
      <c r="L58">
        <v>501</v>
      </c>
      <c r="M58" t="s">
        <v>54</v>
      </c>
      <c r="N58">
        <v>7</v>
      </c>
      <c r="O58" t="s">
        <v>31</v>
      </c>
      <c r="P58">
        <v>62.4</v>
      </c>
      <c r="Q58">
        <v>2036</v>
      </c>
      <c r="R58">
        <v>5</v>
      </c>
      <c r="S58">
        <v>2</v>
      </c>
      <c r="T58" t="s">
        <v>47</v>
      </c>
      <c r="U58" t="s">
        <v>38</v>
      </c>
      <c r="V58">
        <v>173406</v>
      </c>
      <c r="W58">
        <v>3.8</v>
      </c>
      <c r="X58">
        <v>5</v>
      </c>
      <c r="Y58" t="s">
        <v>43</v>
      </c>
      <c r="Z58">
        <v>3.69</v>
      </c>
      <c r="AA58" t="s">
        <v>35</v>
      </c>
    </row>
    <row r="59" spans="1:27" x14ac:dyDescent="0.3">
      <c r="A59" t="s">
        <v>52</v>
      </c>
      <c r="B59" t="s">
        <v>80</v>
      </c>
      <c r="C59">
        <v>2025</v>
      </c>
      <c r="D59" t="s">
        <v>29</v>
      </c>
      <c r="E59">
        <v>117415.98</v>
      </c>
      <c r="F59">
        <v>78.099999999999994</v>
      </c>
      <c r="G59">
        <v>263</v>
      </c>
      <c r="H59">
        <v>215.8</v>
      </c>
      <c r="I59">
        <v>2.94</v>
      </c>
      <c r="J59">
        <v>200</v>
      </c>
      <c r="K59">
        <v>927</v>
      </c>
      <c r="L59">
        <v>847</v>
      </c>
      <c r="M59" t="s">
        <v>30</v>
      </c>
      <c r="N59">
        <v>5</v>
      </c>
      <c r="O59" t="s">
        <v>31</v>
      </c>
      <c r="P59">
        <v>61.7</v>
      </c>
      <c r="Q59">
        <v>2353</v>
      </c>
      <c r="R59">
        <v>5</v>
      </c>
      <c r="S59">
        <v>2</v>
      </c>
      <c r="T59" t="s">
        <v>47</v>
      </c>
      <c r="U59" t="s">
        <v>33</v>
      </c>
      <c r="V59">
        <v>183531</v>
      </c>
      <c r="W59">
        <v>3.7</v>
      </c>
      <c r="X59">
        <v>5</v>
      </c>
      <c r="Y59" t="s">
        <v>34</v>
      </c>
      <c r="Z59">
        <v>3.37</v>
      </c>
      <c r="AA59" t="s">
        <v>35</v>
      </c>
    </row>
    <row r="60" spans="1:27" x14ac:dyDescent="0.3">
      <c r="A60" t="s">
        <v>52</v>
      </c>
      <c r="B60" t="s">
        <v>53</v>
      </c>
      <c r="C60">
        <v>2025</v>
      </c>
      <c r="D60" t="s">
        <v>68</v>
      </c>
      <c r="E60">
        <v>71316.86</v>
      </c>
      <c r="F60">
        <v>73.900000000000006</v>
      </c>
      <c r="G60">
        <v>249</v>
      </c>
      <c r="H60">
        <v>282</v>
      </c>
      <c r="I60">
        <v>6.73</v>
      </c>
      <c r="J60">
        <v>144</v>
      </c>
      <c r="K60">
        <v>502</v>
      </c>
      <c r="L60">
        <v>509</v>
      </c>
      <c r="M60" t="s">
        <v>54</v>
      </c>
      <c r="N60">
        <v>5</v>
      </c>
      <c r="O60" t="s">
        <v>40</v>
      </c>
      <c r="P60">
        <v>52.9</v>
      </c>
      <c r="Q60">
        <v>2053</v>
      </c>
      <c r="R60">
        <v>5</v>
      </c>
      <c r="S60">
        <v>3</v>
      </c>
      <c r="T60" t="s">
        <v>47</v>
      </c>
      <c r="U60" t="s">
        <v>38</v>
      </c>
      <c r="V60">
        <v>242716</v>
      </c>
      <c r="W60">
        <v>3.7</v>
      </c>
      <c r="X60">
        <v>5</v>
      </c>
      <c r="Y60" t="s">
        <v>43</v>
      </c>
      <c r="Z60">
        <v>3.37</v>
      </c>
      <c r="AA60" t="s">
        <v>35</v>
      </c>
    </row>
    <row r="61" spans="1:27" x14ac:dyDescent="0.3">
      <c r="A61" t="s">
        <v>71</v>
      </c>
      <c r="B61" t="s">
        <v>90</v>
      </c>
      <c r="C61">
        <v>2025</v>
      </c>
      <c r="D61" t="s">
        <v>63</v>
      </c>
      <c r="E61">
        <v>59005.52</v>
      </c>
      <c r="F61">
        <v>58.4</v>
      </c>
      <c r="G61">
        <v>200</v>
      </c>
      <c r="H61">
        <v>121.5</v>
      </c>
      <c r="I61">
        <v>7.64</v>
      </c>
      <c r="J61">
        <v>137</v>
      </c>
      <c r="K61">
        <v>667</v>
      </c>
      <c r="L61">
        <v>633</v>
      </c>
      <c r="M61" t="s">
        <v>54</v>
      </c>
      <c r="N61">
        <v>5</v>
      </c>
      <c r="O61" t="s">
        <v>46</v>
      </c>
      <c r="P61">
        <v>76.900000000000006</v>
      </c>
      <c r="Q61">
        <v>1500</v>
      </c>
      <c r="R61">
        <v>5</v>
      </c>
      <c r="S61">
        <v>0</v>
      </c>
      <c r="T61" t="s">
        <v>73</v>
      </c>
      <c r="U61" t="s">
        <v>42</v>
      </c>
      <c r="V61">
        <v>127516</v>
      </c>
      <c r="W61">
        <v>3.3</v>
      </c>
      <c r="X61">
        <v>5</v>
      </c>
      <c r="Y61" t="s">
        <v>61</v>
      </c>
      <c r="Z61">
        <v>3.42</v>
      </c>
      <c r="AA61" t="s">
        <v>35</v>
      </c>
    </row>
    <row r="62" spans="1:27" x14ac:dyDescent="0.3">
      <c r="A62" t="s">
        <v>27</v>
      </c>
      <c r="B62" t="s">
        <v>83</v>
      </c>
      <c r="C62">
        <v>2024</v>
      </c>
      <c r="D62" t="s">
        <v>50</v>
      </c>
      <c r="E62">
        <v>42431.05</v>
      </c>
      <c r="F62">
        <v>88.6</v>
      </c>
      <c r="G62">
        <v>306</v>
      </c>
      <c r="H62">
        <v>104.2</v>
      </c>
      <c r="I62">
        <v>5.94</v>
      </c>
      <c r="J62">
        <v>166</v>
      </c>
      <c r="K62">
        <v>337</v>
      </c>
      <c r="L62">
        <v>286</v>
      </c>
      <c r="M62" t="s">
        <v>30</v>
      </c>
      <c r="N62">
        <v>5</v>
      </c>
      <c r="O62" t="s">
        <v>57</v>
      </c>
      <c r="P62">
        <v>39.700000000000003</v>
      </c>
      <c r="Q62">
        <v>1590</v>
      </c>
      <c r="R62">
        <v>3</v>
      </c>
      <c r="S62">
        <v>1</v>
      </c>
      <c r="T62" t="s">
        <v>32</v>
      </c>
      <c r="U62" t="s">
        <v>42</v>
      </c>
      <c r="V62">
        <v>260840</v>
      </c>
      <c r="W62">
        <v>3.5</v>
      </c>
      <c r="X62">
        <v>4</v>
      </c>
      <c r="Y62" t="s">
        <v>43</v>
      </c>
      <c r="Z62">
        <v>3.45</v>
      </c>
      <c r="AA62" t="s">
        <v>35</v>
      </c>
    </row>
    <row r="63" spans="1:27" x14ac:dyDescent="0.3">
      <c r="A63" t="s">
        <v>71</v>
      </c>
      <c r="B63" t="s">
        <v>104</v>
      </c>
      <c r="C63">
        <v>2024</v>
      </c>
      <c r="D63" t="s">
        <v>29</v>
      </c>
      <c r="E63">
        <v>30671.06</v>
      </c>
      <c r="F63">
        <v>87.5</v>
      </c>
      <c r="G63">
        <v>303</v>
      </c>
      <c r="H63">
        <v>233.1</v>
      </c>
      <c r="I63">
        <v>4.18</v>
      </c>
      <c r="J63">
        <v>190</v>
      </c>
      <c r="K63">
        <v>345</v>
      </c>
      <c r="L63">
        <v>269</v>
      </c>
      <c r="M63" t="s">
        <v>30</v>
      </c>
      <c r="N63">
        <v>5</v>
      </c>
      <c r="O63" t="s">
        <v>65</v>
      </c>
      <c r="P63">
        <v>29.5</v>
      </c>
      <c r="Q63">
        <v>1815</v>
      </c>
      <c r="R63">
        <v>5</v>
      </c>
      <c r="S63">
        <v>0</v>
      </c>
      <c r="T63" t="s">
        <v>73</v>
      </c>
      <c r="U63" t="s">
        <v>74</v>
      </c>
      <c r="V63">
        <v>201621</v>
      </c>
      <c r="W63">
        <v>3.3</v>
      </c>
      <c r="X63">
        <v>4</v>
      </c>
      <c r="Y63" t="s">
        <v>43</v>
      </c>
      <c r="Z63">
        <v>3.46</v>
      </c>
      <c r="AA63" t="s">
        <v>35</v>
      </c>
    </row>
    <row r="64" spans="1:27" x14ac:dyDescent="0.3">
      <c r="A64" t="s">
        <v>58</v>
      </c>
      <c r="B64" t="s">
        <v>105</v>
      </c>
      <c r="C64">
        <v>2025</v>
      </c>
      <c r="D64" t="s">
        <v>29</v>
      </c>
      <c r="E64">
        <v>188302.14</v>
      </c>
      <c r="F64">
        <v>78.5</v>
      </c>
      <c r="G64">
        <v>277</v>
      </c>
      <c r="H64">
        <v>225</v>
      </c>
      <c r="I64">
        <v>4.32</v>
      </c>
      <c r="J64">
        <v>185</v>
      </c>
      <c r="K64">
        <v>1000</v>
      </c>
      <c r="L64">
        <v>943</v>
      </c>
      <c r="M64" t="s">
        <v>54</v>
      </c>
      <c r="N64">
        <v>7</v>
      </c>
      <c r="O64" t="s">
        <v>57</v>
      </c>
      <c r="P64">
        <v>28.5</v>
      </c>
      <c r="Q64">
        <v>1500</v>
      </c>
      <c r="R64">
        <v>4</v>
      </c>
      <c r="S64">
        <v>2</v>
      </c>
      <c r="T64" t="s">
        <v>32</v>
      </c>
      <c r="U64" t="s">
        <v>33</v>
      </c>
      <c r="V64">
        <v>43172</v>
      </c>
      <c r="W64">
        <v>4</v>
      </c>
      <c r="X64">
        <v>7</v>
      </c>
      <c r="Y64" t="s">
        <v>43</v>
      </c>
      <c r="Z64">
        <v>3.53</v>
      </c>
      <c r="AA64" t="s">
        <v>35</v>
      </c>
    </row>
    <row r="65" spans="1:27" x14ac:dyDescent="0.3">
      <c r="A65" t="s">
        <v>27</v>
      </c>
      <c r="B65" t="s">
        <v>78</v>
      </c>
      <c r="C65">
        <v>2023</v>
      </c>
      <c r="D65" t="s">
        <v>50</v>
      </c>
      <c r="E65">
        <v>94330.19</v>
      </c>
      <c r="F65">
        <v>105.4</v>
      </c>
      <c r="G65">
        <v>383</v>
      </c>
      <c r="H65">
        <v>105.8</v>
      </c>
      <c r="I65">
        <v>5.17</v>
      </c>
      <c r="J65">
        <v>177</v>
      </c>
      <c r="K65">
        <v>1000</v>
      </c>
      <c r="L65">
        <v>868</v>
      </c>
      <c r="M65" t="s">
        <v>39</v>
      </c>
      <c r="N65">
        <v>7</v>
      </c>
      <c r="O65" t="s">
        <v>65</v>
      </c>
      <c r="P65">
        <v>21.8</v>
      </c>
      <c r="Q65">
        <v>1500</v>
      </c>
      <c r="R65">
        <v>5</v>
      </c>
      <c r="S65">
        <v>1</v>
      </c>
      <c r="T65" t="s">
        <v>32</v>
      </c>
      <c r="U65" t="s">
        <v>38</v>
      </c>
      <c r="V65">
        <v>232451</v>
      </c>
      <c r="W65">
        <v>4</v>
      </c>
      <c r="X65">
        <v>3</v>
      </c>
      <c r="Y65" t="s">
        <v>43</v>
      </c>
      <c r="Z65">
        <v>3.63</v>
      </c>
      <c r="AA65" t="s">
        <v>35</v>
      </c>
    </row>
    <row r="66" spans="1:27" x14ac:dyDescent="0.3">
      <c r="A66" t="s">
        <v>71</v>
      </c>
      <c r="B66" t="s">
        <v>104</v>
      </c>
      <c r="C66">
        <v>2024</v>
      </c>
      <c r="D66" t="s">
        <v>38</v>
      </c>
      <c r="E66">
        <v>83518.44</v>
      </c>
      <c r="F66">
        <v>77.099999999999994</v>
      </c>
      <c r="G66">
        <v>267</v>
      </c>
      <c r="H66">
        <v>148.30000000000001</v>
      </c>
      <c r="I66">
        <v>7.36</v>
      </c>
      <c r="J66">
        <v>146</v>
      </c>
      <c r="K66">
        <v>954</v>
      </c>
      <c r="L66">
        <v>884</v>
      </c>
      <c r="M66" t="s">
        <v>30</v>
      </c>
      <c r="N66">
        <v>5</v>
      </c>
      <c r="O66" t="s">
        <v>57</v>
      </c>
      <c r="P66">
        <v>21.5</v>
      </c>
      <c r="Q66">
        <v>1652</v>
      </c>
      <c r="R66">
        <v>3</v>
      </c>
      <c r="S66">
        <v>1</v>
      </c>
      <c r="T66" t="s">
        <v>73</v>
      </c>
      <c r="U66" t="s">
        <v>38</v>
      </c>
      <c r="V66">
        <v>148454</v>
      </c>
      <c r="W66">
        <v>3.3</v>
      </c>
      <c r="X66">
        <v>5</v>
      </c>
      <c r="Y66" t="s">
        <v>61</v>
      </c>
      <c r="Z66">
        <v>3.46</v>
      </c>
      <c r="AA66" t="s">
        <v>35</v>
      </c>
    </row>
    <row r="67" spans="1:27" x14ac:dyDescent="0.3">
      <c r="A67" t="s">
        <v>48</v>
      </c>
      <c r="B67" t="s">
        <v>60</v>
      </c>
      <c r="C67">
        <v>2024</v>
      </c>
      <c r="D67" t="s">
        <v>38</v>
      </c>
      <c r="E67">
        <v>68436.66</v>
      </c>
      <c r="F67">
        <v>70</v>
      </c>
      <c r="G67">
        <v>249</v>
      </c>
      <c r="H67">
        <v>131.30000000000001</v>
      </c>
      <c r="I67">
        <v>7.12</v>
      </c>
      <c r="J67">
        <v>141</v>
      </c>
      <c r="K67">
        <v>790</v>
      </c>
      <c r="L67">
        <v>742</v>
      </c>
      <c r="M67" t="s">
        <v>30</v>
      </c>
      <c r="N67">
        <v>5</v>
      </c>
      <c r="O67" t="s">
        <v>57</v>
      </c>
      <c r="P67">
        <v>23</v>
      </c>
      <c r="Q67">
        <v>1556</v>
      </c>
      <c r="R67">
        <v>3</v>
      </c>
      <c r="S67">
        <v>0</v>
      </c>
      <c r="T67" t="s">
        <v>51</v>
      </c>
      <c r="U67" t="s">
        <v>38</v>
      </c>
      <c r="V67">
        <v>81219</v>
      </c>
      <c r="W67">
        <v>3.6</v>
      </c>
      <c r="X67">
        <v>3</v>
      </c>
      <c r="Y67" t="s">
        <v>61</v>
      </c>
      <c r="Z67">
        <v>3.56</v>
      </c>
      <c r="AA67" t="s">
        <v>35</v>
      </c>
    </row>
    <row r="68" spans="1:27" x14ac:dyDescent="0.3">
      <c r="A68" t="s">
        <v>52</v>
      </c>
      <c r="B68" t="s">
        <v>55</v>
      </c>
      <c r="C68">
        <v>2025</v>
      </c>
      <c r="D68" t="s">
        <v>29</v>
      </c>
      <c r="E68">
        <v>43196.41</v>
      </c>
      <c r="F68">
        <v>111.9</v>
      </c>
      <c r="G68">
        <v>408</v>
      </c>
      <c r="H68">
        <v>293.7</v>
      </c>
      <c r="I68">
        <v>4.2300000000000004</v>
      </c>
      <c r="J68">
        <v>197</v>
      </c>
      <c r="K68">
        <v>338</v>
      </c>
      <c r="L68">
        <v>357</v>
      </c>
      <c r="M68" t="s">
        <v>54</v>
      </c>
      <c r="N68">
        <v>7</v>
      </c>
      <c r="O68" t="s">
        <v>31</v>
      </c>
      <c r="P68">
        <v>70.3</v>
      </c>
      <c r="Q68">
        <v>2547</v>
      </c>
      <c r="R68">
        <v>5</v>
      </c>
      <c r="S68">
        <v>3</v>
      </c>
      <c r="T68" t="s">
        <v>47</v>
      </c>
      <c r="U68" t="s">
        <v>42</v>
      </c>
      <c r="V68">
        <v>437912</v>
      </c>
      <c r="W68">
        <v>4</v>
      </c>
      <c r="X68">
        <v>5</v>
      </c>
      <c r="Y68" t="s">
        <v>43</v>
      </c>
      <c r="Z68">
        <v>3.65</v>
      </c>
      <c r="AA68" t="s">
        <v>35</v>
      </c>
    </row>
    <row r="69" spans="1:27" x14ac:dyDescent="0.3">
      <c r="A69" t="s">
        <v>84</v>
      </c>
      <c r="B69" t="s">
        <v>106</v>
      </c>
      <c r="C69">
        <v>2024</v>
      </c>
      <c r="D69" t="s">
        <v>50</v>
      </c>
      <c r="E69">
        <v>66402.61</v>
      </c>
      <c r="F69">
        <v>90.5</v>
      </c>
      <c r="G69">
        <v>334</v>
      </c>
      <c r="H69">
        <v>96.1</v>
      </c>
      <c r="I69">
        <v>5.88</v>
      </c>
      <c r="J69">
        <v>162</v>
      </c>
      <c r="K69">
        <v>752</v>
      </c>
      <c r="L69">
        <v>677</v>
      </c>
      <c r="M69" t="s">
        <v>54</v>
      </c>
      <c r="N69">
        <v>5</v>
      </c>
      <c r="O69" t="s">
        <v>46</v>
      </c>
      <c r="P69">
        <v>67.5</v>
      </c>
      <c r="Q69">
        <v>1894</v>
      </c>
      <c r="R69">
        <v>5</v>
      </c>
      <c r="S69">
        <v>1</v>
      </c>
      <c r="T69" t="s">
        <v>47</v>
      </c>
      <c r="U69" t="s">
        <v>38</v>
      </c>
      <c r="V69">
        <v>36517</v>
      </c>
      <c r="W69">
        <v>3.7</v>
      </c>
      <c r="X69">
        <v>3</v>
      </c>
      <c r="Y69" t="s">
        <v>43</v>
      </c>
      <c r="Z69">
        <v>3.69</v>
      </c>
      <c r="AA69" t="s">
        <v>35</v>
      </c>
    </row>
    <row r="70" spans="1:27" x14ac:dyDescent="0.3">
      <c r="A70" t="s">
        <v>52</v>
      </c>
      <c r="B70" t="s">
        <v>86</v>
      </c>
      <c r="C70">
        <v>2024</v>
      </c>
      <c r="D70" t="s">
        <v>29</v>
      </c>
      <c r="E70">
        <v>42932.18</v>
      </c>
      <c r="F70">
        <v>99</v>
      </c>
      <c r="G70">
        <v>356</v>
      </c>
      <c r="H70">
        <v>209.1</v>
      </c>
      <c r="I70">
        <v>3.87</v>
      </c>
      <c r="J70">
        <v>192</v>
      </c>
      <c r="K70">
        <v>227</v>
      </c>
      <c r="L70">
        <v>200</v>
      </c>
      <c r="M70" t="s">
        <v>54</v>
      </c>
      <c r="N70">
        <v>7</v>
      </c>
      <c r="O70" t="s">
        <v>56</v>
      </c>
      <c r="P70">
        <v>27.2</v>
      </c>
      <c r="Q70">
        <v>1500</v>
      </c>
      <c r="R70">
        <v>5</v>
      </c>
      <c r="S70">
        <v>2</v>
      </c>
      <c r="T70" t="s">
        <v>47</v>
      </c>
      <c r="U70" t="s">
        <v>42</v>
      </c>
      <c r="V70">
        <v>238196</v>
      </c>
      <c r="W70">
        <v>4</v>
      </c>
      <c r="X70">
        <v>5</v>
      </c>
      <c r="Y70" t="s">
        <v>34</v>
      </c>
      <c r="Z70">
        <v>3.6</v>
      </c>
      <c r="AA70" t="s">
        <v>35</v>
      </c>
    </row>
    <row r="71" spans="1:27" x14ac:dyDescent="0.3">
      <c r="A71" t="s">
        <v>107</v>
      </c>
      <c r="B71" t="s">
        <v>108</v>
      </c>
      <c r="C71">
        <v>2022</v>
      </c>
      <c r="D71" t="s">
        <v>50</v>
      </c>
      <c r="E71">
        <v>101897.93</v>
      </c>
      <c r="F71">
        <v>76.099999999999994</v>
      </c>
      <c r="G71">
        <v>254</v>
      </c>
      <c r="H71">
        <v>291</v>
      </c>
      <c r="I71">
        <v>5.76</v>
      </c>
      <c r="J71">
        <v>163</v>
      </c>
      <c r="K71">
        <v>335</v>
      </c>
      <c r="L71">
        <v>326</v>
      </c>
      <c r="M71" t="s">
        <v>30</v>
      </c>
      <c r="N71">
        <v>7</v>
      </c>
      <c r="O71" t="s">
        <v>31</v>
      </c>
      <c r="P71">
        <v>72.099999999999994</v>
      </c>
      <c r="Q71">
        <v>2679</v>
      </c>
      <c r="R71">
        <v>5</v>
      </c>
      <c r="S71">
        <v>0</v>
      </c>
      <c r="T71" t="s">
        <v>32</v>
      </c>
      <c r="U71" t="s">
        <v>33</v>
      </c>
      <c r="V71">
        <v>26972</v>
      </c>
      <c r="W71">
        <v>3.7</v>
      </c>
      <c r="X71">
        <v>7</v>
      </c>
      <c r="Y71" t="s">
        <v>43</v>
      </c>
      <c r="Z71">
        <v>3.34</v>
      </c>
      <c r="AA71" t="s">
        <v>35</v>
      </c>
    </row>
    <row r="72" spans="1:27" x14ac:dyDescent="0.3">
      <c r="A72" t="s">
        <v>84</v>
      </c>
      <c r="B72" t="s">
        <v>89</v>
      </c>
      <c r="C72">
        <v>2025</v>
      </c>
      <c r="D72" t="s">
        <v>38</v>
      </c>
      <c r="E72">
        <v>45539.59</v>
      </c>
      <c r="F72">
        <v>55.1</v>
      </c>
      <c r="G72">
        <v>198</v>
      </c>
      <c r="H72">
        <v>143.80000000000001</v>
      </c>
      <c r="I72">
        <v>5.26</v>
      </c>
      <c r="J72">
        <v>173</v>
      </c>
      <c r="K72">
        <v>379</v>
      </c>
      <c r="L72">
        <v>335</v>
      </c>
      <c r="M72" t="s">
        <v>30</v>
      </c>
      <c r="N72">
        <v>5</v>
      </c>
      <c r="O72" t="s">
        <v>56</v>
      </c>
      <c r="P72">
        <v>16.399999999999999</v>
      </c>
      <c r="Q72">
        <v>1785</v>
      </c>
      <c r="R72">
        <v>5</v>
      </c>
      <c r="S72">
        <v>0</v>
      </c>
      <c r="T72" t="s">
        <v>47</v>
      </c>
      <c r="U72" t="s">
        <v>42</v>
      </c>
      <c r="V72">
        <v>26865</v>
      </c>
      <c r="W72">
        <v>3</v>
      </c>
      <c r="X72">
        <v>3</v>
      </c>
      <c r="Y72" t="s">
        <v>43</v>
      </c>
      <c r="Z72">
        <v>3.59</v>
      </c>
      <c r="AA72" t="s">
        <v>35</v>
      </c>
    </row>
    <row r="73" spans="1:27" x14ac:dyDescent="0.3">
      <c r="A73" t="s">
        <v>52</v>
      </c>
      <c r="B73" t="s">
        <v>64</v>
      </c>
      <c r="C73">
        <v>2024</v>
      </c>
      <c r="D73" t="s">
        <v>38</v>
      </c>
      <c r="E73">
        <v>66707.72</v>
      </c>
      <c r="F73">
        <v>45.8</v>
      </c>
      <c r="G73">
        <v>150</v>
      </c>
      <c r="H73">
        <v>301.10000000000002</v>
      </c>
      <c r="I73">
        <v>5.19</v>
      </c>
      <c r="J73">
        <v>166</v>
      </c>
      <c r="K73">
        <v>486</v>
      </c>
      <c r="L73">
        <v>420</v>
      </c>
      <c r="M73" t="s">
        <v>30</v>
      </c>
      <c r="N73">
        <v>5</v>
      </c>
      <c r="O73" t="s">
        <v>46</v>
      </c>
      <c r="P73">
        <v>69.7</v>
      </c>
      <c r="Q73">
        <v>1686</v>
      </c>
      <c r="R73">
        <v>5</v>
      </c>
      <c r="S73">
        <v>2</v>
      </c>
      <c r="T73" t="s">
        <v>47</v>
      </c>
      <c r="U73" t="s">
        <v>38</v>
      </c>
      <c r="V73">
        <v>187104</v>
      </c>
      <c r="W73">
        <v>3.2</v>
      </c>
      <c r="X73">
        <v>5</v>
      </c>
      <c r="Y73" t="s">
        <v>43</v>
      </c>
      <c r="Z73">
        <v>3.28</v>
      </c>
      <c r="AA73" t="s">
        <v>35</v>
      </c>
    </row>
    <row r="74" spans="1:27" x14ac:dyDescent="0.3">
      <c r="A74" t="s">
        <v>52</v>
      </c>
      <c r="B74" t="s">
        <v>64</v>
      </c>
      <c r="C74">
        <v>2020</v>
      </c>
      <c r="D74" t="s">
        <v>29</v>
      </c>
      <c r="E74">
        <v>102900.51</v>
      </c>
      <c r="F74">
        <v>74.099999999999994</v>
      </c>
      <c r="G74">
        <v>231</v>
      </c>
      <c r="H74">
        <v>323.39999999999998</v>
      </c>
      <c r="I74">
        <v>2.61</v>
      </c>
      <c r="J74">
        <v>200</v>
      </c>
      <c r="K74">
        <v>708</v>
      </c>
      <c r="L74">
        <v>567</v>
      </c>
      <c r="M74" t="s">
        <v>54</v>
      </c>
      <c r="N74">
        <v>5</v>
      </c>
      <c r="O74" t="s">
        <v>31</v>
      </c>
      <c r="P74">
        <v>79.8</v>
      </c>
      <c r="Q74">
        <v>2284</v>
      </c>
      <c r="R74">
        <v>3</v>
      </c>
      <c r="S74">
        <v>2</v>
      </c>
      <c r="T74" t="s">
        <v>47</v>
      </c>
      <c r="U74" t="s">
        <v>33</v>
      </c>
      <c r="V74">
        <v>184383</v>
      </c>
      <c r="W74">
        <v>3.8</v>
      </c>
      <c r="X74">
        <v>5</v>
      </c>
      <c r="Y74" t="s">
        <v>34</v>
      </c>
      <c r="Z74">
        <v>3.12</v>
      </c>
      <c r="AA74" t="s">
        <v>35</v>
      </c>
    </row>
    <row r="75" spans="1:27" x14ac:dyDescent="0.3">
      <c r="A75" t="s">
        <v>84</v>
      </c>
      <c r="B75" t="s">
        <v>106</v>
      </c>
      <c r="C75">
        <v>2024</v>
      </c>
      <c r="D75" t="s">
        <v>50</v>
      </c>
      <c r="E75">
        <v>69723.399999999994</v>
      </c>
      <c r="F75">
        <v>91.5</v>
      </c>
      <c r="G75">
        <v>331</v>
      </c>
      <c r="H75">
        <v>118.7</v>
      </c>
      <c r="I75">
        <v>5.32</v>
      </c>
      <c r="J75">
        <v>180</v>
      </c>
      <c r="K75">
        <v>792</v>
      </c>
      <c r="L75">
        <v>705</v>
      </c>
      <c r="M75" t="s">
        <v>30</v>
      </c>
      <c r="N75">
        <v>7</v>
      </c>
      <c r="O75" t="s">
        <v>31</v>
      </c>
      <c r="P75">
        <v>72.900000000000006</v>
      </c>
      <c r="Q75">
        <v>2451</v>
      </c>
      <c r="R75">
        <v>5</v>
      </c>
      <c r="S75">
        <v>0</v>
      </c>
      <c r="T75" t="s">
        <v>47</v>
      </c>
      <c r="U75" t="s">
        <v>38</v>
      </c>
      <c r="V75">
        <v>54063</v>
      </c>
      <c r="W75">
        <v>3.6</v>
      </c>
      <c r="X75">
        <v>4</v>
      </c>
      <c r="Y75" t="s">
        <v>43</v>
      </c>
      <c r="Z75">
        <v>3.62</v>
      </c>
      <c r="AA75" t="s">
        <v>35</v>
      </c>
    </row>
    <row r="76" spans="1:27" x14ac:dyDescent="0.3">
      <c r="A76" t="s">
        <v>44</v>
      </c>
      <c r="B76" t="s">
        <v>109</v>
      </c>
      <c r="C76">
        <v>2025</v>
      </c>
      <c r="D76" t="s">
        <v>29</v>
      </c>
      <c r="E76">
        <v>102049.38</v>
      </c>
      <c r="F76">
        <v>116.6</v>
      </c>
      <c r="G76">
        <v>395</v>
      </c>
      <c r="H76">
        <v>163.19999999999999</v>
      </c>
      <c r="I76">
        <v>4.21</v>
      </c>
      <c r="J76">
        <v>192</v>
      </c>
      <c r="K76">
        <v>1000</v>
      </c>
      <c r="L76">
        <v>893</v>
      </c>
      <c r="M76" t="s">
        <v>30</v>
      </c>
      <c r="N76">
        <v>5</v>
      </c>
      <c r="O76" t="s">
        <v>46</v>
      </c>
      <c r="P76">
        <v>72.099999999999994</v>
      </c>
      <c r="Q76">
        <v>1834</v>
      </c>
      <c r="R76">
        <v>4</v>
      </c>
      <c r="S76">
        <v>1</v>
      </c>
      <c r="T76" t="s">
        <v>47</v>
      </c>
      <c r="U76" t="s">
        <v>33</v>
      </c>
      <c r="V76">
        <v>7957</v>
      </c>
      <c r="W76">
        <v>4.2</v>
      </c>
      <c r="X76">
        <v>5</v>
      </c>
      <c r="Y76" t="s">
        <v>43</v>
      </c>
      <c r="Z76">
        <v>3.39</v>
      </c>
      <c r="AA76" t="s">
        <v>43</v>
      </c>
    </row>
    <row r="77" spans="1:27" x14ac:dyDescent="0.3">
      <c r="A77" t="s">
        <v>44</v>
      </c>
      <c r="B77" t="s">
        <v>110</v>
      </c>
      <c r="C77">
        <v>2024</v>
      </c>
      <c r="D77" t="s">
        <v>50</v>
      </c>
      <c r="E77">
        <v>78668.52</v>
      </c>
      <c r="F77">
        <v>102.9</v>
      </c>
      <c r="G77">
        <v>368</v>
      </c>
      <c r="H77">
        <v>72.099999999999994</v>
      </c>
      <c r="I77">
        <v>4.4400000000000004</v>
      </c>
      <c r="J77">
        <v>179</v>
      </c>
      <c r="K77">
        <v>1000</v>
      </c>
      <c r="L77">
        <v>916</v>
      </c>
      <c r="M77" t="s">
        <v>30</v>
      </c>
      <c r="N77">
        <v>5</v>
      </c>
      <c r="O77" t="s">
        <v>40</v>
      </c>
      <c r="P77">
        <v>65.5</v>
      </c>
      <c r="Q77">
        <v>2096</v>
      </c>
      <c r="R77">
        <v>5</v>
      </c>
      <c r="S77">
        <v>0</v>
      </c>
      <c r="T77" t="s">
        <v>47</v>
      </c>
      <c r="U77" t="s">
        <v>38</v>
      </c>
      <c r="V77">
        <v>14020</v>
      </c>
      <c r="W77">
        <v>4</v>
      </c>
      <c r="X77">
        <v>4</v>
      </c>
      <c r="Y77" t="s">
        <v>43</v>
      </c>
      <c r="Z77">
        <v>3.58</v>
      </c>
      <c r="AA77" t="s">
        <v>43</v>
      </c>
    </row>
    <row r="78" spans="1:27" x14ac:dyDescent="0.3">
      <c r="A78" t="s">
        <v>84</v>
      </c>
      <c r="B78" t="s">
        <v>85</v>
      </c>
      <c r="C78">
        <v>2024</v>
      </c>
      <c r="D78" t="s">
        <v>68</v>
      </c>
      <c r="E78">
        <v>79438.2</v>
      </c>
      <c r="F78">
        <v>82.5</v>
      </c>
      <c r="G78">
        <v>299</v>
      </c>
      <c r="H78">
        <v>128.6</v>
      </c>
      <c r="I78">
        <v>6.77</v>
      </c>
      <c r="J78">
        <v>149</v>
      </c>
      <c r="K78">
        <v>967</v>
      </c>
      <c r="L78">
        <v>916</v>
      </c>
      <c r="M78" t="s">
        <v>54</v>
      </c>
      <c r="N78">
        <v>5</v>
      </c>
      <c r="O78" t="s">
        <v>46</v>
      </c>
      <c r="P78">
        <v>80</v>
      </c>
      <c r="Q78">
        <v>1521</v>
      </c>
      <c r="R78">
        <v>5</v>
      </c>
      <c r="S78">
        <v>0</v>
      </c>
      <c r="T78" t="s">
        <v>47</v>
      </c>
      <c r="U78" t="s">
        <v>38</v>
      </c>
      <c r="V78">
        <v>21827</v>
      </c>
      <c r="W78">
        <v>3.8</v>
      </c>
      <c r="X78">
        <v>3</v>
      </c>
      <c r="Y78" t="s">
        <v>43</v>
      </c>
      <c r="Z78">
        <v>3.62</v>
      </c>
      <c r="AA78" t="s">
        <v>35</v>
      </c>
    </row>
    <row r="79" spans="1:27" x14ac:dyDescent="0.3">
      <c r="A79" t="s">
        <v>52</v>
      </c>
      <c r="B79" t="s">
        <v>53</v>
      </c>
      <c r="C79">
        <v>2024</v>
      </c>
      <c r="D79" t="s">
        <v>29</v>
      </c>
      <c r="E79">
        <v>139025.28</v>
      </c>
      <c r="F79">
        <v>93.4</v>
      </c>
      <c r="G79">
        <v>320</v>
      </c>
      <c r="H79">
        <v>293.89999999999998</v>
      </c>
      <c r="I79">
        <v>3.06</v>
      </c>
      <c r="J79">
        <v>200</v>
      </c>
      <c r="K79">
        <v>995</v>
      </c>
      <c r="L79">
        <v>917</v>
      </c>
      <c r="M79" t="s">
        <v>30</v>
      </c>
      <c r="N79">
        <v>5</v>
      </c>
      <c r="O79" t="s">
        <v>57</v>
      </c>
      <c r="P79">
        <v>17.8</v>
      </c>
      <c r="Q79">
        <v>1500</v>
      </c>
      <c r="R79">
        <v>4</v>
      </c>
      <c r="S79">
        <v>2</v>
      </c>
      <c r="T79" t="s">
        <v>47</v>
      </c>
      <c r="U79" t="s">
        <v>33</v>
      </c>
      <c r="V79">
        <v>220216</v>
      </c>
      <c r="W79">
        <v>4.0999999999999996</v>
      </c>
      <c r="X79">
        <v>5</v>
      </c>
      <c r="Y79" t="s">
        <v>34</v>
      </c>
      <c r="Z79">
        <v>3.43</v>
      </c>
      <c r="AA79" t="s">
        <v>35</v>
      </c>
    </row>
    <row r="80" spans="1:27" x14ac:dyDescent="0.3">
      <c r="A80" t="s">
        <v>27</v>
      </c>
      <c r="B80" t="s">
        <v>93</v>
      </c>
      <c r="C80">
        <v>2025</v>
      </c>
      <c r="D80" t="s">
        <v>63</v>
      </c>
      <c r="E80">
        <v>38889.440000000002</v>
      </c>
      <c r="F80">
        <v>65</v>
      </c>
      <c r="G80">
        <v>231</v>
      </c>
      <c r="H80">
        <v>142.69999999999999</v>
      </c>
      <c r="I80">
        <v>6.1</v>
      </c>
      <c r="J80">
        <v>160</v>
      </c>
      <c r="K80">
        <v>313</v>
      </c>
      <c r="L80">
        <v>257</v>
      </c>
      <c r="M80" t="s">
        <v>39</v>
      </c>
      <c r="N80">
        <v>5</v>
      </c>
      <c r="O80" t="s">
        <v>65</v>
      </c>
      <c r="P80">
        <v>20.9</v>
      </c>
      <c r="Q80">
        <v>1571</v>
      </c>
      <c r="R80">
        <v>5</v>
      </c>
      <c r="S80">
        <v>1</v>
      </c>
      <c r="T80" t="s">
        <v>32</v>
      </c>
      <c r="U80" t="s">
        <v>42</v>
      </c>
      <c r="V80">
        <v>293320</v>
      </c>
      <c r="W80">
        <v>3.4</v>
      </c>
      <c r="X80">
        <v>3</v>
      </c>
      <c r="Y80" t="s">
        <v>43</v>
      </c>
      <c r="Z80">
        <v>3.55</v>
      </c>
      <c r="AA80" t="s">
        <v>35</v>
      </c>
    </row>
    <row r="81" spans="1:27" x14ac:dyDescent="0.3">
      <c r="A81" t="s">
        <v>52</v>
      </c>
      <c r="B81" t="s">
        <v>53</v>
      </c>
      <c r="C81">
        <v>2025</v>
      </c>
      <c r="D81" t="s">
        <v>29</v>
      </c>
      <c r="E81">
        <v>169366.43</v>
      </c>
      <c r="F81">
        <v>117.4</v>
      </c>
      <c r="G81">
        <v>416</v>
      </c>
      <c r="H81">
        <v>241.6</v>
      </c>
      <c r="I81">
        <v>3.06</v>
      </c>
      <c r="J81">
        <v>200</v>
      </c>
      <c r="K81">
        <v>1000</v>
      </c>
      <c r="L81">
        <v>931</v>
      </c>
      <c r="M81" t="s">
        <v>54</v>
      </c>
      <c r="N81">
        <v>7</v>
      </c>
      <c r="O81" t="s">
        <v>40</v>
      </c>
      <c r="P81">
        <v>44.7</v>
      </c>
      <c r="Q81">
        <v>1923</v>
      </c>
      <c r="R81">
        <v>5</v>
      </c>
      <c r="S81">
        <v>2</v>
      </c>
      <c r="T81" t="s">
        <v>47</v>
      </c>
      <c r="U81" t="s">
        <v>33</v>
      </c>
      <c r="V81">
        <v>248754</v>
      </c>
      <c r="W81">
        <v>4.0999999999999996</v>
      </c>
      <c r="X81">
        <v>5</v>
      </c>
      <c r="Y81" t="s">
        <v>34</v>
      </c>
      <c r="Z81">
        <v>3.54</v>
      </c>
      <c r="AA81" t="s">
        <v>35</v>
      </c>
    </row>
    <row r="82" spans="1:27" x14ac:dyDescent="0.3">
      <c r="A82" t="s">
        <v>58</v>
      </c>
      <c r="B82" t="s">
        <v>111</v>
      </c>
      <c r="C82">
        <v>2023</v>
      </c>
      <c r="D82" t="s">
        <v>68</v>
      </c>
      <c r="E82">
        <v>144581.79</v>
      </c>
      <c r="F82">
        <v>42.8</v>
      </c>
      <c r="G82">
        <v>150</v>
      </c>
      <c r="H82">
        <v>146.80000000000001</v>
      </c>
      <c r="I82">
        <v>6.34</v>
      </c>
      <c r="J82">
        <v>156</v>
      </c>
      <c r="K82">
        <v>852</v>
      </c>
      <c r="L82">
        <v>767</v>
      </c>
      <c r="M82" t="s">
        <v>39</v>
      </c>
      <c r="N82">
        <v>7</v>
      </c>
      <c r="O82" t="s">
        <v>40</v>
      </c>
      <c r="P82">
        <v>57.7</v>
      </c>
      <c r="Q82">
        <v>1857</v>
      </c>
      <c r="R82">
        <v>4</v>
      </c>
      <c r="S82">
        <v>1</v>
      </c>
      <c r="T82" t="s">
        <v>32</v>
      </c>
      <c r="U82" t="s">
        <v>33</v>
      </c>
      <c r="V82">
        <v>76491</v>
      </c>
      <c r="W82">
        <v>3.4</v>
      </c>
      <c r="X82">
        <v>7</v>
      </c>
      <c r="Y82" t="s">
        <v>43</v>
      </c>
      <c r="Z82">
        <v>3.5</v>
      </c>
      <c r="AA82" t="s">
        <v>35</v>
      </c>
    </row>
    <row r="83" spans="1:27" x14ac:dyDescent="0.3">
      <c r="A83" t="s">
        <v>91</v>
      </c>
      <c r="B83" t="s">
        <v>112</v>
      </c>
      <c r="C83">
        <v>2023</v>
      </c>
      <c r="D83" t="s">
        <v>38</v>
      </c>
      <c r="E83">
        <v>86081.93</v>
      </c>
      <c r="F83">
        <v>72.3</v>
      </c>
      <c r="G83">
        <v>247</v>
      </c>
      <c r="H83">
        <v>125.7</v>
      </c>
      <c r="I83">
        <v>5.89</v>
      </c>
      <c r="J83">
        <v>166</v>
      </c>
      <c r="K83">
        <v>612</v>
      </c>
      <c r="L83">
        <v>541</v>
      </c>
      <c r="M83" t="s">
        <v>30</v>
      </c>
      <c r="N83">
        <v>7</v>
      </c>
      <c r="O83" t="s">
        <v>31</v>
      </c>
      <c r="P83">
        <v>60.3</v>
      </c>
      <c r="Q83">
        <v>2745</v>
      </c>
      <c r="R83">
        <v>4</v>
      </c>
      <c r="S83">
        <v>2</v>
      </c>
      <c r="T83" t="s">
        <v>32</v>
      </c>
      <c r="U83" t="s">
        <v>38</v>
      </c>
      <c r="V83">
        <v>51887</v>
      </c>
      <c r="W83">
        <v>3.4</v>
      </c>
      <c r="X83">
        <v>6</v>
      </c>
      <c r="Y83" t="s">
        <v>43</v>
      </c>
      <c r="Z83">
        <v>3.42</v>
      </c>
      <c r="AA83" t="s">
        <v>35</v>
      </c>
    </row>
    <row r="84" spans="1:27" x14ac:dyDescent="0.3">
      <c r="A84" t="s">
        <v>71</v>
      </c>
      <c r="B84" t="s">
        <v>96</v>
      </c>
      <c r="C84">
        <v>2026</v>
      </c>
      <c r="D84" t="s">
        <v>29</v>
      </c>
      <c r="E84">
        <v>101561.3</v>
      </c>
      <c r="F84">
        <v>101.6</v>
      </c>
      <c r="G84">
        <v>329</v>
      </c>
      <c r="H84">
        <v>185.5</v>
      </c>
      <c r="I84">
        <v>2.59</v>
      </c>
      <c r="J84">
        <v>200</v>
      </c>
      <c r="K84">
        <v>1000</v>
      </c>
      <c r="L84">
        <v>906</v>
      </c>
      <c r="M84" t="s">
        <v>54</v>
      </c>
      <c r="N84">
        <v>5</v>
      </c>
      <c r="O84" t="s">
        <v>31</v>
      </c>
      <c r="P84">
        <v>62.3</v>
      </c>
      <c r="Q84">
        <v>2633</v>
      </c>
      <c r="R84">
        <v>3</v>
      </c>
      <c r="S84">
        <v>0</v>
      </c>
      <c r="T84" t="s">
        <v>73</v>
      </c>
      <c r="U84" t="s">
        <v>33</v>
      </c>
      <c r="V84">
        <v>216998</v>
      </c>
      <c r="W84">
        <v>3.7</v>
      </c>
      <c r="X84">
        <v>3</v>
      </c>
      <c r="Y84" t="s">
        <v>34</v>
      </c>
      <c r="Z84">
        <v>3.24</v>
      </c>
      <c r="AA84" t="s">
        <v>35</v>
      </c>
    </row>
    <row r="85" spans="1:27" x14ac:dyDescent="0.3">
      <c r="A85" t="s">
        <v>52</v>
      </c>
      <c r="B85" t="s">
        <v>80</v>
      </c>
      <c r="C85">
        <v>2024</v>
      </c>
      <c r="D85" t="s">
        <v>50</v>
      </c>
      <c r="E85">
        <v>158925.9</v>
      </c>
      <c r="F85">
        <v>82.5</v>
      </c>
      <c r="G85">
        <v>291</v>
      </c>
      <c r="H85">
        <v>310.8</v>
      </c>
      <c r="I85">
        <v>4.0599999999999996</v>
      </c>
      <c r="J85">
        <v>186</v>
      </c>
      <c r="K85">
        <v>1000</v>
      </c>
      <c r="L85">
        <v>962</v>
      </c>
      <c r="M85" t="s">
        <v>30</v>
      </c>
      <c r="N85">
        <v>5</v>
      </c>
      <c r="O85" t="s">
        <v>31</v>
      </c>
      <c r="P85">
        <v>67</v>
      </c>
      <c r="Q85">
        <v>2567</v>
      </c>
      <c r="R85">
        <v>5</v>
      </c>
      <c r="S85">
        <v>3</v>
      </c>
      <c r="T85" t="s">
        <v>47</v>
      </c>
      <c r="U85" t="s">
        <v>33</v>
      </c>
      <c r="V85">
        <v>138950</v>
      </c>
      <c r="W85">
        <v>3.9</v>
      </c>
      <c r="X85">
        <v>6</v>
      </c>
      <c r="Y85" t="s">
        <v>43</v>
      </c>
      <c r="Z85">
        <v>3.53</v>
      </c>
      <c r="AA85" t="s">
        <v>35</v>
      </c>
    </row>
    <row r="86" spans="1:27" x14ac:dyDescent="0.3">
      <c r="A86" t="s">
        <v>71</v>
      </c>
      <c r="B86" t="s">
        <v>81</v>
      </c>
      <c r="C86">
        <v>2023</v>
      </c>
      <c r="D86" t="s">
        <v>68</v>
      </c>
      <c r="E86">
        <v>21523.03</v>
      </c>
      <c r="F86">
        <v>42.4</v>
      </c>
      <c r="G86">
        <v>150</v>
      </c>
      <c r="H86">
        <v>72.7</v>
      </c>
      <c r="I86">
        <v>6.84</v>
      </c>
      <c r="J86">
        <v>157</v>
      </c>
      <c r="K86">
        <v>207</v>
      </c>
      <c r="L86">
        <v>200</v>
      </c>
      <c r="M86" t="s">
        <v>39</v>
      </c>
      <c r="N86">
        <v>7</v>
      </c>
      <c r="O86" t="s">
        <v>65</v>
      </c>
      <c r="P86">
        <v>16.899999999999999</v>
      </c>
      <c r="Q86">
        <v>1621</v>
      </c>
      <c r="R86">
        <v>4</v>
      </c>
      <c r="S86">
        <v>0</v>
      </c>
      <c r="T86" t="s">
        <v>73</v>
      </c>
      <c r="U86" t="s">
        <v>74</v>
      </c>
      <c r="V86">
        <v>183596</v>
      </c>
      <c r="W86">
        <v>3.2</v>
      </c>
      <c r="X86">
        <v>3</v>
      </c>
      <c r="Y86" t="s">
        <v>43</v>
      </c>
      <c r="Z86">
        <v>3.54</v>
      </c>
      <c r="AA86" t="s">
        <v>35</v>
      </c>
    </row>
    <row r="87" spans="1:27" x14ac:dyDescent="0.3">
      <c r="A87" t="s">
        <v>71</v>
      </c>
      <c r="B87" t="s">
        <v>90</v>
      </c>
      <c r="C87">
        <v>2024</v>
      </c>
      <c r="D87" t="s">
        <v>38</v>
      </c>
      <c r="E87">
        <v>100360.19</v>
      </c>
      <c r="F87">
        <v>50</v>
      </c>
      <c r="G87">
        <v>193</v>
      </c>
      <c r="H87">
        <v>132.4</v>
      </c>
      <c r="I87">
        <v>6.15</v>
      </c>
      <c r="J87">
        <v>155</v>
      </c>
      <c r="K87">
        <v>1000</v>
      </c>
      <c r="L87">
        <v>888</v>
      </c>
      <c r="M87" t="s">
        <v>54</v>
      </c>
      <c r="N87">
        <v>5</v>
      </c>
      <c r="O87" t="s">
        <v>46</v>
      </c>
      <c r="P87">
        <v>61.5</v>
      </c>
      <c r="Q87">
        <v>1876</v>
      </c>
      <c r="R87">
        <v>5</v>
      </c>
      <c r="S87">
        <v>0</v>
      </c>
      <c r="T87" t="s">
        <v>73</v>
      </c>
      <c r="U87" t="s">
        <v>33</v>
      </c>
      <c r="V87">
        <v>137465</v>
      </c>
      <c r="W87">
        <v>3.1</v>
      </c>
      <c r="X87">
        <v>4</v>
      </c>
      <c r="Y87" t="s">
        <v>43</v>
      </c>
      <c r="Z87">
        <v>3.86</v>
      </c>
      <c r="AA87" t="s">
        <v>35</v>
      </c>
    </row>
    <row r="88" spans="1:27" x14ac:dyDescent="0.3">
      <c r="A88" t="s">
        <v>44</v>
      </c>
      <c r="B88" t="s">
        <v>109</v>
      </c>
      <c r="C88">
        <v>2026</v>
      </c>
      <c r="D88" t="s">
        <v>63</v>
      </c>
      <c r="E88">
        <v>63696.78</v>
      </c>
      <c r="F88">
        <v>78</v>
      </c>
      <c r="G88">
        <v>262</v>
      </c>
      <c r="H88">
        <v>101.2</v>
      </c>
      <c r="I88">
        <v>7.32</v>
      </c>
      <c r="J88">
        <v>136</v>
      </c>
      <c r="K88">
        <v>835</v>
      </c>
      <c r="L88">
        <v>746</v>
      </c>
      <c r="M88" t="s">
        <v>39</v>
      </c>
      <c r="N88">
        <v>5</v>
      </c>
      <c r="O88" t="s">
        <v>31</v>
      </c>
      <c r="P88">
        <v>62.1</v>
      </c>
      <c r="Q88">
        <v>2581</v>
      </c>
      <c r="R88">
        <v>5</v>
      </c>
      <c r="S88">
        <v>0</v>
      </c>
      <c r="T88" t="s">
        <v>47</v>
      </c>
      <c r="U88" t="s">
        <v>42</v>
      </c>
      <c r="V88">
        <v>8032</v>
      </c>
      <c r="W88">
        <v>3.6</v>
      </c>
      <c r="X88">
        <v>3</v>
      </c>
      <c r="Y88" t="s">
        <v>61</v>
      </c>
      <c r="Z88">
        <v>3.36</v>
      </c>
      <c r="AA88" t="s">
        <v>43</v>
      </c>
    </row>
    <row r="89" spans="1:27" x14ac:dyDescent="0.3">
      <c r="A89" t="s">
        <v>91</v>
      </c>
      <c r="B89" t="s">
        <v>97</v>
      </c>
      <c r="C89">
        <v>2024</v>
      </c>
      <c r="D89" t="s">
        <v>68</v>
      </c>
      <c r="E89">
        <v>84405.92</v>
      </c>
      <c r="F89">
        <v>52.5</v>
      </c>
      <c r="G89">
        <v>173</v>
      </c>
      <c r="H89">
        <v>105.6</v>
      </c>
      <c r="I89">
        <v>5.09</v>
      </c>
      <c r="J89">
        <v>169</v>
      </c>
      <c r="K89">
        <v>612</v>
      </c>
      <c r="L89">
        <v>505</v>
      </c>
      <c r="M89" t="s">
        <v>54</v>
      </c>
      <c r="N89">
        <v>5</v>
      </c>
      <c r="O89" t="s">
        <v>31</v>
      </c>
      <c r="P89">
        <v>57.9</v>
      </c>
      <c r="Q89">
        <v>2679</v>
      </c>
      <c r="R89">
        <v>3</v>
      </c>
      <c r="S89">
        <v>1</v>
      </c>
      <c r="T89" t="s">
        <v>32</v>
      </c>
      <c r="U89" t="s">
        <v>38</v>
      </c>
      <c r="V89">
        <v>42777</v>
      </c>
      <c r="W89">
        <v>3.2</v>
      </c>
      <c r="X89">
        <v>6</v>
      </c>
      <c r="Y89" t="s">
        <v>43</v>
      </c>
      <c r="Z89">
        <v>3.3</v>
      </c>
      <c r="AA89" t="s">
        <v>35</v>
      </c>
    </row>
    <row r="90" spans="1:27" x14ac:dyDescent="0.3">
      <c r="A90" t="s">
        <v>94</v>
      </c>
      <c r="B90" t="s">
        <v>113</v>
      </c>
      <c r="C90">
        <v>2024</v>
      </c>
      <c r="D90" t="s">
        <v>68</v>
      </c>
      <c r="E90">
        <v>73910.789999999994</v>
      </c>
      <c r="F90">
        <v>41.9</v>
      </c>
      <c r="G90">
        <v>150</v>
      </c>
      <c r="H90">
        <v>94.4</v>
      </c>
      <c r="I90">
        <v>7.68</v>
      </c>
      <c r="J90">
        <v>142</v>
      </c>
      <c r="K90">
        <v>431</v>
      </c>
      <c r="L90">
        <v>377</v>
      </c>
      <c r="M90" t="s">
        <v>39</v>
      </c>
      <c r="N90">
        <v>5</v>
      </c>
      <c r="O90" t="s">
        <v>40</v>
      </c>
      <c r="P90">
        <v>53</v>
      </c>
      <c r="Q90">
        <v>2121</v>
      </c>
      <c r="R90">
        <v>4</v>
      </c>
      <c r="S90">
        <v>1</v>
      </c>
      <c r="T90" t="s">
        <v>32</v>
      </c>
      <c r="U90" t="s">
        <v>38</v>
      </c>
      <c r="V90">
        <v>36319</v>
      </c>
      <c r="W90">
        <v>3</v>
      </c>
      <c r="X90">
        <v>5</v>
      </c>
      <c r="Y90" t="s">
        <v>61</v>
      </c>
      <c r="Z90">
        <v>3.58</v>
      </c>
      <c r="AA90" t="s">
        <v>35</v>
      </c>
    </row>
    <row r="91" spans="1:27" x14ac:dyDescent="0.3">
      <c r="A91" t="s">
        <v>76</v>
      </c>
      <c r="B91" t="s">
        <v>114</v>
      </c>
      <c r="C91">
        <v>2025</v>
      </c>
      <c r="D91" t="s">
        <v>29</v>
      </c>
      <c r="E91">
        <v>57904.84</v>
      </c>
      <c r="F91">
        <v>80.5</v>
      </c>
      <c r="G91">
        <v>286</v>
      </c>
      <c r="H91">
        <v>194.1</v>
      </c>
      <c r="I91">
        <v>2.76</v>
      </c>
      <c r="J91">
        <v>200</v>
      </c>
      <c r="K91">
        <v>704</v>
      </c>
      <c r="L91">
        <v>589</v>
      </c>
      <c r="M91" t="s">
        <v>30</v>
      </c>
      <c r="N91">
        <v>7</v>
      </c>
      <c r="O91" t="s">
        <v>65</v>
      </c>
      <c r="P91">
        <v>30.1</v>
      </c>
      <c r="Q91">
        <v>1792</v>
      </c>
      <c r="R91">
        <v>4</v>
      </c>
      <c r="S91">
        <v>2</v>
      </c>
      <c r="T91" t="s">
        <v>51</v>
      </c>
      <c r="U91" t="s">
        <v>42</v>
      </c>
      <c r="V91">
        <v>68118</v>
      </c>
      <c r="W91">
        <v>3.7</v>
      </c>
      <c r="X91">
        <v>4</v>
      </c>
      <c r="Y91" t="s">
        <v>34</v>
      </c>
      <c r="Z91">
        <v>3.55</v>
      </c>
      <c r="AA91" t="s">
        <v>35</v>
      </c>
    </row>
    <row r="92" spans="1:27" x14ac:dyDescent="0.3">
      <c r="A92" t="s">
        <v>52</v>
      </c>
      <c r="B92" t="s">
        <v>80</v>
      </c>
      <c r="C92">
        <v>2024</v>
      </c>
      <c r="D92" t="s">
        <v>63</v>
      </c>
      <c r="E92">
        <v>38394.15</v>
      </c>
      <c r="F92">
        <v>47.7</v>
      </c>
      <c r="G92">
        <v>189</v>
      </c>
      <c r="H92">
        <v>334.7</v>
      </c>
      <c r="I92">
        <v>5.25</v>
      </c>
      <c r="J92">
        <v>169</v>
      </c>
      <c r="K92">
        <v>227</v>
      </c>
      <c r="L92">
        <v>200</v>
      </c>
      <c r="M92" t="s">
        <v>30</v>
      </c>
      <c r="N92">
        <v>7</v>
      </c>
      <c r="O92" t="s">
        <v>31</v>
      </c>
      <c r="P92">
        <v>68.099999999999994</v>
      </c>
      <c r="Q92">
        <v>2403</v>
      </c>
      <c r="R92">
        <v>3</v>
      </c>
      <c r="S92">
        <v>3</v>
      </c>
      <c r="T92" t="s">
        <v>47</v>
      </c>
      <c r="U92" t="s">
        <v>42</v>
      </c>
      <c r="V92">
        <v>246203</v>
      </c>
      <c r="W92">
        <v>3.5</v>
      </c>
      <c r="X92">
        <v>4</v>
      </c>
      <c r="Y92" t="s">
        <v>43</v>
      </c>
      <c r="Z92">
        <v>3.96</v>
      </c>
      <c r="AA92" t="s">
        <v>35</v>
      </c>
    </row>
    <row r="93" spans="1:27" x14ac:dyDescent="0.3">
      <c r="A93" t="s">
        <v>44</v>
      </c>
      <c r="B93" t="s">
        <v>109</v>
      </c>
      <c r="C93">
        <v>2026</v>
      </c>
      <c r="D93" t="s">
        <v>68</v>
      </c>
      <c r="E93">
        <v>71136.28</v>
      </c>
      <c r="F93">
        <v>49.6</v>
      </c>
      <c r="G93">
        <v>171</v>
      </c>
      <c r="H93">
        <v>135.80000000000001</v>
      </c>
      <c r="I93">
        <v>7.19</v>
      </c>
      <c r="J93">
        <v>142</v>
      </c>
      <c r="K93">
        <v>938</v>
      </c>
      <c r="L93">
        <v>820</v>
      </c>
      <c r="M93" t="s">
        <v>39</v>
      </c>
      <c r="N93">
        <v>5</v>
      </c>
      <c r="O93" t="s">
        <v>56</v>
      </c>
      <c r="P93">
        <v>39.299999999999997</v>
      </c>
      <c r="Q93">
        <v>1500</v>
      </c>
      <c r="R93">
        <v>5</v>
      </c>
      <c r="S93">
        <v>0</v>
      </c>
      <c r="T93" t="s">
        <v>47</v>
      </c>
      <c r="U93" t="s">
        <v>38</v>
      </c>
      <c r="V93">
        <v>27175</v>
      </c>
      <c r="W93">
        <v>3.3</v>
      </c>
      <c r="X93">
        <v>4</v>
      </c>
      <c r="Y93" t="s">
        <v>61</v>
      </c>
      <c r="Z93">
        <v>3.45</v>
      </c>
      <c r="AA93" t="s">
        <v>35</v>
      </c>
    </row>
    <row r="94" spans="1:27" x14ac:dyDescent="0.3">
      <c r="A94" t="s">
        <v>44</v>
      </c>
      <c r="B94" t="s">
        <v>62</v>
      </c>
      <c r="C94">
        <v>2024</v>
      </c>
      <c r="D94" t="s">
        <v>50</v>
      </c>
      <c r="E94">
        <v>76560.479999999996</v>
      </c>
      <c r="F94">
        <v>82.9</v>
      </c>
      <c r="G94">
        <v>300</v>
      </c>
      <c r="H94">
        <v>143</v>
      </c>
      <c r="I94">
        <v>4.1900000000000004</v>
      </c>
      <c r="J94">
        <v>184</v>
      </c>
      <c r="K94">
        <v>1000</v>
      </c>
      <c r="L94">
        <v>882</v>
      </c>
      <c r="M94" t="s">
        <v>54</v>
      </c>
      <c r="N94">
        <v>5</v>
      </c>
      <c r="O94" t="s">
        <v>46</v>
      </c>
      <c r="P94">
        <v>75</v>
      </c>
      <c r="Q94">
        <v>1598</v>
      </c>
      <c r="R94">
        <v>4</v>
      </c>
      <c r="S94">
        <v>0</v>
      </c>
      <c r="T94" t="s">
        <v>47</v>
      </c>
      <c r="U94" t="s">
        <v>38</v>
      </c>
      <c r="V94">
        <v>12139</v>
      </c>
      <c r="W94">
        <v>3.5</v>
      </c>
      <c r="X94">
        <v>4</v>
      </c>
      <c r="Y94" t="s">
        <v>43</v>
      </c>
      <c r="Z94">
        <v>3.62</v>
      </c>
      <c r="AA94" t="s">
        <v>43</v>
      </c>
    </row>
    <row r="95" spans="1:27" x14ac:dyDescent="0.3">
      <c r="A95" t="s">
        <v>48</v>
      </c>
      <c r="B95" t="s">
        <v>60</v>
      </c>
      <c r="C95">
        <v>2023</v>
      </c>
      <c r="D95" t="s">
        <v>38</v>
      </c>
      <c r="E95">
        <v>92594.29</v>
      </c>
      <c r="F95">
        <v>74.2</v>
      </c>
      <c r="G95">
        <v>257</v>
      </c>
      <c r="H95">
        <v>76.8</v>
      </c>
      <c r="I95">
        <v>6.08</v>
      </c>
      <c r="J95">
        <v>158</v>
      </c>
      <c r="K95">
        <v>1000</v>
      </c>
      <c r="L95">
        <v>874</v>
      </c>
      <c r="M95" t="s">
        <v>30</v>
      </c>
      <c r="N95">
        <v>5</v>
      </c>
      <c r="O95" t="s">
        <v>57</v>
      </c>
      <c r="P95">
        <v>23.4</v>
      </c>
      <c r="Q95">
        <v>1506</v>
      </c>
      <c r="R95">
        <v>5</v>
      </c>
      <c r="S95">
        <v>0</v>
      </c>
      <c r="T95" t="s">
        <v>51</v>
      </c>
      <c r="U95" t="s">
        <v>38</v>
      </c>
      <c r="V95">
        <v>83731</v>
      </c>
      <c r="W95">
        <v>3.6</v>
      </c>
      <c r="X95">
        <v>4</v>
      </c>
      <c r="Y95" t="s">
        <v>43</v>
      </c>
      <c r="Z95">
        <v>3.46</v>
      </c>
      <c r="AA95" t="s">
        <v>35</v>
      </c>
    </row>
    <row r="96" spans="1:27" x14ac:dyDescent="0.3">
      <c r="A96" t="s">
        <v>84</v>
      </c>
      <c r="B96" t="s">
        <v>85</v>
      </c>
      <c r="C96">
        <v>2023</v>
      </c>
      <c r="D96" t="s">
        <v>50</v>
      </c>
      <c r="E96">
        <v>76072</v>
      </c>
      <c r="F96">
        <v>105.6</v>
      </c>
      <c r="G96">
        <v>363</v>
      </c>
      <c r="H96">
        <v>104.6</v>
      </c>
      <c r="I96">
        <v>4.21</v>
      </c>
      <c r="J96">
        <v>189</v>
      </c>
      <c r="K96">
        <v>891</v>
      </c>
      <c r="L96">
        <v>791</v>
      </c>
      <c r="M96" t="s">
        <v>39</v>
      </c>
      <c r="N96">
        <v>5</v>
      </c>
      <c r="O96" t="s">
        <v>56</v>
      </c>
      <c r="P96">
        <v>21.8</v>
      </c>
      <c r="Q96">
        <v>1734</v>
      </c>
      <c r="R96">
        <v>5</v>
      </c>
      <c r="S96">
        <v>0</v>
      </c>
      <c r="T96" t="s">
        <v>47</v>
      </c>
      <c r="U96" t="s">
        <v>38</v>
      </c>
      <c r="V96">
        <v>48060</v>
      </c>
      <c r="W96">
        <v>4</v>
      </c>
      <c r="X96">
        <v>4</v>
      </c>
      <c r="Y96" t="s">
        <v>43</v>
      </c>
      <c r="Z96">
        <v>3.44</v>
      </c>
      <c r="AA96" t="s">
        <v>35</v>
      </c>
    </row>
    <row r="97" spans="1:27" x14ac:dyDescent="0.3">
      <c r="A97" t="s">
        <v>76</v>
      </c>
      <c r="B97" t="s">
        <v>98</v>
      </c>
      <c r="C97">
        <v>2024</v>
      </c>
      <c r="D97" t="s">
        <v>68</v>
      </c>
      <c r="E97">
        <v>44654.99</v>
      </c>
      <c r="F97">
        <v>65.400000000000006</v>
      </c>
      <c r="G97">
        <v>223</v>
      </c>
      <c r="H97">
        <v>143.4</v>
      </c>
      <c r="I97">
        <v>7.07</v>
      </c>
      <c r="J97">
        <v>146</v>
      </c>
      <c r="K97">
        <v>440</v>
      </c>
      <c r="L97">
        <v>435</v>
      </c>
      <c r="M97" t="s">
        <v>54</v>
      </c>
      <c r="N97">
        <v>5</v>
      </c>
      <c r="O97" t="s">
        <v>40</v>
      </c>
      <c r="P97">
        <v>43.9</v>
      </c>
      <c r="Q97">
        <v>1844</v>
      </c>
      <c r="R97">
        <v>4</v>
      </c>
      <c r="S97">
        <v>1</v>
      </c>
      <c r="T97" t="s">
        <v>51</v>
      </c>
      <c r="U97" t="s">
        <v>42</v>
      </c>
      <c r="V97">
        <v>128091</v>
      </c>
      <c r="W97">
        <v>3</v>
      </c>
      <c r="X97">
        <v>4</v>
      </c>
      <c r="Y97" t="s">
        <v>61</v>
      </c>
      <c r="Z97">
        <v>3.41</v>
      </c>
      <c r="AA97" t="s">
        <v>35</v>
      </c>
    </row>
    <row r="98" spans="1:27" x14ac:dyDescent="0.3">
      <c r="A98" t="s">
        <v>76</v>
      </c>
      <c r="B98" t="s">
        <v>87</v>
      </c>
      <c r="C98">
        <v>2025</v>
      </c>
      <c r="D98" t="s">
        <v>29</v>
      </c>
      <c r="E98">
        <v>45837.99</v>
      </c>
      <c r="F98">
        <v>84.4</v>
      </c>
      <c r="G98">
        <v>306</v>
      </c>
      <c r="H98">
        <v>182.4</v>
      </c>
      <c r="I98">
        <v>3.82</v>
      </c>
      <c r="J98">
        <v>192</v>
      </c>
      <c r="K98">
        <v>416</v>
      </c>
      <c r="L98">
        <v>397</v>
      </c>
      <c r="M98" t="s">
        <v>54</v>
      </c>
      <c r="N98">
        <v>5</v>
      </c>
      <c r="O98" t="s">
        <v>65</v>
      </c>
      <c r="P98">
        <v>36.200000000000003</v>
      </c>
      <c r="Q98">
        <v>1557</v>
      </c>
      <c r="R98">
        <v>5</v>
      </c>
      <c r="S98">
        <v>0</v>
      </c>
      <c r="T98" t="s">
        <v>51</v>
      </c>
      <c r="U98" t="s">
        <v>42</v>
      </c>
      <c r="V98">
        <v>96533</v>
      </c>
      <c r="W98">
        <v>3.3</v>
      </c>
      <c r="X98">
        <v>3</v>
      </c>
      <c r="Y98" t="s">
        <v>34</v>
      </c>
      <c r="Z98">
        <v>3.63</v>
      </c>
      <c r="AA98" t="s">
        <v>35</v>
      </c>
    </row>
    <row r="99" spans="1:27" x14ac:dyDescent="0.3">
      <c r="A99" t="s">
        <v>27</v>
      </c>
      <c r="B99" t="s">
        <v>78</v>
      </c>
      <c r="C99">
        <v>2023</v>
      </c>
      <c r="D99" t="s">
        <v>29</v>
      </c>
      <c r="E99">
        <v>80921.960000000006</v>
      </c>
      <c r="F99">
        <v>108.9</v>
      </c>
      <c r="G99">
        <v>399</v>
      </c>
      <c r="H99">
        <v>199.3</v>
      </c>
      <c r="I99">
        <v>3.77</v>
      </c>
      <c r="J99">
        <v>198</v>
      </c>
      <c r="K99">
        <v>878</v>
      </c>
      <c r="L99">
        <v>828</v>
      </c>
      <c r="M99" t="s">
        <v>54</v>
      </c>
      <c r="N99">
        <v>5</v>
      </c>
      <c r="O99" t="s">
        <v>56</v>
      </c>
      <c r="P99">
        <v>29.1</v>
      </c>
      <c r="Q99">
        <v>1500</v>
      </c>
      <c r="R99">
        <v>3</v>
      </c>
      <c r="S99">
        <v>1</v>
      </c>
      <c r="T99" t="s">
        <v>32</v>
      </c>
      <c r="U99" t="s">
        <v>38</v>
      </c>
      <c r="V99">
        <v>234095</v>
      </c>
      <c r="W99">
        <v>3.9</v>
      </c>
      <c r="X99">
        <v>5</v>
      </c>
      <c r="Y99" t="s">
        <v>34</v>
      </c>
      <c r="Z99">
        <v>3.66</v>
      </c>
      <c r="AA99" t="s">
        <v>35</v>
      </c>
    </row>
    <row r="100" spans="1:27" x14ac:dyDescent="0.3">
      <c r="A100" t="s">
        <v>52</v>
      </c>
      <c r="B100" t="s">
        <v>86</v>
      </c>
      <c r="C100">
        <v>2023</v>
      </c>
      <c r="D100" t="s">
        <v>29</v>
      </c>
      <c r="E100">
        <v>184745.86</v>
      </c>
      <c r="F100">
        <v>106.3</v>
      </c>
      <c r="G100">
        <v>348</v>
      </c>
      <c r="H100">
        <v>325.60000000000002</v>
      </c>
      <c r="I100">
        <v>3.73</v>
      </c>
      <c r="J100">
        <v>198</v>
      </c>
      <c r="K100">
        <v>1000</v>
      </c>
      <c r="L100">
        <v>915</v>
      </c>
      <c r="M100" t="s">
        <v>54</v>
      </c>
      <c r="N100">
        <v>5</v>
      </c>
      <c r="O100" t="s">
        <v>57</v>
      </c>
      <c r="P100">
        <v>31.5</v>
      </c>
      <c r="Q100">
        <v>1782</v>
      </c>
      <c r="R100">
        <v>3</v>
      </c>
      <c r="S100">
        <v>3</v>
      </c>
      <c r="T100" t="s">
        <v>47</v>
      </c>
      <c r="U100" t="s">
        <v>33</v>
      </c>
      <c r="V100">
        <v>148529</v>
      </c>
      <c r="W100">
        <v>4.3</v>
      </c>
      <c r="X100">
        <v>5</v>
      </c>
      <c r="Y100" t="s">
        <v>34</v>
      </c>
      <c r="Z100">
        <v>3.27</v>
      </c>
      <c r="AA100" t="s">
        <v>35</v>
      </c>
    </row>
    <row r="101" spans="1:27" x14ac:dyDescent="0.3">
      <c r="A101" t="s">
        <v>52</v>
      </c>
      <c r="B101" t="s">
        <v>80</v>
      </c>
      <c r="C101">
        <v>2024</v>
      </c>
      <c r="D101" t="s">
        <v>29</v>
      </c>
      <c r="E101">
        <v>177944.09</v>
      </c>
      <c r="F101">
        <v>93</v>
      </c>
      <c r="G101">
        <v>295</v>
      </c>
      <c r="H101">
        <v>334.1</v>
      </c>
      <c r="I101">
        <v>3.79</v>
      </c>
      <c r="J101">
        <v>193</v>
      </c>
      <c r="K101">
        <v>1000</v>
      </c>
      <c r="L101">
        <v>868</v>
      </c>
      <c r="M101" t="s">
        <v>54</v>
      </c>
      <c r="N101">
        <v>5</v>
      </c>
      <c r="O101" t="s">
        <v>31</v>
      </c>
      <c r="P101">
        <v>59.7</v>
      </c>
      <c r="Q101">
        <v>2270</v>
      </c>
      <c r="R101">
        <v>3</v>
      </c>
      <c r="S101">
        <v>3</v>
      </c>
      <c r="T101" t="s">
        <v>47</v>
      </c>
      <c r="U101" t="s">
        <v>33</v>
      </c>
      <c r="V101">
        <v>234160</v>
      </c>
      <c r="W101">
        <v>3.9</v>
      </c>
      <c r="X101">
        <v>6</v>
      </c>
      <c r="Y101" t="s">
        <v>34</v>
      </c>
      <c r="Z101">
        <v>3.17</v>
      </c>
      <c r="AA101" t="s">
        <v>35</v>
      </c>
    </row>
    <row r="102" spans="1:27" x14ac:dyDescent="0.3">
      <c r="A102" t="s">
        <v>52</v>
      </c>
      <c r="B102" t="s">
        <v>80</v>
      </c>
      <c r="C102">
        <v>2024</v>
      </c>
      <c r="D102" t="s">
        <v>63</v>
      </c>
      <c r="E102">
        <v>59967.87</v>
      </c>
      <c r="F102">
        <v>70</v>
      </c>
      <c r="G102">
        <v>238</v>
      </c>
      <c r="H102">
        <v>220.7</v>
      </c>
      <c r="I102">
        <v>5.24</v>
      </c>
      <c r="J102">
        <v>159</v>
      </c>
      <c r="K102">
        <v>393</v>
      </c>
      <c r="L102">
        <v>348</v>
      </c>
      <c r="M102" t="s">
        <v>30</v>
      </c>
      <c r="N102">
        <v>7</v>
      </c>
      <c r="O102" t="s">
        <v>31</v>
      </c>
      <c r="P102">
        <v>63.9</v>
      </c>
      <c r="Q102">
        <v>2448</v>
      </c>
      <c r="R102">
        <v>4</v>
      </c>
      <c r="S102">
        <v>2</v>
      </c>
      <c r="T102" t="s">
        <v>47</v>
      </c>
      <c r="U102" t="s">
        <v>42</v>
      </c>
      <c r="V102">
        <v>228933</v>
      </c>
      <c r="W102">
        <v>3.4</v>
      </c>
      <c r="X102">
        <v>5</v>
      </c>
      <c r="Y102" t="s">
        <v>43</v>
      </c>
      <c r="Z102">
        <v>3.4</v>
      </c>
      <c r="AA102" t="s">
        <v>35</v>
      </c>
    </row>
    <row r="103" spans="1:27" x14ac:dyDescent="0.3">
      <c r="A103" t="s">
        <v>91</v>
      </c>
      <c r="B103" t="s">
        <v>112</v>
      </c>
      <c r="C103">
        <v>2024</v>
      </c>
      <c r="D103" t="s">
        <v>29</v>
      </c>
      <c r="E103">
        <v>84125.95</v>
      </c>
      <c r="F103">
        <v>98.9</v>
      </c>
      <c r="G103">
        <v>363</v>
      </c>
      <c r="H103">
        <v>225.3</v>
      </c>
      <c r="I103">
        <v>4.25</v>
      </c>
      <c r="J103">
        <v>192</v>
      </c>
      <c r="K103">
        <v>658</v>
      </c>
      <c r="L103">
        <v>592</v>
      </c>
      <c r="M103" t="s">
        <v>54</v>
      </c>
      <c r="N103">
        <v>5</v>
      </c>
      <c r="O103" t="s">
        <v>56</v>
      </c>
      <c r="P103">
        <v>34.200000000000003</v>
      </c>
      <c r="Q103">
        <v>1588</v>
      </c>
      <c r="R103">
        <v>5</v>
      </c>
      <c r="S103">
        <v>1</v>
      </c>
      <c r="T103" t="s">
        <v>32</v>
      </c>
      <c r="U103" t="s">
        <v>38</v>
      </c>
      <c r="V103">
        <v>33561</v>
      </c>
      <c r="W103">
        <v>3.5</v>
      </c>
      <c r="X103">
        <v>7</v>
      </c>
      <c r="Y103" t="s">
        <v>43</v>
      </c>
      <c r="Z103">
        <v>3.67</v>
      </c>
      <c r="AA103" t="s">
        <v>35</v>
      </c>
    </row>
    <row r="104" spans="1:27" x14ac:dyDescent="0.3">
      <c r="A104" t="s">
        <v>71</v>
      </c>
      <c r="B104" t="s">
        <v>115</v>
      </c>
      <c r="C104">
        <v>2022</v>
      </c>
      <c r="D104" t="s">
        <v>68</v>
      </c>
      <c r="E104">
        <v>37515.42</v>
      </c>
      <c r="F104">
        <v>52.5</v>
      </c>
      <c r="G104">
        <v>194</v>
      </c>
      <c r="H104">
        <v>133.19999999999999</v>
      </c>
      <c r="I104">
        <v>7.93</v>
      </c>
      <c r="J104">
        <v>137</v>
      </c>
      <c r="K104">
        <v>360</v>
      </c>
      <c r="L104">
        <v>323</v>
      </c>
      <c r="M104" t="s">
        <v>30</v>
      </c>
      <c r="N104">
        <v>5</v>
      </c>
      <c r="O104" t="s">
        <v>31</v>
      </c>
      <c r="P104">
        <v>51.2</v>
      </c>
      <c r="Q104">
        <v>2894</v>
      </c>
      <c r="R104">
        <v>4</v>
      </c>
      <c r="S104">
        <v>0</v>
      </c>
      <c r="T104" t="s">
        <v>73</v>
      </c>
      <c r="U104" t="s">
        <v>42</v>
      </c>
      <c r="V104">
        <v>192045</v>
      </c>
      <c r="W104">
        <v>3.3</v>
      </c>
      <c r="X104">
        <v>5</v>
      </c>
      <c r="Y104" t="s">
        <v>61</v>
      </c>
      <c r="Z104">
        <v>3.7</v>
      </c>
      <c r="AA104" t="s">
        <v>35</v>
      </c>
    </row>
    <row r="105" spans="1:27" x14ac:dyDescent="0.3">
      <c r="A105" t="s">
        <v>76</v>
      </c>
      <c r="B105" t="s">
        <v>77</v>
      </c>
      <c r="C105">
        <v>2022</v>
      </c>
      <c r="D105" t="s">
        <v>50</v>
      </c>
      <c r="E105">
        <v>84513.62</v>
      </c>
      <c r="F105">
        <v>109.9</v>
      </c>
      <c r="G105">
        <v>400</v>
      </c>
      <c r="H105">
        <v>83.7</v>
      </c>
      <c r="I105">
        <v>5.88</v>
      </c>
      <c r="J105">
        <v>165</v>
      </c>
      <c r="K105">
        <v>1000</v>
      </c>
      <c r="L105">
        <v>907</v>
      </c>
      <c r="M105" t="s">
        <v>54</v>
      </c>
      <c r="N105">
        <v>7</v>
      </c>
      <c r="O105" t="s">
        <v>57</v>
      </c>
      <c r="P105">
        <v>32.6</v>
      </c>
      <c r="Q105">
        <v>1784</v>
      </c>
      <c r="R105">
        <v>4</v>
      </c>
      <c r="S105">
        <v>1</v>
      </c>
      <c r="T105" t="s">
        <v>51</v>
      </c>
      <c r="U105" t="s">
        <v>38</v>
      </c>
      <c r="V105">
        <v>95418</v>
      </c>
      <c r="W105">
        <v>3.7</v>
      </c>
      <c r="X105">
        <v>4</v>
      </c>
      <c r="Y105" t="s">
        <v>43</v>
      </c>
      <c r="Z105">
        <v>3.64</v>
      </c>
      <c r="AA105" t="s">
        <v>35</v>
      </c>
    </row>
    <row r="106" spans="1:27" x14ac:dyDescent="0.3">
      <c r="A106" t="s">
        <v>94</v>
      </c>
      <c r="B106" t="s">
        <v>116</v>
      </c>
      <c r="C106">
        <v>2025</v>
      </c>
      <c r="D106" t="s">
        <v>38</v>
      </c>
      <c r="E106">
        <v>80343.06</v>
      </c>
      <c r="F106">
        <v>66.3</v>
      </c>
      <c r="G106">
        <v>231</v>
      </c>
      <c r="H106">
        <v>56.2</v>
      </c>
      <c r="I106">
        <v>6.02</v>
      </c>
      <c r="J106">
        <v>161</v>
      </c>
      <c r="K106">
        <v>459</v>
      </c>
      <c r="L106">
        <v>414</v>
      </c>
      <c r="M106" t="s">
        <v>54</v>
      </c>
      <c r="N106">
        <v>7</v>
      </c>
      <c r="O106" t="s">
        <v>46</v>
      </c>
      <c r="P106">
        <v>67.099999999999994</v>
      </c>
      <c r="Q106">
        <v>1500</v>
      </c>
      <c r="R106">
        <v>5</v>
      </c>
      <c r="S106">
        <v>1</v>
      </c>
      <c r="T106" t="s">
        <v>32</v>
      </c>
      <c r="U106" t="s">
        <v>38</v>
      </c>
      <c r="V106">
        <v>43236</v>
      </c>
      <c r="W106">
        <v>3.4</v>
      </c>
      <c r="X106">
        <v>7</v>
      </c>
      <c r="Y106" t="s">
        <v>43</v>
      </c>
      <c r="Z106">
        <v>3.48</v>
      </c>
      <c r="AA106" t="s">
        <v>35</v>
      </c>
    </row>
    <row r="107" spans="1:27" x14ac:dyDescent="0.3">
      <c r="A107" t="s">
        <v>71</v>
      </c>
      <c r="B107" t="s">
        <v>90</v>
      </c>
      <c r="C107">
        <v>2025</v>
      </c>
      <c r="D107" t="s">
        <v>63</v>
      </c>
      <c r="E107">
        <v>75747.87</v>
      </c>
      <c r="F107">
        <v>69.2</v>
      </c>
      <c r="G107">
        <v>279</v>
      </c>
      <c r="H107">
        <v>108.2</v>
      </c>
      <c r="I107">
        <v>6.2</v>
      </c>
      <c r="J107">
        <v>154</v>
      </c>
      <c r="K107">
        <v>815</v>
      </c>
      <c r="L107">
        <v>722</v>
      </c>
      <c r="M107" t="s">
        <v>39</v>
      </c>
      <c r="N107">
        <v>5</v>
      </c>
      <c r="O107" t="s">
        <v>65</v>
      </c>
      <c r="P107">
        <v>30.5</v>
      </c>
      <c r="Q107">
        <v>1500</v>
      </c>
      <c r="R107">
        <v>3</v>
      </c>
      <c r="S107">
        <v>0</v>
      </c>
      <c r="T107" t="s">
        <v>73</v>
      </c>
      <c r="U107" t="s">
        <v>38</v>
      </c>
      <c r="V107">
        <v>114789</v>
      </c>
      <c r="W107">
        <v>3.7</v>
      </c>
      <c r="X107">
        <v>3</v>
      </c>
      <c r="Y107" t="s">
        <v>43</v>
      </c>
      <c r="Z107">
        <v>4.03</v>
      </c>
      <c r="AA107" t="s">
        <v>35</v>
      </c>
    </row>
    <row r="108" spans="1:27" x14ac:dyDescent="0.3">
      <c r="A108" t="s">
        <v>27</v>
      </c>
      <c r="B108" t="s">
        <v>93</v>
      </c>
      <c r="C108">
        <v>2024</v>
      </c>
      <c r="D108" t="s">
        <v>29</v>
      </c>
      <c r="E108">
        <v>50097.49</v>
      </c>
      <c r="F108">
        <v>98.3</v>
      </c>
      <c r="G108">
        <v>341</v>
      </c>
      <c r="H108">
        <v>179.6</v>
      </c>
      <c r="I108">
        <v>2.79</v>
      </c>
      <c r="J108">
        <v>200</v>
      </c>
      <c r="K108">
        <v>436</v>
      </c>
      <c r="L108">
        <v>358</v>
      </c>
      <c r="M108" t="s">
        <v>39</v>
      </c>
      <c r="N108">
        <v>5</v>
      </c>
      <c r="O108" t="s">
        <v>46</v>
      </c>
      <c r="P108">
        <v>75.099999999999994</v>
      </c>
      <c r="Q108">
        <v>1780</v>
      </c>
      <c r="R108">
        <v>3</v>
      </c>
      <c r="S108">
        <v>0</v>
      </c>
      <c r="T108" t="s">
        <v>32</v>
      </c>
      <c r="U108" t="s">
        <v>42</v>
      </c>
      <c r="V108">
        <v>263009</v>
      </c>
      <c r="W108">
        <v>3.8</v>
      </c>
      <c r="X108">
        <v>5</v>
      </c>
      <c r="Y108" t="s">
        <v>34</v>
      </c>
      <c r="Z108">
        <v>3.47</v>
      </c>
      <c r="AA108" t="s">
        <v>35</v>
      </c>
    </row>
    <row r="109" spans="1:27" x14ac:dyDescent="0.3">
      <c r="A109" t="s">
        <v>44</v>
      </c>
      <c r="B109" t="s">
        <v>109</v>
      </c>
      <c r="C109">
        <v>2024</v>
      </c>
      <c r="D109" t="s">
        <v>38</v>
      </c>
      <c r="E109">
        <v>43668.28</v>
      </c>
      <c r="F109">
        <v>79.400000000000006</v>
      </c>
      <c r="G109">
        <v>284</v>
      </c>
      <c r="H109">
        <v>108.1</v>
      </c>
      <c r="I109">
        <v>7.81</v>
      </c>
      <c r="J109">
        <v>120</v>
      </c>
      <c r="K109">
        <v>453</v>
      </c>
      <c r="L109">
        <v>469</v>
      </c>
      <c r="M109" t="s">
        <v>54</v>
      </c>
      <c r="N109">
        <v>7</v>
      </c>
      <c r="O109" t="s">
        <v>31</v>
      </c>
      <c r="P109">
        <v>60.3</v>
      </c>
      <c r="Q109">
        <v>2572</v>
      </c>
      <c r="R109">
        <v>4</v>
      </c>
      <c r="S109">
        <v>1</v>
      </c>
      <c r="T109" t="s">
        <v>47</v>
      </c>
      <c r="U109" t="s">
        <v>42</v>
      </c>
      <c r="V109">
        <v>1211</v>
      </c>
      <c r="W109">
        <v>3.3</v>
      </c>
      <c r="X109">
        <v>3</v>
      </c>
      <c r="Y109" t="s">
        <v>61</v>
      </c>
      <c r="Z109">
        <v>3.58</v>
      </c>
      <c r="AA109" t="s">
        <v>69</v>
      </c>
    </row>
    <row r="110" spans="1:27" x14ac:dyDescent="0.3">
      <c r="A110" t="s">
        <v>71</v>
      </c>
      <c r="B110" t="s">
        <v>115</v>
      </c>
      <c r="C110">
        <v>2025</v>
      </c>
      <c r="D110" t="s">
        <v>50</v>
      </c>
      <c r="E110">
        <v>61700.639999999999</v>
      </c>
      <c r="F110">
        <v>101.3</v>
      </c>
      <c r="G110">
        <v>351</v>
      </c>
      <c r="H110">
        <v>69.900000000000006</v>
      </c>
      <c r="I110">
        <v>4.53</v>
      </c>
      <c r="J110">
        <v>175</v>
      </c>
      <c r="K110">
        <v>649</v>
      </c>
      <c r="L110">
        <v>584</v>
      </c>
      <c r="M110" t="s">
        <v>30</v>
      </c>
      <c r="N110">
        <v>7</v>
      </c>
      <c r="O110" t="s">
        <v>40</v>
      </c>
      <c r="P110">
        <v>62.5</v>
      </c>
      <c r="Q110">
        <v>1726</v>
      </c>
      <c r="R110">
        <v>5</v>
      </c>
      <c r="S110">
        <v>1</v>
      </c>
      <c r="T110" t="s">
        <v>73</v>
      </c>
      <c r="U110" t="s">
        <v>42</v>
      </c>
      <c r="V110">
        <v>190763</v>
      </c>
      <c r="W110">
        <v>4</v>
      </c>
      <c r="X110">
        <v>3</v>
      </c>
      <c r="Y110" t="s">
        <v>43</v>
      </c>
      <c r="Z110">
        <v>3.46</v>
      </c>
      <c r="AA110" t="s">
        <v>35</v>
      </c>
    </row>
    <row r="111" spans="1:27" x14ac:dyDescent="0.3">
      <c r="A111" t="s">
        <v>52</v>
      </c>
      <c r="B111" t="s">
        <v>53</v>
      </c>
      <c r="C111">
        <v>2025</v>
      </c>
      <c r="D111" t="s">
        <v>38</v>
      </c>
      <c r="E111">
        <v>152706.13</v>
      </c>
      <c r="F111">
        <v>77.099999999999994</v>
      </c>
      <c r="G111">
        <v>260</v>
      </c>
      <c r="H111">
        <v>325.60000000000002</v>
      </c>
      <c r="I111">
        <v>6.63</v>
      </c>
      <c r="J111">
        <v>155</v>
      </c>
      <c r="K111">
        <v>1000</v>
      </c>
      <c r="L111">
        <v>857</v>
      </c>
      <c r="M111" t="s">
        <v>30</v>
      </c>
      <c r="N111">
        <v>5</v>
      </c>
      <c r="O111" t="s">
        <v>40</v>
      </c>
      <c r="P111">
        <v>42.1</v>
      </c>
      <c r="Q111">
        <v>1903</v>
      </c>
      <c r="R111">
        <v>4</v>
      </c>
      <c r="S111">
        <v>2</v>
      </c>
      <c r="T111" t="s">
        <v>47</v>
      </c>
      <c r="U111" t="s">
        <v>33</v>
      </c>
      <c r="V111">
        <v>172494</v>
      </c>
      <c r="W111">
        <v>3.8</v>
      </c>
      <c r="X111">
        <v>5</v>
      </c>
      <c r="Y111" t="s">
        <v>43</v>
      </c>
      <c r="Z111">
        <v>3.37</v>
      </c>
      <c r="AA111" t="s">
        <v>35</v>
      </c>
    </row>
    <row r="112" spans="1:27" x14ac:dyDescent="0.3">
      <c r="A112" t="s">
        <v>71</v>
      </c>
      <c r="B112" t="s">
        <v>96</v>
      </c>
      <c r="C112">
        <v>2023</v>
      </c>
      <c r="D112" t="s">
        <v>29</v>
      </c>
      <c r="E112">
        <v>26461.18</v>
      </c>
      <c r="F112">
        <v>71.3</v>
      </c>
      <c r="G112">
        <v>265</v>
      </c>
      <c r="H112">
        <v>249.5</v>
      </c>
      <c r="I112">
        <v>2.9</v>
      </c>
      <c r="J112">
        <v>200</v>
      </c>
      <c r="K112">
        <v>236</v>
      </c>
      <c r="L112">
        <v>202</v>
      </c>
      <c r="M112" t="s">
        <v>54</v>
      </c>
      <c r="N112">
        <v>7</v>
      </c>
      <c r="O112" t="s">
        <v>40</v>
      </c>
      <c r="P112">
        <v>41.5</v>
      </c>
      <c r="Q112">
        <v>2379</v>
      </c>
      <c r="R112">
        <v>3</v>
      </c>
      <c r="S112">
        <v>2</v>
      </c>
      <c r="T112" t="s">
        <v>73</v>
      </c>
      <c r="U112" t="s">
        <v>74</v>
      </c>
      <c r="V112">
        <v>226324</v>
      </c>
      <c r="W112">
        <v>3.6</v>
      </c>
      <c r="X112">
        <v>3</v>
      </c>
      <c r="Y112" t="s">
        <v>34</v>
      </c>
      <c r="Z112">
        <v>3.72</v>
      </c>
      <c r="AA112" t="s">
        <v>35</v>
      </c>
    </row>
    <row r="113" spans="1:27" x14ac:dyDescent="0.3">
      <c r="A113" t="s">
        <v>52</v>
      </c>
      <c r="B113" t="s">
        <v>53</v>
      </c>
      <c r="C113">
        <v>2026</v>
      </c>
      <c r="D113" t="s">
        <v>63</v>
      </c>
      <c r="E113">
        <v>36489.360000000001</v>
      </c>
      <c r="F113">
        <v>45.5</v>
      </c>
      <c r="G113">
        <v>150</v>
      </c>
      <c r="H113">
        <v>253.7</v>
      </c>
      <c r="I113">
        <v>7.97</v>
      </c>
      <c r="J113">
        <v>131</v>
      </c>
      <c r="K113">
        <v>247</v>
      </c>
      <c r="L113">
        <v>226</v>
      </c>
      <c r="M113" t="s">
        <v>30</v>
      </c>
      <c r="N113">
        <v>5</v>
      </c>
      <c r="O113" t="s">
        <v>46</v>
      </c>
      <c r="P113">
        <v>65.7</v>
      </c>
      <c r="Q113">
        <v>1500</v>
      </c>
      <c r="R113">
        <v>3</v>
      </c>
      <c r="S113">
        <v>2</v>
      </c>
      <c r="T113" t="s">
        <v>47</v>
      </c>
      <c r="U113" t="s">
        <v>42</v>
      </c>
      <c r="V113">
        <v>214895</v>
      </c>
      <c r="W113">
        <v>3.6</v>
      </c>
      <c r="X113">
        <v>5</v>
      </c>
      <c r="Y113" t="s">
        <v>61</v>
      </c>
      <c r="Z113">
        <v>3.3</v>
      </c>
      <c r="AA113" t="s">
        <v>35</v>
      </c>
    </row>
    <row r="114" spans="1:27" x14ac:dyDescent="0.3">
      <c r="A114" t="s">
        <v>102</v>
      </c>
      <c r="B114" t="s">
        <v>103</v>
      </c>
      <c r="C114">
        <v>2021</v>
      </c>
      <c r="D114" t="s">
        <v>63</v>
      </c>
      <c r="E114">
        <v>60978.95</v>
      </c>
      <c r="F114">
        <v>84.5</v>
      </c>
      <c r="G114">
        <v>304</v>
      </c>
      <c r="H114">
        <v>61.5</v>
      </c>
      <c r="I114">
        <v>6.47</v>
      </c>
      <c r="J114">
        <v>153</v>
      </c>
      <c r="K114">
        <v>150</v>
      </c>
      <c r="L114">
        <v>200</v>
      </c>
      <c r="M114" t="s">
        <v>39</v>
      </c>
      <c r="N114">
        <v>5</v>
      </c>
      <c r="O114" t="s">
        <v>56</v>
      </c>
      <c r="P114">
        <v>16.8</v>
      </c>
      <c r="Q114">
        <v>1500</v>
      </c>
      <c r="R114">
        <v>5</v>
      </c>
      <c r="S114">
        <v>2</v>
      </c>
      <c r="T114" t="s">
        <v>47</v>
      </c>
      <c r="U114" t="s">
        <v>42</v>
      </c>
      <c r="V114">
        <v>7599</v>
      </c>
      <c r="W114">
        <v>3.4</v>
      </c>
      <c r="X114">
        <v>6</v>
      </c>
      <c r="Y114" t="s">
        <v>43</v>
      </c>
      <c r="Z114">
        <v>3.6</v>
      </c>
      <c r="AA114" t="s">
        <v>43</v>
      </c>
    </row>
    <row r="115" spans="1:27" x14ac:dyDescent="0.3">
      <c r="A115" t="s">
        <v>84</v>
      </c>
      <c r="B115" t="s">
        <v>99</v>
      </c>
      <c r="C115">
        <v>2025</v>
      </c>
      <c r="D115" t="s">
        <v>63</v>
      </c>
      <c r="E115">
        <v>57536.04</v>
      </c>
      <c r="F115">
        <v>73.3</v>
      </c>
      <c r="G115">
        <v>254</v>
      </c>
      <c r="H115">
        <v>69.5</v>
      </c>
      <c r="I115">
        <v>7.43</v>
      </c>
      <c r="J115">
        <v>139</v>
      </c>
      <c r="K115">
        <v>619</v>
      </c>
      <c r="L115">
        <v>529</v>
      </c>
      <c r="M115" t="s">
        <v>39</v>
      </c>
      <c r="N115">
        <v>4</v>
      </c>
      <c r="O115" t="s">
        <v>31</v>
      </c>
      <c r="P115">
        <v>74.099999999999994</v>
      </c>
      <c r="Q115">
        <v>2341</v>
      </c>
      <c r="R115">
        <v>4</v>
      </c>
      <c r="S115">
        <v>1</v>
      </c>
      <c r="T115" t="s">
        <v>47</v>
      </c>
      <c r="U115" t="s">
        <v>42</v>
      </c>
      <c r="V115">
        <v>44164</v>
      </c>
      <c r="W115">
        <v>3.5</v>
      </c>
      <c r="X115">
        <v>4</v>
      </c>
      <c r="Y115" t="s">
        <v>61</v>
      </c>
      <c r="Z115">
        <v>3.47</v>
      </c>
      <c r="AA115" t="s">
        <v>35</v>
      </c>
    </row>
    <row r="116" spans="1:27" x14ac:dyDescent="0.3">
      <c r="A116" t="s">
        <v>91</v>
      </c>
      <c r="B116" t="s">
        <v>97</v>
      </c>
      <c r="C116">
        <v>2025</v>
      </c>
      <c r="D116" t="s">
        <v>29</v>
      </c>
      <c r="E116">
        <v>162822.68</v>
      </c>
      <c r="F116">
        <v>70.599999999999994</v>
      </c>
      <c r="G116">
        <v>255</v>
      </c>
      <c r="H116">
        <v>193.4</v>
      </c>
      <c r="I116">
        <v>2.76</v>
      </c>
      <c r="J116">
        <v>200</v>
      </c>
      <c r="K116">
        <v>1000</v>
      </c>
      <c r="L116">
        <v>867</v>
      </c>
      <c r="M116" t="s">
        <v>30</v>
      </c>
      <c r="N116">
        <v>7</v>
      </c>
      <c r="O116" t="s">
        <v>31</v>
      </c>
      <c r="P116">
        <v>62.6</v>
      </c>
      <c r="Q116">
        <v>2729</v>
      </c>
      <c r="R116">
        <v>5</v>
      </c>
      <c r="S116">
        <v>1</v>
      </c>
      <c r="T116" t="s">
        <v>32</v>
      </c>
      <c r="U116" t="s">
        <v>33</v>
      </c>
      <c r="V116">
        <v>48304</v>
      </c>
      <c r="W116">
        <v>3.2</v>
      </c>
      <c r="X116">
        <v>7</v>
      </c>
      <c r="Y116" t="s">
        <v>34</v>
      </c>
      <c r="Z116">
        <v>3.61</v>
      </c>
      <c r="AA116" t="s">
        <v>35</v>
      </c>
    </row>
    <row r="117" spans="1:27" x14ac:dyDescent="0.3">
      <c r="A117" t="s">
        <v>58</v>
      </c>
      <c r="B117" t="s">
        <v>70</v>
      </c>
      <c r="C117">
        <v>2023</v>
      </c>
      <c r="D117" t="s">
        <v>50</v>
      </c>
      <c r="E117">
        <v>163924.89000000001</v>
      </c>
      <c r="F117">
        <v>83.9</v>
      </c>
      <c r="G117">
        <v>285</v>
      </c>
      <c r="H117">
        <v>119.9</v>
      </c>
      <c r="I117">
        <v>4.66</v>
      </c>
      <c r="J117">
        <v>180</v>
      </c>
      <c r="K117">
        <v>1000</v>
      </c>
      <c r="L117">
        <v>946</v>
      </c>
      <c r="M117" t="s">
        <v>30</v>
      </c>
      <c r="N117">
        <v>5</v>
      </c>
      <c r="O117" t="s">
        <v>57</v>
      </c>
      <c r="P117">
        <v>27.2</v>
      </c>
      <c r="Q117">
        <v>1540</v>
      </c>
      <c r="R117">
        <v>4</v>
      </c>
      <c r="S117">
        <v>1</v>
      </c>
      <c r="T117" t="s">
        <v>32</v>
      </c>
      <c r="U117" t="s">
        <v>33</v>
      </c>
      <c r="V117">
        <v>50822</v>
      </c>
      <c r="W117">
        <v>3.8</v>
      </c>
      <c r="X117">
        <v>6</v>
      </c>
      <c r="Y117" t="s">
        <v>43</v>
      </c>
      <c r="Z117">
        <v>3.4</v>
      </c>
      <c r="AA117" t="s">
        <v>35</v>
      </c>
    </row>
    <row r="118" spans="1:27" x14ac:dyDescent="0.3">
      <c r="A118" t="s">
        <v>84</v>
      </c>
      <c r="B118" t="s">
        <v>99</v>
      </c>
      <c r="C118">
        <v>2024</v>
      </c>
      <c r="D118" t="s">
        <v>50</v>
      </c>
      <c r="E118">
        <v>54997.37</v>
      </c>
      <c r="F118">
        <v>100.7</v>
      </c>
      <c r="G118">
        <v>353</v>
      </c>
      <c r="H118">
        <v>144.1</v>
      </c>
      <c r="I118">
        <v>4.3499999999999996</v>
      </c>
      <c r="J118">
        <v>183</v>
      </c>
      <c r="K118">
        <v>523</v>
      </c>
      <c r="L118">
        <v>469</v>
      </c>
      <c r="M118" t="s">
        <v>39</v>
      </c>
      <c r="N118">
        <v>2</v>
      </c>
      <c r="O118" t="s">
        <v>31</v>
      </c>
      <c r="P118">
        <v>60.8</v>
      </c>
      <c r="Q118">
        <v>2427</v>
      </c>
      <c r="R118">
        <v>5</v>
      </c>
      <c r="S118">
        <v>0</v>
      </c>
      <c r="T118" t="s">
        <v>47</v>
      </c>
      <c r="U118" t="s">
        <v>42</v>
      </c>
      <c r="V118">
        <v>49671</v>
      </c>
      <c r="W118">
        <v>3.7</v>
      </c>
      <c r="X118">
        <v>3</v>
      </c>
      <c r="Y118" t="s">
        <v>43</v>
      </c>
      <c r="Z118">
        <v>3.51</v>
      </c>
      <c r="AA118" t="s">
        <v>35</v>
      </c>
    </row>
    <row r="119" spans="1:27" x14ac:dyDescent="0.3">
      <c r="A119" t="s">
        <v>52</v>
      </c>
      <c r="B119" t="s">
        <v>55</v>
      </c>
      <c r="C119">
        <v>2026</v>
      </c>
      <c r="D119" t="s">
        <v>68</v>
      </c>
      <c r="E119">
        <v>96644.91</v>
      </c>
      <c r="F119">
        <v>76.400000000000006</v>
      </c>
      <c r="G119">
        <v>244</v>
      </c>
      <c r="H119">
        <v>238.4</v>
      </c>
      <c r="I119">
        <v>5.98</v>
      </c>
      <c r="J119">
        <v>164</v>
      </c>
      <c r="K119">
        <v>684</v>
      </c>
      <c r="L119">
        <v>604</v>
      </c>
      <c r="M119" t="s">
        <v>54</v>
      </c>
      <c r="N119">
        <v>5</v>
      </c>
      <c r="O119" t="s">
        <v>65</v>
      </c>
      <c r="P119">
        <v>28.9</v>
      </c>
      <c r="Q119">
        <v>1500</v>
      </c>
      <c r="R119">
        <v>5</v>
      </c>
      <c r="S119">
        <v>2</v>
      </c>
      <c r="T119" t="s">
        <v>47</v>
      </c>
      <c r="U119" t="s">
        <v>38</v>
      </c>
      <c r="V119">
        <v>408778</v>
      </c>
      <c r="W119">
        <v>4</v>
      </c>
      <c r="X119">
        <v>4</v>
      </c>
      <c r="Y119" t="s">
        <v>43</v>
      </c>
      <c r="Z119">
        <v>3.19</v>
      </c>
      <c r="AA119" t="s">
        <v>35</v>
      </c>
    </row>
    <row r="120" spans="1:27" x14ac:dyDescent="0.3">
      <c r="A120" t="s">
        <v>94</v>
      </c>
      <c r="B120" t="s">
        <v>116</v>
      </c>
      <c r="C120">
        <v>2025</v>
      </c>
      <c r="D120" t="s">
        <v>68</v>
      </c>
      <c r="E120">
        <v>72972.25</v>
      </c>
      <c r="F120">
        <v>58</v>
      </c>
      <c r="G120">
        <v>223</v>
      </c>
      <c r="H120">
        <v>129.9</v>
      </c>
      <c r="I120">
        <v>7.8</v>
      </c>
      <c r="J120">
        <v>139</v>
      </c>
      <c r="K120">
        <v>409</v>
      </c>
      <c r="L120">
        <v>398</v>
      </c>
      <c r="M120" t="s">
        <v>39</v>
      </c>
      <c r="N120">
        <v>7</v>
      </c>
      <c r="O120" t="s">
        <v>40</v>
      </c>
      <c r="P120">
        <v>63.6</v>
      </c>
      <c r="Q120">
        <v>1928</v>
      </c>
      <c r="R120">
        <v>5</v>
      </c>
      <c r="S120">
        <v>1</v>
      </c>
      <c r="T120" t="s">
        <v>32</v>
      </c>
      <c r="U120" t="s">
        <v>38</v>
      </c>
      <c r="V120">
        <v>23427</v>
      </c>
      <c r="W120">
        <v>3.4</v>
      </c>
      <c r="X120">
        <v>5</v>
      </c>
      <c r="Y120" t="s">
        <v>61</v>
      </c>
      <c r="Z120">
        <v>3.84</v>
      </c>
      <c r="AA120" t="s">
        <v>35</v>
      </c>
    </row>
    <row r="121" spans="1:27" x14ac:dyDescent="0.3">
      <c r="A121" t="s">
        <v>48</v>
      </c>
      <c r="B121" t="s">
        <v>60</v>
      </c>
      <c r="C121">
        <v>2023</v>
      </c>
      <c r="D121" t="s">
        <v>38</v>
      </c>
      <c r="E121">
        <v>38796.18</v>
      </c>
      <c r="F121">
        <v>49.4</v>
      </c>
      <c r="G121">
        <v>150</v>
      </c>
      <c r="H121">
        <v>141.19999999999999</v>
      </c>
      <c r="I121">
        <v>5.12</v>
      </c>
      <c r="J121">
        <v>168</v>
      </c>
      <c r="K121">
        <v>376</v>
      </c>
      <c r="L121">
        <v>343</v>
      </c>
      <c r="M121" t="s">
        <v>54</v>
      </c>
      <c r="N121">
        <v>7</v>
      </c>
      <c r="O121" t="s">
        <v>57</v>
      </c>
      <c r="P121">
        <v>38.4</v>
      </c>
      <c r="Q121">
        <v>1751</v>
      </c>
      <c r="R121">
        <v>5</v>
      </c>
      <c r="S121">
        <v>1</v>
      </c>
      <c r="T121" t="s">
        <v>51</v>
      </c>
      <c r="U121" t="s">
        <v>42</v>
      </c>
      <c r="V121">
        <v>146563</v>
      </c>
      <c r="W121">
        <v>3.1</v>
      </c>
      <c r="X121">
        <v>4</v>
      </c>
      <c r="Y121" t="s">
        <v>43</v>
      </c>
      <c r="Z121">
        <v>3.04</v>
      </c>
      <c r="AA121" t="s">
        <v>35</v>
      </c>
    </row>
    <row r="122" spans="1:27" x14ac:dyDescent="0.3">
      <c r="A122" t="s">
        <v>84</v>
      </c>
      <c r="B122" t="s">
        <v>85</v>
      </c>
      <c r="C122">
        <v>2023</v>
      </c>
      <c r="D122" t="s">
        <v>63</v>
      </c>
      <c r="E122">
        <v>59885.41</v>
      </c>
      <c r="F122">
        <v>65.900000000000006</v>
      </c>
      <c r="G122">
        <v>231</v>
      </c>
      <c r="H122">
        <v>81.2</v>
      </c>
      <c r="I122">
        <v>6.28</v>
      </c>
      <c r="J122">
        <v>148</v>
      </c>
      <c r="K122">
        <v>667</v>
      </c>
      <c r="L122">
        <v>623</v>
      </c>
      <c r="M122" t="s">
        <v>30</v>
      </c>
      <c r="N122">
        <v>5</v>
      </c>
      <c r="O122" t="s">
        <v>31</v>
      </c>
      <c r="P122">
        <v>65.7</v>
      </c>
      <c r="Q122">
        <v>2597</v>
      </c>
      <c r="R122">
        <v>4</v>
      </c>
      <c r="S122">
        <v>1</v>
      </c>
      <c r="T122" t="s">
        <v>47</v>
      </c>
      <c r="U122" t="s">
        <v>42</v>
      </c>
      <c r="V122">
        <v>28589</v>
      </c>
      <c r="W122">
        <v>3.5</v>
      </c>
      <c r="X122">
        <v>4</v>
      </c>
      <c r="Y122" t="s">
        <v>43</v>
      </c>
      <c r="Z122">
        <v>3.51</v>
      </c>
      <c r="AA122" t="s">
        <v>35</v>
      </c>
    </row>
    <row r="123" spans="1:27" x14ac:dyDescent="0.3">
      <c r="A123" t="s">
        <v>94</v>
      </c>
      <c r="B123" t="s">
        <v>113</v>
      </c>
      <c r="C123">
        <v>2024</v>
      </c>
      <c r="D123" t="s">
        <v>50</v>
      </c>
      <c r="E123">
        <v>130606.12</v>
      </c>
      <c r="F123">
        <v>106.6</v>
      </c>
      <c r="G123">
        <v>385</v>
      </c>
      <c r="H123">
        <v>58.2</v>
      </c>
      <c r="I123">
        <v>5.2</v>
      </c>
      <c r="J123">
        <v>169</v>
      </c>
      <c r="K123">
        <v>1000</v>
      </c>
      <c r="L123">
        <v>873</v>
      </c>
      <c r="M123" t="s">
        <v>54</v>
      </c>
      <c r="N123">
        <v>7</v>
      </c>
      <c r="O123" t="s">
        <v>40</v>
      </c>
      <c r="P123">
        <v>61.8</v>
      </c>
      <c r="Q123">
        <v>2080</v>
      </c>
      <c r="R123">
        <v>5</v>
      </c>
      <c r="S123">
        <v>2</v>
      </c>
      <c r="T123" t="s">
        <v>32</v>
      </c>
      <c r="U123" t="s">
        <v>33</v>
      </c>
      <c r="V123">
        <v>39897</v>
      </c>
      <c r="W123">
        <v>3.7</v>
      </c>
      <c r="X123">
        <v>7</v>
      </c>
      <c r="Y123" t="s">
        <v>43</v>
      </c>
      <c r="Z123">
        <v>3.61</v>
      </c>
      <c r="AA123" t="s">
        <v>35</v>
      </c>
    </row>
    <row r="124" spans="1:27" x14ac:dyDescent="0.3">
      <c r="A124" t="s">
        <v>71</v>
      </c>
      <c r="B124" t="s">
        <v>75</v>
      </c>
      <c r="C124">
        <v>2024</v>
      </c>
      <c r="D124" t="s">
        <v>50</v>
      </c>
      <c r="E124">
        <v>47823.41</v>
      </c>
      <c r="F124">
        <v>77.2</v>
      </c>
      <c r="G124">
        <v>258</v>
      </c>
      <c r="H124">
        <v>118.3</v>
      </c>
      <c r="I124">
        <v>4.47</v>
      </c>
      <c r="J124">
        <v>182</v>
      </c>
      <c r="K124">
        <v>535</v>
      </c>
      <c r="L124">
        <v>460</v>
      </c>
      <c r="M124" t="s">
        <v>54</v>
      </c>
      <c r="N124">
        <v>7</v>
      </c>
      <c r="O124" t="s">
        <v>57</v>
      </c>
      <c r="P124">
        <v>33.5</v>
      </c>
      <c r="Q124">
        <v>1500</v>
      </c>
      <c r="R124">
        <v>5</v>
      </c>
      <c r="S124">
        <v>0</v>
      </c>
      <c r="T124" t="s">
        <v>73</v>
      </c>
      <c r="U124" t="s">
        <v>42</v>
      </c>
      <c r="V124">
        <v>108045</v>
      </c>
      <c r="W124">
        <v>3.6</v>
      </c>
      <c r="X124">
        <v>4</v>
      </c>
      <c r="Y124" t="s">
        <v>43</v>
      </c>
      <c r="Z124">
        <v>3.34</v>
      </c>
      <c r="AA124" t="s">
        <v>35</v>
      </c>
    </row>
    <row r="125" spans="1:27" x14ac:dyDescent="0.3">
      <c r="A125" t="s">
        <v>52</v>
      </c>
      <c r="B125" t="s">
        <v>64</v>
      </c>
      <c r="C125">
        <v>2023</v>
      </c>
      <c r="D125" t="s">
        <v>29</v>
      </c>
      <c r="E125">
        <v>65004.86</v>
      </c>
      <c r="F125">
        <v>111</v>
      </c>
      <c r="G125">
        <v>405</v>
      </c>
      <c r="H125">
        <v>260.3</v>
      </c>
      <c r="I125">
        <v>3.66</v>
      </c>
      <c r="J125">
        <v>200</v>
      </c>
      <c r="K125">
        <v>448</v>
      </c>
      <c r="L125">
        <v>345</v>
      </c>
      <c r="M125" t="s">
        <v>54</v>
      </c>
      <c r="N125">
        <v>7</v>
      </c>
      <c r="O125" t="s">
        <v>31</v>
      </c>
      <c r="P125">
        <v>71.3</v>
      </c>
      <c r="Q125">
        <v>2744</v>
      </c>
      <c r="R125">
        <v>4</v>
      </c>
      <c r="S125">
        <v>3</v>
      </c>
      <c r="T125" t="s">
        <v>47</v>
      </c>
      <c r="U125" t="s">
        <v>38</v>
      </c>
      <c r="V125">
        <v>208805</v>
      </c>
      <c r="W125">
        <v>4.3</v>
      </c>
      <c r="X125">
        <v>4</v>
      </c>
      <c r="Y125" t="s">
        <v>34</v>
      </c>
      <c r="Z125">
        <v>3.65</v>
      </c>
      <c r="AA125" t="s">
        <v>35</v>
      </c>
    </row>
    <row r="126" spans="1:27" x14ac:dyDescent="0.3">
      <c r="A126" t="s">
        <v>71</v>
      </c>
      <c r="B126" t="s">
        <v>115</v>
      </c>
      <c r="C126">
        <v>2024</v>
      </c>
      <c r="D126" t="s">
        <v>68</v>
      </c>
      <c r="E126">
        <v>21712.400000000001</v>
      </c>
      <c r="F126">
        <v>83.3</v>
      </c>
      <c r="G126">
        <v>307</v>
      </c>
      <c r="H126">
        <v>77.099999999999994</v>
      </c>
      <c r="I126">
        <v>5.75</v>
      </c>
      <c r="J126">
        <v>171</v>
      </c>
      <c r="K126">
        <v>190</v>
      </c>
      <c r="L126">
        <v>200</v>
      </c>
      <c r="M126" t="s">
        <v>54</v>
      </c>
      <c r="N126">
        <v>5</v>
      </c>
      <c r="O126" t="s">
        <v>46</v>
      </c>
      <c r="P126">
        <v>78.2</v>
      </c>
      <c r="Q126">
        <v>1628</v>
      </c>
      <c r="R126">
        <v>4</v>
      </c>
      <c r="S126">
        <v>0</v>
      </c>
      <c r="T126" t="s">
        <v>73</v>
      </c>
      <c r="U126" t="s">
        <v>74</v>
      </c>
      <c r="V126">
        <v>169389</v>
      </c>
      <c r="W126">
        <v>3.4</v>
      </c>
      <c r="X126">
        <v>3</v>
      </c>
      <c r="Y126" t="s">
        <v>43</v>
      </c>
      <c r="Z126">
        <v>3.69</v>
      </c>
      <c r="AA126" t="s">
        <v>35</v>
      </c>
    </row>
    <row r="127" spans="1:27" x14ac:dyDescent="0.3">
      <c r="A127" t="s">
        <v>27</v>
      </c>
      <c r="B127" t="s">
        <v>83</v>
      </c>
      <c r="C127">
        <v>2024</v>
      </c>
      <c r="D127" t="s">
        <v>50</v>
      </c>
      <c r="E127">
        <v>54335.65</v>
      </c>
      <c r="F127">
        <v>77.599999999999994</v>
      </c>
      <c r="G127">
        <v>286</v>
      </c>
      <c r="H127">
        <v>91.5</v>
      </c>
      <c r="I127">
        <v>4.84</v>
      </c>
      <c r="J127">
        <v>186</v>
      </c>
      <c r="K127">
        <v>485</v>
      </c>
      <c r="L127">
        <v>454</v>
      </c>
      <c r="M127" t="s">
        <v>54</v>
      </c>
      <c r="N127">
        <v>7</v>
      </c>
      <c r="O127" t="s">
        <v>65</v>
      </c>
      <c r="P127">
        <v>18.399999999999999</v>
      </c>
      <c r="Q127">
        <v>1630</v>
      </c>
      <c r="R127">
        <v>5</v>
      </c>
      <c r="S127">
        <v>0</v>
      </c>
      <c r="T127" t="s">
        <v>32</v>
      </c>
      <c r="U127" t="s">
        <v>42</v>
      </c>
      <c r="V127">
        <v>284565</v>
      </c>
      <c r="W127">
        <v>3.7</v>
      </c>
      <c r="X127">
        <v>3</v>
      </c>
      <c r="Y127" t="s">
        <v>43</v>
      </c>
      <c r="Z127">
        <v>3.69</v>
      </c>
      <c r="AA127" t="s">
        <v>35</v>
      </c>
    </row>
    <row r="128" spans="1:27" x14ac:dyDescent="0.3">
      <c r="A128" t="s">
        <v>84</v>
      </c>
      <c r="B128" t="s">
        <v>106</v>
      </c>
      <c r="C128">
        <v>2024</v>
      </c>
      <c r="D128" t="s">
        <v>63</v>
      </c>
      <c r="E128">
        <v>53737.95</v>
      </c>
      <c r="F128">
        <v>61.5</v>
      </c>
      <c r="G128">
        <v>226</v>
      </c>
      <c r="H128">
        <v>78.099999999999994</v>
      </c>
      <c r="I128">
        <v>7.47</v>
      </c>
      <c r="J128">
        <v>152</v>
      </c>
      <c r="K128">
        <v>555</v>
      </c>
      <c r="L128">
        <v>526</v>
      </c>
      <c r="M128" t="s">
        <v>54</v>
      </c>
      <c r="N128">
        <v>7</v>
      </c>
      <c r="O128" t="s">
        <v>65</v>
      </c>
      <c r="P128">
        <v>32.6</v>
      </c>
      <c r="Q128">
        <v>1500</v>
      </c>
      <c r="R128">
        <v>3</v>
      </c>
      <c r="S128">
        <v>1</v>
      </c>
      <c r="T128" t="s">
        <v>47</v>
      </c>
      <c r="U128" t="s">
        <v>42</v>
      </c>
      <c r="V128">
        <v>62660</v>
      </c>
      <c r="W128">
        <v>3.3</v>
      </c>
      <c r="X128">
        <v>3</v>
      </c>
      <c r="Y128" t="s">
        <v>61</v>
      </c>
      <c r="Z128">
        <v>3.67</v>
      </c>
      <c r="AA128" t="s">
        <v>35</v>
      </c>
    </row>
    <row r="129" spans="1:27" x14ac:dyDescent="0.3">
      <c r="A129" t="s">
        <v>58</v>
      </c>
      <c r="B129" t="s">
        <v>111</v>
      </c>
      <c r="C129">
        <v>2026</v>
      </c>
      <c r="D129" t="s">
        <v>68</v>
      </c>
      <c r="E129">
        <v>68994.81</v>
      </c>
      <c r="F129">
        <v>48.5</v>
      </c>
      <c r="G129">
        <v>168</v>
      </c>
      <c r="H129">
        <v>130.19999999999999</v>
      </c>
      <c r="I129">
        <v>6.02</v>
      </c>
      <c r="J129">
        <v>157</v>
      </c>
      <c r="K129">
        <v>287</v>
      </c>
      <c r="L129">
        <v>240</v>
      </c>
      <c r="M129" t="s">
        <v>39</v>
      </c>
      <c r="N129">
        <v>7</v>
      </c>
      <c r="O129" t="s">
        <v>46</v>
      </c>
      <c r="P129">
        <v>60.2</v>
      </c>
      <c r="Q129">
        <v>1568</v>
      </c>
      <c r="R129">
        <v>5</v>
      </c>
      <c r="S129">
        <v>1</v>
      </c>
      <c r="T129" t="s">
        <v>32</v>
      </c>
      <c r="U129" t="s">
        <v>38</v>
      </c>
      <c r="V129">
        <v>79213</v>
      </c>
      <c r="W129">
        <v>3.8</v>
      </c>
      <c r="X129">
        <v>7</v>
      </c>
      <c r="Y129" t="s">
        <v>43</v>
      </c>
      <c r="Z129">
        <v>3.46</v>
      </c>
      <c r="AA129" t="s">
        <v>35</v>
      </c>
    </row>
    <row r="130" spans="1:27" x14ac:dyDescent="0.3">
      <c r="A130" t="s">
        <v>52</v>
      </c>
      <c r="B130" t="s">
        <v>55</v>
      </c>
      <c r="C130">
        <v>2024</v>
      </c>
      <c r="D130" t="s">
        <v>63</v>
      </c>
      <c r="E130">
        <v>105607.38</v>
      </c>
      <c r="F130">
        <v>44.4</v>
      </c>
      <c r="G130">
        <v>150</v>
      </c>
      <c r="H130">
        <v>201</v>
      </c>
      <c r="I130">
        <v>6.21</v>
      </c>
      <c r="J130">
        <v>163</v>
      </c>
      <c r="K130">
        <v>784</v>
      </c>
      <c r="L130">
        <v>689</v>
      </c>
      <c r="M130" t="s">
        <v>39</v>
      </c>
      <c r="N130">
        <v>7</v>
      </c>
      <c r="O130" t="s">
        <v>46</v>
      </c>
      <c r="P130">
        <v>79.8</v>
      </c>
      <c r="Q130">
        <v>1500</v>
      </c>
      <c r="R130">
        <v>4</v>
      </c>
      <c r="S130">
        <v>2</v>
      </c>
      <c r="T130" t="s">
        <v>47</v>
      </c>
      <c r="U130" t="s">
        <v>33</v>
      </c>
      <c r="V130">
        <v>422392</v>
      </c>
      <c r="W130">
        <v>3.5</v>
      </c>
      <c r="X130">
        <v>5</v>
      </c>
      <c r="Y130" t="s">
        <v>43</v>
      </c>
      <c r="Z130">
        <v>3.38</v>
      </c>
      <c r="AA130" t="s">
        <v>35</v>
      </c>
    </row>
    <row r="131" spans="1:27" x14ac:dyDescent="0.3">
      <c r="A131" t="s">
        <v>76</v>
      </c>
      <c r="B131" t="s">
        <v>117</v>
      </c>
      <c r="C131">
        <v>2025</v>
      </c>
      <c r="D131" t="s">
        <v>29</v>
      </c>
      <c r="E131">
        <v>97964.98</v>
      </c>
      <c r="F131">
        <v>106.9</v>
      </c>
      <c r="G131">
        <v>392</v>
      </c>
      <c r="H131">
        <v>183.9</v>
      </c>
      <c r="I131">
        <v>3.92</v>
      </c>
      <c r="J131">
        <v>192</v>
      </c>
      <c r="K131">
        <v>1000</v>
      </c>
      <c r="L131">
        <v>914</v>
      </c>
      <c r="M131" t="s">
        <v>54</v>
      </c>
      <c r="N131">
        <v>7</v>
      </c>
      <c r="O131" t="s">
        <v>31</v>
      </c>
      <c r="P131">
        <v>59.8</v>
      </c>
      <c r="Q131">
        <v>2842</v>
      </c>
      <c r="R131">
        <v>4</v>
      </c>
      <c r="S131">
        <v>0</v>
      </c>
      <c r="T131" t="s">
        <v>51</v>
      </c>
      <c r="U131" t="s">
        <v>38</v>
      </c>
      <c r="V131">
        <v>98285</v>
      </c>
      <c r="W131">
        <v>3.8</v>
      </c>
      <c r="X131">
        <v>3</v>
      </c>
      <c r="Y131" t="s">
        <v>34</v>
      </c>
      <c r="Z131">
        <v>3.67</v>
      </c>
      <c r="AA131" t="s">
        <v>35</v>
      </c>
    </row>
    <row r="132" spans="1:27" x14ac:dyDescent="0.3">
      <c r="A132" t="s">
        <v>27</v>
      </c>
      <c r="B132" t="s">
        <v>28</v>
      </c>
      <c r="C132">
        <v>2025</v>
      </c>
      <c r="D132" t="s">
        <v>68</v>
      </c>
      <c r="E132">
        <v>60229.21</v>
      </c>
      <c r="F132">
        <v>40.6</v>
      </c>
      <c r="G132">
        <v>150</v>
      </c>
      <c r="H132">
        <v>137.80000000000001</v>
      </c>
      <c r="I132">
        <v>7.86</v>
      </c>
      <c r="J132">
        <v>145</v>
      </c>
      <c r="K132">
        <v>580</v>
      </c>
      <c r="L132">
        <v>569</v>
      </c>
      <c r="M132" t="s">
        <v>39</v>
      </c>
      <c r="N132">
        <v>7</v>
      </c>
      <c r="O132" t="s">
        <v>40</v>
      </c>
      <c r="P132">
        <v>45.9</v>
      </c>
      <c r="Q132">
        <v>2260</v>
      </c>
      <c r="R132">
        <v>5</v>
      </c>
      <c r="S132">
        <v>1</v>
      </c>
      <c r="T132" t="s">
        <v>32</v>
      </c>
      <c r="U132" t="s">
        <v>42</v>
      </c>
      <c r="V132">
        <v>215577</v>
      </c>
      <c r="W132">
        <v>3.2</v>
      </c>
      <c r="X132">
        <v>4</v>
      </c>
      <c r="Y132" t="s">
        <v>61</v>
      </c>
      <c r="Z132">
        <v>3.69</v>
      </c>
      <c r="AA132" t="s">
        <v>35</v>
      </c>
    </row>
    <row r="133" spans="1:27" x14ac:dyDescent="0.3">
      <c r="A133" t="s">
        <v>71</v>
      </c>
      <c r="B133" t="s">
        <v>90</v>
      </c>
      <c r="C133">
        <v>2025</v>
      </c>
      <c r="D133" t="s">
        <v>38</v>
      </c>
      <c r="E133">
        <v>41881.699999999997</v>
      </c>
      <c r="F133">
        <v>82.8</v>
      </c>
      <c r="G133">
        <v>280</v>
      </c>
      <c r="H133">
        <v>147</v>
      </c>
      <c r="I133">
        <v>7.2</v>
      </c>
      <c r="J133">
        <v>138</v>
      </c>
      <c r="K133">
        <v>459</v>
      </c>
      <c r="L133">
        <v>427</v>
      </c>
      <c r="M133" t="s">
        <v>30</v>
      </c>
      <c r="N133">
        <v>7</v>
      </c>
      <c r="O133" t="s">
        <v>40</v>
      </c>
      <c r="P133">
        <v>61.7</v>
      </c>
      <c r="Q133">
        <v>2237</v>
      </c>
      <c r="R133">
        <v>4</v>
      </c>
      <c r="S133">
        <v>1</v>
      </c>
      <c r="T133" t="s">
        <v>73</v>
      </c>
      <c r="U133" t="s">
        <v>42</v>
      </c>
      <c r="V133">
        <v>128802</v>
      </c>
      <c r="W133">
        <v>3.5</v>
      </c>
      <c r="X133">
        <v>3</v>
      </c>
      <c r="Y133" t="s">
        <v>61</v>
      </c>
      <c r="Z133">
        <v>3.38</v>
      </c>
      <c r="AA133" t="s">
        <v>35</v>
      </c>
    </row>
    <row r="134" spans="1:27" x14ac:dyDescent="0.3">
      <c r="A134" t="s">
        <v>52</v>
      </c>
      <c r="B134" t="s">
        <v>53</v>
      </c>
      <c r="C134">
        <v>2024</v>
      </c>
      <c r="D134" t="s">
        <v>50</v>
      </c>
      <c r="E134">
        <v>138760.95999999999</v>
      </c>
      <c r="F134">
        <v>99.4</v>
      </c>
      <c r="G134">
        <v>376</v>
      </c>
      <c r="H134">
        <v>338.9</v>
      </c>
      <c r="I134">
        <v>5.24</v>
      </c>
      <c r="J134">
        <v>175</v>
      </c>
      <c r="K134">
        <v>1000</v>
      </c>
      <c r="L134">
        <v>928</v>
      </c>
      <c r="M134" t="s">
        <v>39</v>
      </c>
      <c r="N134">
        <v>5</v>
      </c>
      <c r="O134" t="s">
        <v>65</v>
      </c>
      <c r="P134">
        <v>19.899999999999999</v>
      </c>
      <c r="Q134">
        <v>1500</v>
      </c>
      <c r="R134">
        <v>5</v>
      </c>
      <c r="S134">
        <v>2</v>
      </c>
      <c r="T134" t="s">
        <v>47</v>
      </c>
      <c r="U134" t="s">
        <v>33</v>
      </c>
      <c r="V134">
        <v>204411</v>
      </c>
      <c r="W134">
        <v>4</v>
      </c>
      <c r="X134">
        <v>5</v>
      </c>
      <c r="Y134" t="s">
        <v>43</v>
      </c>
      <c r="Z134">
        <v>3.78</v>
      </c>
      <c r="AA134" t="s">
        <v>35</v>
      </c>
    </row>
    <row r="135" spans="1:27" x14ac:dyDescent="0.3">
      <c r="A135" t="s">
        <v>71</v>
      </c>
      <c r="B135" t="s">
        <v>75</v>
      </c>
      <c r="C135">
        <v>2025</v>
      </c>
      <c r="D135" t="s">
        <v>50</v>
      </c>
      <c r="E135">
        <v>90653.56</v>
      </c>
      <c r="F135">
        <v>81.3</v>
      </c>
      <c r="G135">
        <v>304</v>
      </c>
      <c r="H135">
        <v>52.5</v>
      </c>
      <c r="I135">
        <v>5.38</v>
      </c>
      <c r="J135">
        <v>164</v>
      </c>
      <c r="K135">
        <v>1000</v>
      </c>
      <c r="L135">
        <v>895</v>
      </c>
      <c r="M135" t="s">
        <v>39</v>
      </c>
      <c r="N135">
        <v>5</v>
      </c>
      <c r="O135" t="s">
        <v>46</v>
      </c>
      <c r="P135">
        <v>64</v>
      </c>
      <c r="Q135">
        <v>1500</v>
      </c>
      <c r="R135">
        <v>5</v>
      </c>
      <c r="S135">
        <v>0</v>
      </c>
      <c r="T135" t="s">
        <v>73</v>
      </c>
      <c r="U135" t="s">
        <v>38</v>
      </c>
      <c r="V135">
        <v>227338</v>
      </c>
      <c r="W135">
        <v>3.6</v>
      </c>
      <c r="X135">
        <v>4</v>
      </c>
      <c r="Y135" t="s">
        <v>43</v>
      </c>
      <c r="Z135">
        <v>3.74</v>
      </c>
      <c r="AA135" t="s">
        <v>35</v>
      </c>
    </row>
    <row r="136" spans="1:27" x14ac:dyDescent="0.3">
      <c r="A136" t="s">
        <v>100</v>
      </c>
      <c r="B136" t="s">
        <v>118</v>
      </c>
      <c r="C136">
        <v>2022</v>
      </c>
      <c r="D136" t="s">
        <v>63</v>
      </c>
      <c r="E136">
        <v>53544.18</v>
      </c>
      <c r="F136">
        <v>45</v>
      </c>
      <c r="G136">
        <v>186</v>
      </c>
      <c r="H136">
        <v>121.5</v>
      </c>
      <c r="I136">
        <v>5.72</v>
      </c>
      <c r="J136">
        <v>172</v>
      </c>
      <c r="K136">
        <v>279</v>
      </c>
      <c r="L136">
        <v>237</v>
      </c>
      <c r="M136" t="s">
        <v>30</v>
      </c>
      <c r="N136">
        <v>7</v>
      </c>
      <c r="O136" t="s">
        <v>40</v>
      </c>
      <c r="P136">
        <v>40.799999999999997</v>
      </c>
      <c r="Q136">
        <v>1956</v>
      </c>
      <c r="R136">
        <v>4</v>
      </c>
      <c r="S136">
        <v>1</v>
      </c>
      <c r="T136" t="s">
        <v>73</v>
      </c>
      <c r="U136" t="s">
        <v>42</v>
      </c>
      <c r="V136">
        <v>10495</v>
      </c>
      <c r="W136">
        <v>3.4</v>
      </c>
      <c r="X136">
        <v>5</v>
      </c>
      <c r="Y136" t="s">
        <v>43</v>
      </c>
      <c r="Z136">
        <v>4.13</v>
      </c>
      <c r="AA136" t="s">
        <v>43</v>
      </c>
    </row>
    <row r="137" spans="1:27" x14ac:dyDescent="0.3">
      <c r="A137" t="s">
        <v>71</v>
      </c>
      <c r="B137" t="s">
        <v>104</v>
      </c>
      <c r="C137">
        <v>2025</v>
      </c>
      <c r="D137" t="s">
        <v>50</v>
      </c>
      <c r="E137">
        <v>27390.16</v>
      </c>
      <c r="F137">
        <v>86</v>
      </c>
      <c r="G137">
        <v>278</v>
      </c>
      <c r="H137">
        <v>137.30000000000001</v>
      </c>
      <c r="I137">
        <v>4.17</v>
      </c>
      <c r="J137">
        <v>187</v>
      </c>
      <c r="K137">
        <v>321</v>
      </c>
      <c r="L137">
        <v>285</v>
      </c>
      <c r="M137" t="s">
        <v>30</v>
      </c>
      <c r="N137">
        <v>7</v>
      </c>
      <c r="O137" t="s">
        <v>57</v>
      </c>
      <c r="P137">
        <v>19.8</v>
      </c>
      <c r="Q137">
        <v>1616</v>
      </c>
      <c r="R137">
        <v>4</v>
      </c>
      <c r="S137">
        <v>0</v>
      </c>
      <c r="T137" t="s">
        <v>73</v>
      </c>
      <c r="U137" t="s">
        <v>74</v>
      </c>
      <c r="V137">
        <v>146828</v>
      </c>
      <c r="W137">
        <v>3.7</v>
      </c>
      <c r="X137">
        <v>4</v>
      </c>
      <c r="Y137" t="s">
        <v>43</v>
      </c>
      <c r="Z137">
        <v>3.23</v>
      </c>
      <c r="AA137" t="s">
        <v>35</v>
      </c>
    </row>
    <row r="138" spans="1:27" x14ac:dyDescent="0.3">
      <c r="A138" t="s">
        <v>76</v>
      </c>
      <c r="B138" t="s">
        <v>114</v>
      </c>
      <c r="C138">
        <v>2025</v>
      </c>
      <c r="D138" t="s">
        <v>50</v>
      </c>
      <c r="E138">
        <v>94028.85</v>
      </c>
      <c r="F138">
        <v>102.7</v>
      </c>
      <c r="G138">
        <v>334</v>
      </c>
      <c r="H138">
        <v>104.5</v>
      </c>
      <c r="I138">
        <v>4.08</v>
      </c>
      <c r="J138">
        <v>194</v>
      </c>
      <c r="K138">
        <v>1000</v>
      </c>
      <c r="L138">
        <v>949</v>
      </c>
      <c r="M138" t="s">
        <v>30</v>
      </c>
      <c r="N138">
        <v>5</v>
      </c>
      <c r="O138" t="s">
        <v>40</v>
      </c>
      <c r="P138">
        <v>55.4</v>
      </c>
      <c r="Q138">
        <v>2407</v>
      </c>
      <c r="R138">
        <v>4</v>
      </c>
      <c r="S138">
        <v>1</v>
      </c>
      <c r="T138" t="s">
        <v>51</v>
      </c>
      <c r="U138" t="s">
        <v>38</v>
      </c>
      <c r="V138">
        <v>71912</v>
      </c>
      <c r="W138">
        <v>3.6</v>
      </c>
      <c r="X138">
        <v>3</v>
      </c>
      <c r="Y138" t="s">
        <v>43</v>
      </c>
      <c r="Z138">
        <v>3.25</v>
      </c>
      <c r="AA138" t="s">
        <v>35</v>
      </c>
    </row>
    <row r="139" spans="1:27" x14ac:dyDescent="0.3">
      <c r="A139" t="s">
        <v>44</v>
      </c>
      <c r="B139" t="s">
        <v>45</v>
      </c>
      <c r="C139">
        <v>2025</v>
      </c>
      <c r="D139" t="s">
        <v>38</v>
      </c>
      <c r="E139">
        <v>59620.99</v>
      </c>
      <c r="F139">
        <v>44.8</v>
      </c>
      <c r="G139">
        <v>150</v>
      </c>
      <c r="H139">
        <v>111.3</v>
      </c>
      <c r="I139">
        <v>7.42</v>
      </c>
      <c r="J139">
        <v>142</v>
      </c>
      <c r="K139">
        <v>825</v>
      </c>
      <c r="L139">
        <v>763</v>
      </c>
      <c r="M139" t="s">
        <v>54</v>
      </c>
      <c r="N139">
        <v>7</v>
      </c>
      <c r="O139" t="s">
        <v>57</v>
      </c>
      <c r="P139">
        <v>20.100000000000001</v>
      </c>
      <c r="Q139">
        <v>1744</v>
      </c>
      <c r="R139">
        <v>5</v>
      </c>
      <c r="S139">
        <v>0</v>
      </c>
      <c r="T139" t="s">
        <v>47</v>
      </c>
      <c r="U139" t="s">
        <v>42</v>
      </c>
      <c r="V139">
        <v>21979</v>
      </c>
      <c r="W139">
        <v>3.3</v>
      </c>
      <c r="X139">
        <v>4</v>
      </c>
      <c r="Y139" t="s">
        <v>61</v>
      </c>
      <c r="Z139">
        <v>3.35</v>
      </c>
      <c r="AA139" t="s">
        <v>35</v>
      </c>
    </row>
    <row r="140" spans="1:27" x14ac:dyDescent="0.3">
      <c r="A140" t="s">
        <v>27</v>
      </c>
      <c r="B140" t="s">
        <v>28</v>
      </c>
      <c r="C140">
        <v>2025</v>
      </c>
      <c r="D140" t="s">
        <v>29</v>
      </c>
      <c r="E140">
        <v>78713.929999999993</v>
      </c>
      <c r="F140">
        <v>85.5</v>
      </c>
      <c r="G140">
        <v>300</v>
      </c>
      <c r="H140">
        <v>199.7</v>
      </c>
      <c r="I140">
        <v>2.86</v>
      </c>
      <c r="J140">
        <v>200</v>
      </c>
      <c r="K140">
        <v>812</v>
      </c>
      <c r="L140">
        <v>761</v>
      </c>
      <c r="M140" t="s">
        <v>30</v>
      </c>
      <c r="N140">
        <v>5</v>
      </c>
      <c r="O140" t="s">
        <v>31</v>
      </c>
      <c r="P140">
        <v>60.2</v>
      </c>
      <c r="Q140">
        <v>2608</v>
      </c>
      <c r="R140">
        <v>4</v>
      </c>
      <c r="S140">
        <v>0</v>
      </c>
      <c r="T140" t="s">
        <v>32</v>
      </c>
      <c r="U140" t="s">
        <v>38</v>
      </c>
      <c r="V140">
        <v>216549</v>
      </c>
      <c r="W140">
        <v>3.7</v>
      </c>
      <c r="X140">
        <v>4</v>
      </c>
      <c r="Y140" t="s">
        <v>34</v>
      </c>
      <c r="Z140">
        <v>3.51</v>
      </c>
      <c r="AA140" t="s">
        <v>35</v>
      </c>
    </row>
    <row r="141" spans="1:27" x14ac:dyDescent="0.3">
      <c r="A141" t="s">
        <v>66</v>
      </c>
      <c r="B141" t="s">
        <v>119</v>
      </c>
      <c r="C141">
        <v>2022</v>
      </c>
      <c r="D141" t="s">
        <v>50</v>
      </c>
      <c r="E141">
        <v>59484.88</v>
      </c>
      <c r="F141">
        <v>82.4</v>
      </c>
      <c r="G141">
        <v>287</v>
      </c>
      <c r="H141">
        <v>106</v>
      </c>
      <c r="I141">
        <v>5.72</v>
      </c>
      <c r="J141">
        <v>163</v>
      </c>
      <c r="K141">
        <v>389</v>
      </c>
      <c r="L141">
        <v>407</v>
      </c>
      <c r="M141" t="s">
        <v>54</v>
      </c>
      <c r="N141">
        <v>7</v>
      </c>
      <c r="O141" t="s">
        <v>56</v>
      </c>
      <c r="P141">
        <v>19.8</v>
      </c>
      <c r="Q141">
        <v>1611</v>
      </c>
      <c r="R141">
        <v>5</v>
      </c>
      <c r="S141">
        <v>0</v>
      </c>
      <c r="T141" t="s">
        <v>47</v>
      </c>
      <c r="U141" t="s">
        <v>42</v>
      </c>
      <c r="V141">
        <v>23860</v>
      </c>
      <c r="W141">
        <v>3.4</v>
      </c>
      <c r="X141">
        <v>5</v>
      </c>
      <c r="Y141" t="s">
        <v>43</v>
      </c>
      <c r="Z141">
        <v>3.48</v>
      </c>
      <c r="AA141" t="s">
        <v>35</v>
      </c>
    </row>
    <row r="142" spans="1:27" x14ac:dyDescent="0.3">
      <c r="A142" t="s">
        <v>36</v>
      </c>
      <c r="B142" t="s">
        <v>120</v>
      </c>
      <c r="C142">
        <v>2025</v>
      </c>
      <c r="D142" t="s">
        <v>29</v>
      </c>
      <c r="E142">
        <v>62345.64</v>
      </c>
      <c r="F142">
        <v>105.4</v>
      </c>
      <c r="G142">
        <v>377</v>
      </c>
      <c r="H142">
        <v>208.3</v>
      </c>
      <c r="I142">
        <v>2.75</v>
      </c>
      <c r="J142">
        <v>200</v>
      </c>
      <c r="K142">
        <v>708</v>
      </c>
      <c r="L142">
        <v>618</v>
      </c>
      <c r="M142" t="s">
        <v>30</v>
      </c>
      <c r="N142">
        <v>5</v>
      </c>
      <c r="O142" t="s">
        <v>31</v>
      </c>
      <c r="P142">
        <v>68.7</v>
      </c>
      <c r="Q142">
        <v>2450</v>
      </c>
      <c r="R142">
        <v>5</v>
      </c>
      <c r="S142">
        <v>0</v>
      </c>
      <c r="T142" t="s">
        <v>41</v>
      </c>
      <c r="U142" t="s">
        <v>42</v>
      </c>
      <c r="V142">
        <v>15819</v>
      </c>
      <c r="W142">
        <v>4.2</v>
      </c>
      <c r="X142">
        <v>3</v>
      </c>
      <c r="Y142" t="s">
        <v>34</v>
      </c>
      <c r="Z142">
        <v>3.58</v>
      </c>
      <c r="AA142" t="s">
        <v>43</v>
      </c>
    </row>
    <row r="143" spans="1:27" x14ac:dyDescent="0.3">
      <c r="A143" t="s">
        <v>71</v>
      </c>
      <c r="B143" t="s">
        <v>104</v>
      </c>
      <c r="C143">
        <v>2023</v>
      </c>
      <c r="D143" t="s">
        <v>29</v>
      </c>
      <c r="E143">
        <v>33904.31</v>
      </c>
      <c r="F143">
        <v>91.8</v>
      </c>
      <c r="G143">
        <v>310</v>
      </c>
      <c r="H143">
        <v>177.7</v>
      </c>
      <c r="I143">
        <v>3.62</v>
      </c>
      <c r="J143">
        <v>200</v>
      </c>
      <c r="K143">
        <v>356</v>
      </c>
      <c r="L143">
        <v>315</v>
      </c>
      <c r="M143" t="s">
        <v>54</v>
      </c>
      <c r="N143">
        <v>5</v>
      </c>
      <c r="O143" t="s">
        <v>65</v>
      </c>
      <c r="P143">
        <v>33.1</v>
      </c>
      <c r="Q143">
        <v>1623</v>
      </c>
      <c r="R143">
        <v>4</v>
      </c>
      <c r="S143">
        <v>2</v>
      </c>
      <c r="T143" t="s">
        <v>73</v>
      </c>
      <c r="U143" t="s">
        <v>74</v>
      </c>
      <c r="V143">
        <v>106140</v>
      </c>
      <c r="W143">
        <v>3.7</v>
      </c>
      <c r="X143">
        <v>3</v>
      </c>
      <c r="Y143" t="s">
        <v>34</v>
      </c>
      <c r="Z143">
        <v>3.38</v>
      </c>
      <c r="AA143" t="s">
        <v>35</v>
      </c>
    </row>
    <row r="144" spans="1:27" x14ac:dyDescent="0.3">
      <c r="A144" t="s">
        <v>76</v>
      </c>
      <c r="B144" t="s">
        <v>77</v>
      </c>
      <c r="C144">
        <v>2025</v>
      </c>
      <c r="D144" t="s">
        <v>50</v>
      </c>
      <c r="E144">
        <v>40497.64</v>
      </c>
      <c r="F144">
        <v>109</v>
      </c>
      <c r="G144">
        <v>417</v>
      </c>
      <c r="H144">
        <v>73.7</v>
      </c>
      <c r="I144">
        <v>4.97</v>
      </c>
      <c r="J144">
        <v>177</v>
      </c>
      <c r="K144">
        <v>340</v>
      </c>
      <c r="L144">
        <v>302</v>
      </c>
      <c r="M144" t="s">
        <v>30</v>
      </c>
      <c r="N144">
        <v>7</v>
      </c>
      <c r="O144" t="s">
        <v>40</v>
      </c>
      <c r="P144">
        <v>41.8</v>
      </c>
      <c r="Q144">
        <v>2284</v>
      </c>
      <c r="R144">
        <v>3</v>
      </c>
      <c r="S144">
        <v>1</v>
      </c>
      <c r="T144" t="s">
        <v>51</v>
      </c>
      <c r="U144" t="s">
        <v>42</v>
      </c>
      <c r="V144">
        <v>61921</v>
      </c>
      <c r="W144">
        <v>3.9</v>
      </c>
      <c r="X144">
        <v>3</v>
      </c>
      <c r="Y144" t="s">
        <v>43</v>
      </c>
      <c r="Z144">
        <v>3.83</v>
      </c>
      <c r="AA144" t="s">
        <v>35</v>
      </c>
    </row>
    <row r="145" spans="1:27" x14ac:dyDescent="0.3">
      <c r="A145" t="s">
        <v>71</v>
      </c>
      <c r="B145" t="s">
        <v>104</v>
      </c>
      <c r="C145">
        <v>2024</v>
      </c>
      <c r="D145" t="s">
        <v>38</v>
      </c>
      <c r="E145">
        <v>89340.39</v>
      </c>
      <c r="F145">
        <v>64.599999999999994</v>
      </c>
      <c r="G145">
        <v>223</v>
      </c>
      <c r="H145">
        <v>111.7</v>
      </c>
      <c r="I145">
        <v>7.58</v>
      </c>
      <c r="J145">
        <v>132</v>
      </c>
      <c r="K145">
        <v>1000</v>
      </c>
      <c r="L145">
        <v>861</v>
      </c>
      <c r="M145" t="s">
        <v>30</v>
      </c>
      <c r="N145">
        <v>7</v>
      </c>
      <c r="O145" t="s">
        <v>46</v>
      </c>
      <c r="P145">
        <v>67.3</v>
      </c>
      <c r="Q145">
        <v>1633</v>
      </c>
      <c r="R145">
        <v>5</v>
      </c>
      <c r="S145">
        <v>2</v>
      </c>
      <c r="T145" t="s">
        <v>73</v>
      </c>
      <c r="U145" t="s">
        <v>38</v>
      </c>
      <c r="V145">
        <v>229760</v>
      </c>
      <c r="W145">
        <v>3.4</v>
      </c>
      <c r="X145">
        <v>4</v>
      </c>
      <c r="Y145" t="s">
        <v>61</v>
      </c>
      <c r="Z145">
        <v>3.45</v>
      </c>
      <c r="AA145" t="s">
        <v>35</v>
      </c>
    </row>
    <row r="146" spans="1:27" x14ac:dyDescent="0.3">
      <c r="A146" t="s">
        <v>71</v>
      </c>
      <c r="B146" t="s">
        <v>72</v>
      </c>
      <c r="C146">
        <v>2023</v>
      </c>
      <c r="D146" t="s">
        <v>50</v>
      </c>
      <c r="E146">
        <v>77902.259999999995</v>
      </c>
      <c r="F146">
        <v>85.2</v>
      </c>
      <c r="G146">
        <v>288</v>
      </c>
      <c r="H146">
        <v>67</v>
      </c>
      <c r="I146">
        <v>4.1900000000000004</v>
      </c>
      <c r="J146">
        <v>183</v>
      </c>
      <c r="K146">
        <v>837</v>
      </c>
      <c r="L146">
        <v>747</v>
      </c>
      <c r="M146" t="s">
        <v>30</v>
      </c>
      <c r="N146">
        <v>5</v>
      </c>
      <c r="O146" t="s">
        <v>40</v>
      </c>
      <c r="P146">
        <v>54.1</v>
      </c>
      <c r="Q146">
        <v>1861</v>
      </c>
      <c r="R146">
        <v>5</v>
      </c>
      <c r="S146">
        <v>1</v>
      </c>
      <c r="T146" t="s">
        <v>73</v>
      </c>
      <c r="U146" t="s">
        <v>38</v>
      </c>
      <c r="V146">
        <v>177211</v>
      </c>
      <c r="W146">
        <v>3.4</v>
      </c>
      <c r="X146">
        <v>3</v>
      </c>
      <c r="Y146" t="s">
        <v>43</v>
      </c>
      <c r="Z146">
        <v>3.38</v>
      </c>
      <c r="AA146" t="s">
        <v>35</v>
      </c>
    </row>
    <row r="147" spans="1:27" x14ac:dyDescent="0.3">
      <c r="A147" t="s">
        <v>52</v>
      </c>
      <c r="B147" t="s">
        <v>64</v>
      </c>
      <c r="C147">
        <v>2025</v>
      </c>
      <c r="D147" t="s">
        <v>68</v>
      </c>
      <c r="E147">
        <v>67489.81</v>
      </c>
      <c r="F147">
        <v>67.099999999999994</v>
      </c>
      <c r="G147">
        <v>239</v>
      </c>
      <c r="H147">
        <v>339.9</v>
      </c>
      <c r="I147">
        <v>6.73</v>
      </c>
      <c r="J147">
        <v>146</v>
      </c>
      <c r="K147">
        <v>480</v>
      </c>
      <c r="L147">
        <v>402</v>
      </c>
      <c r="M147" t="s">
        <v>54</v>
      </c>
      <c r="N147">
        <v>5</v>
      </c>
      <c r="O147" t="s">
        <v>57</v>
      </c>
      <c r="P147">
        <v>28.4</v>
      </c>
      <c r="Q147">
        <v>1692</v>
      </c>
      <c r="R147">
        <v>4</v>
      </c>
      <c r="S147">
        <v>2</v>
      </c>
      <c r="T147" t="s">
        <v>47</v>
      </c>
      <c r="U147" t="s">
        <v>38</v>
      </c>
      <c r="V147">
        <v>226745</v>
      </c>
      <c r="W147">
        <v>3.6</v>
      </c>
      <c r="X147">
        <v>5</v>
      </c>
      <c r="Y147" t="s">
        <v>43</v>
      </c>
      <c r="Z147">
        <v>3.56</v>
      </c>
      <c r="AA147" t="s">
        <v>35</v>
      </c>
    </row>
    <row r="148" spans="1:27" x14ac:dyDescent="0.3">
      <c r="A148" t="s">
        <v>48</v>
      </c>
      <c r="B148" t="s">
        <v>49</v>
      </c>
      <c r="C148">
        <v>2025</v>
      </c>
      <c r="D148" t="s">
        <v>29</v>
      </c>
      <c r="E148">
        <v>99993.15</v>
      </c>
      <c r="F148">
        <v>93.7</v>
      </c>
      <c r="G148">
        <v>336</v>
      </c>
      <c r="H148">
        <v>154</v>
      </c>
      <c r="I148">
        <v>3.15</v>
      </c>
      <c r="J148">
        <v>196</v>
      </c>
      <c r="K148">
        <v>1000</v>
      </c>
      <c r="L148">
        <v>897</v>
      </c>
      <c r="M148" t="s">
        <v>54</v>
      </c>
      <c r="N148">
        <v>5</v>
      </c>
      <c r="O148" t="s">
        <v>40</v>
      </c>
      <c r="P148">
        <v>39.6</v>
      </c>
      <c r="Q148">
        <v>2114</v>
      </c>
      <c r="R148">
        <v>4</v>
      </c>
      <c r="S148">
        <v>1</v>
      </c>
      <c r="T148" t="s">
        <v>51</v>
      </c>
      <c r="U148" t="s">
        <v>38</v>
      </c>
      <c r="V148">
        <v>52100</v>
      </c>
      <c r="W148">
        <v>3.6</v>
      </c>
      <c r="X148">
        <v>3</v>
      </c>
      <c r="Y148" t="s">
        <v>34</v>
      </c>
      <c r="Z148">
        <v>3.59</v>
      </c>
      <c r="AA148" t="s">
        <v>35</v>
      </c>
    </row>
    <row r="149" spans="1:27" x14ac:dyDescent="0.3">
      <c r="A149" t="s">
        <v>76</v>
      </c>
      <c r="B149" t="s">
        <v>98</v>
      </c>
      <c r="C149">
        <v>2024</v>
      </c>
      <c r="D149" t="s">
        <v>63</v>
      </c>
      <c r="E149">
        <v>29445.040000000001</v>
      </c>
      <c r="F149">
        <v>64.2</v>
      </c>
      <c r="G149">
        <v>222</v>
      </c>
      <c r="H149">
        <v>133</v>
      </c>
      <c r="I149">
        <v>5.4</v>
      </c>
      <c r="J149">
        <v>173</v>
      </c>
      <c r="K149">
        <v>180</v>
      </c>
      <c r="L149">
        <v>200</v>
      </c>
      <c r="M149" t="s">
        <v>39</v>
      </c>
      <c r="N149">
        <v>7</v>
      </c>
      <c r="O149" t="s">
        <v>56</v>
      </c>
      <c r="P149">
        <v>30.7</v>
      </c>
      <c r="Q149">
        <v>1684</v>
      </c>
      <c r="R149">
        <v>5</v>
      </c>
      <c r="S149">
        <v>2</v>
      </c>
      <c r="T149" t="s">
        <v>51</v>
      </c>
      <c r="U149" t="s">
        <v>74</v>
      </c>
      <c r="V149">
        <v>53245</v>
      </c>
      <c r="W149">
        <v>3.2</v>
      </c>
      <c r="X149">
        <v>3</v>
      </c>
      <c r="Y149" t="s">
        <v>43</v>
      </c>
      <c r="Z149">
        <v>3.46</v>
      </c>
      <c r="AA149" t="s">
        <v>35</v>
      </c>
    </row>
    <row r="150" spans="1:27" x14ac:dyDescent="0.3">
      <c r="A150" t="s">
        <v>52</v>
      </c>
      <c r="B150" t="s">
        <v>80</v>
      </c>
      <c r="C150">
        <v>2024</v>
      </c>
      <c r="D150" t="s">
        <v>50</v>
      </c>
      <c r="E150">
        <v>57586.87</v>
      </c>
      <c r="F150">
        <v>108.4</v>
      </c>
      <c r="G150">
        <v>364</v>
      </c>
      <c r="H150">
        <v>235.9</v>
      </c>
      <c r="I150">
        <v>5.26</v>
      </c>
      <c r="J150">
        <v>163</v>
      </c>
      <c r="K150">
        <v>428</v>
      </c>
      <c r="L150">
        <v>397</v>
      </c>
      <c r="M150" t="s">
        <v>54</v>
      </c>
      <c r="N150">
        <v>5</v>
      </c>
      <c r="O150" t="s">
        <v>31</v>
      </c>
      <c r="P150">
        <v>69.599999999999994</v>
      </c>
      <c r="Q150">
        <v>2629</v>
      </c>
      <c r="R150">
        <v>4</v>
      </c>
      <c r="S150">
        <v>2</v>
      </c>
      <c r="T150" t="s">
        <v>47</v>
      </c>
      <c r="U150" t="s">
        <v>42</v>
      </c>
      <c r="V150">
        <v>136381</v>
      </c>
      <c r="W150">
        <v>3.8</v>
      </c>
      <c r="X150">
        <v>4</v>
      </c>
      <c r="Y150" t="s">
        <v>43</v>
      </c>
      <c r="Z150">
        <v>3.36</v>
      </c>
      <c r="AA150" t="s">
        <v>35</v>
      </c>
    </row>
    <row r="151" spans="1:27" x14ac:dyDescent="0.3">
      <c r="A151" t="s">
        <v>71</v>
      </c>
      <c r="B151" t="s">
        <v>104</v>
      </c>
      <c r="C151">
        <v>2023</v>
      </c>
      <c r="D151" t="s">
        <v>68</v>
      </c>
      <c r="E151">
        <v>50127.13</v>
      </c>
      <c r="F151">
        <v>47.6</v>
      </c>
      <c r="G151">
        <v>150</v>
      </c>
      <c r="H151">
        <v>55.7</v>
      </c>
      <c r="I151">
        <v>6.75</v>
      </c>
      <c r="J151">
        <v>140</v>
      </c>
      <c r="K151">
        <v>584</v>
      </c>
      <c r="L151">
        <v>556</v>
      </c>
      <c r="M151" t="s">
        <v>39</v>
      </c>
      <c r="N151">
        <v>7</v>
      </c>
      <c r="O151" t="s">
        <v>65</v>
      </c>
      <c r="P151">
        <v>29.6</v>
      </c>
      <c r="Q151">
        <v>1618</v>
      </c>
      <c r="R151">
        <v>4</v>
      </c>
      <c r="S151">
        <v>1</v>
      </c>
      <c r="T151" t="s">
        <v>73</v>
      </c>
      <c r="U151" t="s">
        <v>42</v>
      </c>
      <c r="V151">
        <v>176192</v>
      </c>
      <c r="W151">
        <v>3.2</v>
      </c>
      <c r="X151">
        <v>4</v>
      </c>
      <c r="Y151" t="s">
        <v>43</v>
      </c>
      <c r="Z151">
        <v>3.15</v>
      </c>
      <c r="AA151" t="s">
        <v>35</v>
      </c>
    </row>
    <row r="152" spans="1:27" x14ac:dyDescent="0.3">
      <c r="A152" t="s">
        <v>94</v>
      </c>
      <c r="B152" t="s">
        <v>113</v>
      </c>
      <c r="C152">
        <v>2024</v>
      </c>
      <c r="D152" t="s">
        <v>68</v>
      </c>
      <c r="E152">
        <v>112837.91</v>
      </c>
      <c r="F152">
        <v>61</v>
      </c>
      <c r="G152">
        <v>222</v>
      </c>
      <c r="H152">
        <v>121.7</v>
      </c>
      <c r="I152">
        <v>6.33</v>
      </c>
      <c r="J152">
        <v>144</v>
      </c>
      <c r="K152">
        <v>864</v>
      </c>
      <c r="L152">
        <v>787</v>
      </c>
      <c r="M152" t="s">
        <v>39</v>
      </c>
      <c r="N152">
        <v>7</v>
      </c>
      <c r="O152" t="s">
        <v>65</v>
      </c>
      <c r="P152">
        <v>17.100000000000001</v>
      </c>
      <c r="Q152">
        <v>1591</v>
      </c>
      <c r="R152">
        <v>3</v>
      </c>
      <c r="S152">
        <v>1</v>
      </c>
      <c r="T152" t="s">
        <v>32</v>
      </c>
      <c r="U152" t="s">
        <v>33</v>
      </c>
      <c r="V152">
        <v>45029</v>
      </c>
      <c r="W152">
        <v>3.6</v>
      </c>
      <c r="X152">
        <v>8</v>
      </c>
      <c r="Y152" t="s">
        <v>43</v>
      </c>
      <c r="Z152">
        <v>3.64</v>
      </c>
      <c r="AA152" t="s">
        <v>35</v>
      </c>
    </row>
    <row r="153" spans="1:27" x14ac:dyDescent="0.3">
      <c r="A153" t="s">
        <v>71</v>
      </c>
      <c r="B153" t="s">
        <v>96</v>
      </c>
      <c r="C153">
        <v>2023</v>
      </c>
      <c r="D153" t="s">
        <v>38</v>
      </c>
      <c r="E153">
        <v>29372.26</v>
      </c>
      <c r="F153">
        <v>77</v>
      </c>
      <c r="G153">
        <v>257</v>
      </c>
      <c r="H153">
        <v>100.3</v>
      </c>
      <c r="I153">
        <v>7.52</v>
      </c>
      <c r="J153">
        <v>129</v>
      </c>
      <c r="K153">
        <v>322</v>
      </c>
      <c r="L153">
        <v>336</v>
      </c>
      <c r="M153" t="s">
        <v>30</v>
      </c>
      <c r="N153">
        <v>5</v>
      </c>
      <c r="O153" t="s">
        <v>56</v>
      </c>
      <c r="P153">
        <v>34.5</v>
      </c>
      <c r="Q153">
        <v>1500</v>
      </c>
      <c r="R153">
        <v>4</v>
      </c>
      <c r="S153">
        <v>0</v>
      </c>
      <c r="T153" t="s">
        <v>73</v>
      </c>
      <c r="U153" t="s">
        <v>74</v>
      </c>
      <c r="V153">
        <v>240988</v>
      </c>
      <c r="W153">
        <v>3.5</v>
      </c>
      <c r="X153">
        <v>4</v>
      </c>
      <c r="Y153" t="s">
        <v>61</v>
      </c>
      <c r="Z153">
        <v>3.34</v>
      </c>
      <c r="AA153" t="s">
        <v>35</v>
      </c>
    </row>
    <row r="154" spans="1:27" x14ac:dyDescent="0.3">
      <c r="A154" t="s">
        <v>52</v>
      </c>
      <c r="B154" t="s">
        <v>55</v>
      </c>
      <c r="C154">
        <v>2024</v>
      </c>
      <c r="D154" t="s">
        <v>63</v>
      </c>
      <c r="E154">
        <v>40219.61</v>
      </c>
      <c r="F154">
        <v>80.099999999999994</v>
      </c>
      <c r="G154">
        <v>308</v>
      </c>
      <c r="H154">
        <v>347.6</v>
      </c>
      <c r="I154">
        <v>5.15</v>
      </c>
      <c r="J154">
        <v>171</v>
      </c>
      <c r="K154">
        <v>274</v>
      </c>
      <c r="L154">
        <v>232</v>
      </c>
      <c r="M154" t="s">
        <v>30</v>
      </c>
      <c r="N154">
        <v>5</v>
      </c>
      <c r="O154" t="s">
        <v>57</v>
      </c>
      <c r="P154">
        <v>17</v>
      </c>
      <c r="Q154">
        <v>1547</v>
      </c>
      <c r="R154">
        <v>5</v>
      </c>
      <c r="S154">
        <v>2</v>
      </c>
      <c r="T154" t="s">
        <v>47</v>
      </c>
      <c r="U154" t="s">
        <v>42</v>
      </c>
      <c r="V154">
        <v>429025</v>
      </c>
      <c r="W154">
        <v>3.7</v>
      </c>
      <c r="X154">
        <v>5</v>
      </c>
      <c r="Y154" t="s">
        <v>43</v>
      </c>
      <c r="Z154">
        <v>3.85</v>
      </c>
      <c r="AA154" t="s">
        <v>35</v>
      </c>
    </row>
    <row r="155" spans="1:27" x14ac:dyDescent="0.3">
      <c r="A155" t="s">
        <v>76</v>
      </c>
      <c r="B155" t="s">
        <v>117</v>
      </c>
      <c r="C155">
        <v>2025</v>
      </c>
      <c r="D155" t="s">
        <v>63</v>
      </c>
      <c r="E155">
        <v>51159.74</v>
      </c>
      <c r="F155">
        <v>75.599999999999994</v>
      </c>
      <c r="G155">
        <v>278</v>
      </c>
      <c r="H155">
        <v>128.5</v>
      </c>
      <c r="I155">
        <v>6.46</v>
      </c>
      <c r="J155">
        <v>153</v>
      </c>
      <c r="K155">
        <v>573</v>
      </c>
      <c r="L155">
        <v>520</v>
      </c>
      <c r="M155" t="s">
        <v>30</v>
      </c>
      <c r="N155">
        <v>5</v>
      </c>
      <c r="O155" t="s">
        <v>46</v>
      </c>
      <c r="P155">
        <v>79</v>
      </c>
      <c r="Q155">
        <v>1683</v>
      </c>
      <c r="R155">
        <v>5</v>
      </c>
      <c r="S155">
        <v>1</v>
      </c>
      <c r="T155" t="s">
        <v>51</v>
      </c>
      <c r="U155" t="s">
        <v>42</v>
      </c>
      <c r="V155">
        <v>89226</v>
      </c>
      <c r="W155">
        <v>3.7</v>
      </c>
      <c r="X155">
        <v>4</v>
      </c>
      <c r="Y155" t="s">
        <v>43</v>
      </c>
      <c r="Z155">
        <v>3.68</v>
      </c>
      <c r="AA155" t="s">
        <v>35</v>
      </c>
    </row>
    <row r="156" spans="1:27" x14ac:dyDescent="0.3">
      <c r="A156" t="s">
        <v>107</v>
      </c>
      <c r="B156" t="s">
        <v>121</v>
      </c>
      <c r="C156">
        <v>2024</v>
      </c>
      <c r="D156" t="s">
        <v>38</v>
      </c>
      <c r="E156">
        <v>142936.98000000001</v>
      </c>
      <c r="F156">
        <v>54.2</v>
      </c>
      <c r="G156">
        <v>186</v>
      </c>
      <c r="H156">
        <v>345</v>
      </c>
      <c r="I156">
        <v>7.83</v>
      </c>
      <c r="J156">
        <v>130</v>
      </c>
      <c r="K156">
        <v>677</v>
      </c>
      <c r="L156">
        <v>554</v>
      </c>
      <c r="M156" t="s">
        <v>54</v>
      </c>
      <c r="N156">
        <v>5</v>
      </c>
      <c r="O156" t="s">
        <v>40</v>
      </c>
      <c r="P156">
        <v>67.8</v>
      </c>
      <c r="Q156">
        <v>2128</v>
      </c>
      <c r="R156">
        <v>5</v>
      </c>
      <c r="S156">
        <v>2</v>
      </c>
      <c r="T156" t="s">
        <v>32</v>
      </c>
      <c r="U156" t="s">
        <v>33</v>
      </c>
      <c r="V156">
        <v>23751</v>
      </c>
      <c r="W156">
        <v>3.9</v>
      </c>
      <c r="X156">
        <v>5</v>
      </c>
      <c r="Y156" t="s">
        <v>61</v>
      </c>
      <c r="Z156">
        <v>3.43</v>
      </c>
      <c r="AA156" t="s">
        <v>35</v>
      </c>
    </row>
    <row r="157" spans="1:27" x14ac:dyDescent="0.3">
      <c r="A157" t="s">
        <v>71</v>
      </c>
      <c r="B157" t="s">
        <v>115</v>
      </c>
      <c r="C157">
        <v>2024</v>
      </c>
      <c r="D157" t="s">
        <v>29</v>
      </c>
      <c r="E157">
        <v>99381.36</v>
      </c>
      <c r="F157">
        <v>80.7</v>
      </c>
      <c r="G157">
        <v>289</v>
      </c>
      <c r="H157">
        <v>159.69999999999999</v>
      </c>
      <c r="I157">
        <v>2.61</v>
      </c>
      <c r="J157">
        <v>200</v>
      </c>
      <c r="K157">
        <v>1000</v>
      </c>
      <c r="L157">
        <v>891</v>
      </c>
      <c r="M157" t="s">
        <v>30</v>
      </c>
      <c r="N157">
        <v>5</v>
      </c>
      <c r="O157" t="s">
        <v>31</v>
      </c>
      <c r="P157">
        <v>68.3</v>
      </c>
      <c r="Q157">
        <v>2757</v>
      </c>
      <c r="R157">
        <v>4</v>
      </c>
      <c r="S157">
        <v>0</v>
      </c>
      <c r="T157" t="s">
        <v>73</v>
      </c>
      <c r="U157" t="s">
        <v>38</v>
      </c>
      <c r="V157">
        <v>152043</v>
      </c>
      <c r="W157">
        <v>3.5</v>
      </c>
      <c r="X157">
        <v>4</v>
      </c>
      <c r="Y157" t="s">
        <v>34</v>
      </c>
      <c r="Z157">
        <v>3.58</v>
      </c>
      <c r="AA157" t="s">
        <v>35</v>
      </c>
    </row>
    <row r="158" spans="1:27" x14ac:dyDescent="0.3">
      <c r="A158" t="s">
        <v>91</v>
      </c>
      <c r="B158" t="s">
        <v>97</v>
      </c>
      <c r="C158">
        <v>2024</v>
      </c>
      <c r="D158" t="s">
        <v>38</v>
      </c>
      <c r="E158">
        <v>109123.19</v>
      </c>
      <c r="F158">
        <v>75.8</v>
      </c>
      <c r="G158">
        <v>284</v>
      </c>
      <c r="H158">
        <v>68.8</v>
      </c>
      <c r="I158">
        <v>7.25</v>
      </c>
      <c r="J158">
        <v>136</v>
      </c>
      <c r="K158">
        <v>922</v>
      </c>
      <c r="L158">
        <v>817</v>
      </c>
      <c r="M158" t="s">
        <v>30</v>
      </c>
      <c r="N158">
        <v>5</v>
      </c>
      <c r="O158" t="s">
        <v>46</v>
      </c>
      <c r="P158">
        <v>68.900000000000006</v>
      </c>
      <c r="Q158">
        <v>1611</v>
      </c>
      <c r="R158">
        <v>5</v>
      </c>
      <c r="S158">
        <v>1</v>
      </c>
      <c r="T158" t="s">
        <v>32</v>
      </c>
      <c r="U158" t="s">
        <v>33</v>
      </c>
      <c r="V158">
        <v>54152</v>
      </c>
      <c r="W158">
        <v>3.6</v>
      </c>
      <c r="X158">
        <v>8</v>
      </c>
      <c r="Y158" t="s">
        <v>61</v>
      </c>
      <c r="Z158">
        <v>3.75</v>
      </c>
      <c r="AA158" t="s">
        <v>35</v>
      </c>
    </row>
    <row r="159" spans="1:27" x14ac:dyDescent="0.3">
      <c r="A159" t="s">
        <v>84</v>
      </c>
      <c r="B159" t="s">
        <v>99</v>
      </c>
      <c r="C159">
        <v>2026</v>
      </c>
      <c r="D159" t="s">
        <v>68</v>
      </c>
      <c r="E159">
        <v>51712.72</v>
      </c>
      <c r="F159">
        <v>44.2</v>
      </c>
      <c r="G159">
        <v>150</v>
      </c>
      <c r="H159">
        <v>136.69999999999999</v>
      </c>
      <c r="I159">
        <v>5.73</v>
      </c>
      <c r="J159">
        <v>160</v>
      </c>
      <c r="K159">
        <v>475</v>
      </c>
      <c r="L159">
        <v>390</v>
      </c>
      <c r="M159" t="s">
        <v>54</v>
      </c>
      <c r="N159">
        <v>4</v>
      </c>
      <c r="O159" t="s">
        <v>31</v>
      </c>
      <c r="P159">
        <v>59.7</v>
      </c>
      <c r="Q159">
        <v>2391</v>
      </c>
      <c r="R159">
        <v>4</v>
      </c>
      <c r="S159">
        <v>0</v>
      </c>
      <c r="T159" t="s">
        <v>47</v>
      </c>
      <c r="U159" t="s">
        <v>42</v>
      </c>
      <c r="V159">
        <v>26384</v>
      </c>
      <c r="W159">
        <v>3.1</v>
      </c>
      <c r="X159">
        <v>5</v>
      </c>
      <c r="Y159" t="s">
        <v>43</v>
      </c>
      <c r="Z159">
        <v>3.39</v>
      </c>
      <c r="AA159" t="s">
        <v>35</v>
      </c>
    </row>
    <row r="160" spans="1:27" x14ac:dyDescent="0.3">
      <c r="A160" t="s">
        <v>71</v>
      </c>
      <c r="B160" t="s">
        <v>72</v>
      </c>
      <c r="C160">
        <v>2024</v>
      </c>
      <c r="D160" t="s">
        <v>63</v>
      </c>
      <c r="E160">
        <v>19470.990000000002</v>
      </c>
      <c r="F160">
        <v>82.7</v>
      </c>
      <c r="G160">
        <v>291</v>
      </c>
      <c r="H160">
        <v>127.9</v>
      </c>
      <c r="I160">
        <v>6.57</v>
      </c>
      <c r="J160">
        <v>159</v>
      </c>
      <c r="K160">
        <v>204</v>
      </c>
      <c r="L160">
        <v>201</v>
      </c>
      <c r="M160" t="s">
        <v>39</v>
      </c>
      <c r="N160">
        <v>5</v>
      </c>
      <c r="O160" t="s">
        <v>31</v>
      </c>
      <c r="P160">
        <v>68.2</v>
      </c>
      <c r="Q160">
        <v>2552</v>
      </c>
      <c r="R160">
        <v>3</v>
      </c>
      <c r="S160">
        <v>1</v>
      </c>
      <c r="T160" t="s">
        <v>73</v>
      </c>
      <c r="U160" t="s">
        <v>74</v>
      </c>
      <c r="V160">
        <v>210937</v>
      </c>
      <c r="W160">
        <v>3.5</v>
      </c>
      <c r="X160">
        <v>3</v>
      </c>
      <c r="Y160" t="s">
        <v>43</v>
      </c>
      <c r="Z160">
        <v>3.52</v>
      </c>
      <c r="AA160" t="s">
        <v>35</v>
      </c>
    </row>
    <row r="161" spans="1:27" x14ac:dyDescent="0.3">
      <c r="A161" t="s">
        <v>44</v>
      </c>
      <c r="B161" t="s">
        <v>62</v>
      </c>
      <c r="C161">
        <v>2025</v>
      </c>
      <c r="D161" t="s">
        <v>68</v>
      </c>
      <c r="E161">
        <v>46970.49</v>
      </c>
      <c r="F161">
        <v>53.9</v>
      </c>
      <c r="G161">
        <v>191</v>
      </c>
      <c r="H161">
        <v>61.9</v>
      </c>
      <c r="I161">
        <v>5.21</v>
      </c>
      <c r="J161">
        <v>174</v>
      </c>
      <c r="K161">
        <v>476</v>
      </c>
      <c r="L161">
        <v>426</v>
      </c>
      <c r="M161" t="s">
        <v>30</v>
      </c>
      <c r="N161">
        <v>7</v>
      </c>
      <c r="O161" t="s">
        <v>40</v>
      </c>
      <c r="P161">
        <v>45.1</v>
      </c>
      <c r="Q161">
        <v>1866</v>
      </c>
      <c r="R161">
        <v>4</v>
      </c>
      <c r="S161">
        <v>1</v>
      </c>
      <c r="T161" t="s">
        <v>47</v>
      </c>
      <c r="U161" t="s">
        <v>42</v>
      </c>
      <c r="V161">
        <v>6914</v>
      </c>
      <c r="W161">
        <v>3.2</v>
      </c>
      <c r="X161">
        <v>4</v>
      </c>
      <c r="Y161" t="s">
        <v>43</v>
      </c>
      <c r="Z161">
        <v>3.54</v>
      </c>
      <c r="AA161" t="s">
        <v>43</v>
      </c>
    </row>
    <row r="162" spans="1:27" x14ac:dyDescent="0.3">
      <c r="A162" t="s">
        <v>27</v>
      </c>
      <c r="B162" t="s">
        <v>28</v>
      </c>
      <c r="C162">
        <v>2025</v>
      </c>
      <c r="D162" t="s">
        <v>50</v>
      </c>
      <c r="E162">
        <v>93619.57</v>
      </c>
      <c r="F162">
        <v>83.5</v>
      </c>
      <c r="G162">
        <v>289</v>
      </c>
      <c r="H162">
        <v>76.7</v>
      </c>
      <c r="I162">
        <v>5.01</v>
      </c>
      <c r="J162">
        <v>172</v>
      </c>
      <c r="K162">
        <v>1000</v>
      </c>
      <c r="L162">
        <v>912</v>
      </c>
      <c r="M162" t="s">
        <v>54</v>
      </c>
      <c r="N162">
        <v>5</v>
      </c>
      <c r="O162" t="s">
        <v>65</v>
      </c>
      <c r="P162">
        <v>19.600000000000001</v>
      </c>
      <c r="Q162">
        <v>1697</v>
      </c>
      <c r="R162">
        <v>5</v>
      </c>
      <c r="S162">
        <v>1</v>
      </c>
      <c r="T162" t="s">
        <v>32</v>
      </c>
      <c r="U162" t="s">
        <v>38</v>
      </c>
      <c r="V162">
        <v>222583</v>
      </c>
      <c r="W162">
        <v>3.4</v>
      </c>
      <c r="X162">
        <v>3</v>
      </c>
      <c r="Y162" t="s">
        <v>43</v>
      </c>
      <c r="Z162">
        <v>3.46</v>
      </c>
      <c r="AA162" t="s">
        <v>35</v>
      </c>
    </row>
    <row r="163" spans="1:27" x14ac:dyDescent="0.3">
      <c r="A163" t="s">
        <v>91</v>
      </c>
      <c r="B163" t="s">
        <v>112</v>
      </c>
      <c r="C163">
        <v>2025</v>
      </c>
      <c r="D163" t="s">
        <v>50</v>
      </c>
      <c r="E163">
        <v>124852.49</v>
      </c>
      <c r="F163">
        <v>85.3</v>
      </c>
      <c r="G163">
        <v>324</v>
      </c>
      <c r="H163">
        <v>119.3</v>
      </c>
      <c r="I163">
        <v>5.97</v>
      </c>
      <c r="J163">
        <v>158</v>
      </c>
      <c r="K163">
        <v>1000</v>
      </c>
      <c r="L163">
        <v>865</v>
      </c>
      <c r="M163" t="s">
        <v>39</v>
      </c>
      <c r="N163">
        <v>7</v>
      </c>
      <c r="O163" t="s">
        <v>65</v>
      </c>
      <c r="P163">
        <v>24.9</v>
      </c>
      <c r="Q163">
        <v>1872</v>
      </c>
      <c r="R163">
        <v>3</v>
      </c>
      <c r="S163">
        <v>1</v>
      </c>
      <c r="T163" t="s">
        <v>32</v>
      </c>
      <c r="U163" t="s">
        <v>33</v>
      </c>
      <c r="V163">
        <v>51096</v>
      </c>
      <c r="W163">
        <v>3.4</v>
      </c>
      <c r="X163">
        <v>7</v>
      </c>
      <c r="Y163" t="s">
        <v>43</v>
      </c>
      <c r="Z163">
        <v>3.8</v>
      </c>
      <c r="AA163" t="s">
        <v>35</v>
      </c>
    </row>
    <row r="164" spans="1:27" x14ac:dyDescent="0.3">
      <c r="A164" t="s">
        <v>91</v>
      </c>
      <c r="B164" t="s">
        <v>122</v>
      </c>
      <c r="C164">
        <v>2025</v>
      </c>
      <c r="D164" t="s">
        <v>68</v>
      </c>
      <c r="E164">
        <v>97046.62</v>
      </c>
      <c r="F164">
        <v>60</v>
      </c>
      <c r="G164">
        <v>209</v>
      </c>
      <c r="H164">
        <v>79.599999999999994</v>
      </c>
      <c r="I164">
        <v>7.79</v>
      </c>
      <c r="J164">
        <v>131</v>
      </c>
      <c r="K164">
        <v>788</v>
      </c>
      <c r="L164">
        <v>683</v>
      </c>
      <c r="M164" t="s">
        <v>30</v>
      </c>
      <c r="N164">
        <v>5</v>
      </c>
      <c r="O164" t="s">
        <v>56</v>
      </c>
      <c r="P164">
        <v>18.3</v>
      </c>
      <c r="Q164">
        <v>1510</v>
      </c>
      <c r="R164">
        <v>5</v>
      </c>
      <c r="S164">
        <v>2</v>
      </c>
      <c r="T164" t="s">
        <v>32</v>
      </c>
      <c r="U164" t="s">
        <v>38</v>
      </c>
      <c r="V164">
        <v>66065</v>
      </c>
      <c r="W164">
        <v>3.4</v>
      </c>
      <c r="X164">
        <v>5</v>
      </c>
      <c r="Y164" t="s">
        <v>61</v>
      </c>
      <c r="Z164">
        <v>3.48</v>
      </c>
      <c r="AA164" t="s">
        <v>35</v>
      </c>
    </row>
    <row r="165" spans="1:27" x14ac:dyDescent="0.3">
      <c r="A165" t="s">
        <v>76</v>
      </c>
      <c r="B165" t="s">
        <v>98</v>
      </c>
      <c r="C165">
        <v>2021</v>
      </c>
      <c r="D165" t="s">
        <v>38</v>
      </c>
      <c r="E165">
        <v>81529.22</v>
      </c>
      <c r="F165">
        <v>52</v>
      </c>
      <c r="G165">
        <v>173</v>
      </c>
      <c r="H165">
        <v>132.4</v>
      </c>
      <c r="I165">
        <v>5.26</v>
      </c>
      <c r="J165">
        <v>175</v>
      </c>
      <c r="K165">
        <v>1000</v>
      </c>
      <c r="L165">
        <v>933</v>
      </c>
      <c r="M165" t="s">
        <v>30</v>
      </c>
      <c r="N165">
        <v>5</v>
      </c>
      <c r="O165" t="s">
        <v>31</v>
      </c>
      <c r="P165">
        <v>70.7</v>
      </c>
      <c r="Q165">
        <v>2400</v>
      </c>
      <c r="R165">
        <v>4</v>
      </c>
      <c r="S165">
        <v>0</v>
      </c>
      <c r="T165" t="s">
        <v>51</v>
      </c>
      <c r="U165" t="s">
        <v>38</v>
      </c>
      <c r="V165">
        <v>137712</v>
      </c>
      <c r="W165">
        <v>3.3</v>
      </c>
      <c r="X165">
        <v>4</v>
      </c>
      <c r="Y165" t="s">
        <v>43</v>
      </c>
      <c r="Z165">
        <v>3.33</v>
      </c>
      <c r="AA165" t="s">
        <v>35</v>
      </c>
    </row>
    <row r="166" spans="1:27" x14ac:dyDescent="0.3">
      <c r="A166" t="s">
        <v>52</v>
      </c>
      <c r="B166" t="s">
        <v>53</v>
      </c>
      <c r="C166">
        <v>2023</v>
      </c>
      <c r="D166" t="s">
        <v>38</v>
      </c>
      <c r="E166">
        <v>123494.48</v>
      </c>
      <c r="F166">
        <v>79.099999999999994</v>
      </c>
      <c r="G166">
        <v>283</v>
      </c>
      <c r="H166">
        <v>211.3</v>
      </c>
      <c r="I166">
        <v>5.34</v>
      </c>
      <c r="J166">
        <v>175</v>
      </c>
      <c r="K166">
        <v>888</v>
      </c>
      <c r="L166">
        <v>781</v>
      </c>
      <c r="M166" t="s">
        <v>30</v>
      </c>
      <c r="N166">
        <v>7</v>
      </c>
      <c r="O166" t="s">
        <v>40</v>
      </c>
      <c r="P166">
        <v>68.900000000000006</v>
      </c>
      <c r="Q166">
        <v>2083</v>
      </c>
      <c r="R166">
        <v>5</v>
      </c>
      <c r="S166">
        <v>3</v>
      </c>
      <c r="T166" t="s">
        <v>47</v>
      </c>
      <c r="U166" t="s">
        <v>33</v>
      </c>
      <c r="V166">
        <v>228731</v>
      </c>
      <c r="W166">
        <v>3.4</v>
      </c>
      <c r="X166">
        <v>4</v>
      </c>
      <c r="Y166" t="s">
        <v>43</v>
      </c>
      <c r="Z166">
        <v>3.58</v>
      </c>
      <c r="AA166" t="s">
        <v>35</v>
      </c>
    </row>
    <row r="167" spans="1:27" x14ac:dyDescent="0.3">
      <c r="A167" t="s">
        <v>58</v>
      </c>
      <c r="B167" t="s">
        <v>111</v>
      </c>
      <c r="C167">
        <v>2024</v>
      </c>
      <c r="D167" t="s">
        <v>38</v>
      </c>
      <c r="E167">
        <v>194076.68</v>
      </c>
      <c r="F167">
        <v>41.1</v>
      </c>
      <c r="G167">
        <v>160</v>
      </c>
      <c r="H167">
        <v>133.6</v>
      </c>
      <c r="I167">
        <v>7.92</v>
      </c>
      <c r="J167">
        <v>136</v>
      </c>
      <c r="K167">
        <v>1000</v>
      </c>
      <c r="L167">
        <v>932</v>
      </c>
      <c r="M167" t="s">
        <v>54</v>
      </c>
      <c r="N167">
        <v>5</v>
      </c>
      <c r="O167" t="s">
        <v>56</v>
      </c>
      <c r="P167">
        <v>39.6</v>
      </c>
      <c r="Q167">
        <v>1581</v>
      </c>
      <c r="R167">
        <v>3</v>
      </c>
      <c r="S167">
        <v>1</v>
      </c>
      <c r="T167" t="s">
        <v>32</v>
      </c>
      <c r="U167" t="s">
        <v>33</v>
      </c>
      <c r="V167">
        <v>69583</v>
      </c>
      <c r="W167">
        <v>3.7</v>
      </c>
      <c r="X167">
        <v>7</v>
      </c>
      <c r="Y167" t="s">
        <v>61</v>
      </c>
      <c r="Z167">
        <v>3.89</v>
      </c>
      <c r="AA167" t="s">
        <v>35</v>
      </c>
    </row>
    <row r="168" spans="1:27" x14ac:dyDescent="0.3">
      <c r="A168" t="s">
        <v>71</v>
      </c>
      <c r="B168" t="s">
        <v>115</v>
      </c>
      <c r="C168">
        <v>2021</v>
      </c>
      <c r="D168" t="s">
        <v>68</v>
      </c>
      <c r="E168">
        <v>47541.74</v>
      </c>
      <c r="F168">
        <v>75.3</v>
      </c>
      <c r="G168">
        <v>274</v>
      </c>
      <c r="H168">
        <v>83.8</v>
      </c>
      <c r="I168">
        <v>7.74</v>
      </c>
      <c r="J168">
        <v>133</v>
      </c>
      <c r="K168">
        <v>520</v>
      </c>
      <c r="L168">
        <v>490</v>
      </c>
      <c r="M168" t="s">
        <v>39</v>
      </c>
      <c r="N168">
        <v>5</v>
      </c>
      <c r="O168" t="s">
        <v>40</v>
      </c>
      <c r="P168">
        <v>46</v>
      </c>
      <c r="Q168">
        <v>2063</v>
      </c>
      <c r="R168">
        <v>3</v>
      </c>
      <c r="S168">
        <v>1</v>
      </c>
      <c r="T168" t="s">
        <v>73</v>
      </c>
      <c r="U168" t="s">
        <v>42</v>
      </c>
      <c r="V168">
        <v>230454</v>
      </c>
      <c r="W168">
        <v>3.4</v>
      </c>
      <c r="X168">
        <v>5</v>
      </c>
      <c r="Y168" t="s">
        <v>61</v>
      </c>
      <c r="Z168">
        <v>3.64</v>
      </c>
      <c r="AA168" t="s">
        <v>35</v>
      </c>
    </row>
    <row r="169" spans="1:27" x14ac:dyDescent="0.3">
      <c r="A169" t="s">
        <v>52</v>
      </c>
      <c r="B169" t="s">
        <v>64</v>
      </c>
      <c r="C169">
        <v>2022</v>
      </c>
      <c r="D169" t="s">
        <v>50</v>
      </c>
      <c r="E169">
        <v>133033.76</v>
      </c>
      <c r="F169">
        <v>83.6</v>
      </c>
      <c r="G169">
        <v>310</v>
      </c>
      <c r="H169">
        <v>331.6</v>
      </c>
      <c r="I169">
        <v>4.49</v>
      </c>
      <c r="J169">
        <v>181</v>
      </c>
      <c r="K169">
        <v>932</v>
      </c>
      <c r="L169">
        <v>846</v>
      </c>
      <c r="M169" t="s">
        <v>30</v>
      </c>
      <c r="N169">
        <v>7</v>
      </c>
      <c r="O169" t="s">
        <v>57</v>
      </c>
      <c r="P169">
        <v>34</v>
      </c>
      <c r="Q169">
        <v>1500</v>
      </c>
      <c r="R169">
        <v>5</v>
      </c>
      <c r="S169">
        <v>2</v>
      </c>
      <c r="T169" t="s">
        <v>47</v>
      </c>
      <c r="U169" t="s">
        <v>33</v>
      </c>
      <c r="V169">
        <v>213496</v>
      </c>
      <c r="W169">
        <v>3.8</v>
      </c>
      <c r="X169">
        <v>5</v>
      </c>
      <c r="Y169" t="s">
        <v>43</v>
      </c>
      <c r="Z169">
        <v>3.71</v>
      </c>
      <c r="AA169" t="s">
        <v>35</v>
      </c>
    </row>
    <row r="170" spans="1:27" x14ac:dyDescent="0.3">
      <c r="A170" t="s">
        <v>52</v>
      </c>
      <c r="B170" t="s">
        <v>86</v>
      </c>
      <c r="C170">
        <v>2023</v>
      </c>
      <c r="D170" t="s">
        <v>38</v>
      </c>
      <c r="E170">
        <v>41055.46</v>
      </c>
      <c r="F170">
        <v>66.5</v>
      </c>
      <c r="G170">
        <v>234</v>
      </c>
      <c r="H170">
        <v>322.89999999999998</v>
      </c>
      <c r="I170">
        <v>5.98</v>
      </c>
      <c r="J170">
        <v>157</v>
      </c>
      <c r="K170">
        <v>305</v>
      </c>
      <c r="L170">
        <v>223</v>
      </c>
      <c r="M170" t="s">
        <v>30</v>
      </c>
      <c r="N170">
        <v>5</v>
      </c>
      <c r="O170" t="s">
        <v>31</v>
      </c>
      <c r="P170">
        <v>57.8</v>
      </c>
      <c r="Q170">
        <v>2601</v>
      </c>
      <c r="R170">
        <v>5</v>
      </c>
      <c r="S170">
        <v>3</v>
      </c>
      <c r="T170" t="s">
        <v>47</v>
      </c>
      <c r="U170" t="s">
        <v>42</v>
      </c>
      <c r="V170">
        <v>203412</v>
      </c>
      <c r="W170">
        <v>3.8</v>
      </c>
      <c r="X170">
        <v>4</v>
      </c>
      <c r="Y170" t="s">
        <v>43</v>
      </c>
      <c r="Z170">
        <v>3.52</v>
      </c>
      <c r="AA170" t="s">
        <v>35</v>
      </c>
    </row>
    <row r="171" spans="1:27" x14ac:dyDescent="0.3">
      <c r="A171" t="s">
        <v>48</v>
      </c>
      <c r="B171" t="s">
        <v>123</v>
      </c>
      <c r="C171">
        <v>2022</v>
      </c>
      <c r="D171" t="s">
        <v>63</v>
      </c>
      <c r="E171">
        <v>59652.7</v>
      </c>
      <c r="F171">
        <v>67.900000000000006</v>
      </c>
      <c r="G171">
        <v>238</v>
      </c>
      <c r="H171">
        <v>84.3</v>
      </c>
      <c r="I171">
        <v>5.99</v>
      </c>
      <c r="J171">
        <v>156</v>
      </c>
      <c r="K171">
        <v>588</v>
      </c>
      <c r="L171">
        <v>557</v>
      </c>
      <c r="M171" t="s">
        <v>54</v>
      </c>
      <c r="N171">
        <v>5</v>
      </c>
      <c r="O171" t="s">
        <v>40</v>
      </c>
      <c r="P171">
        <v>64.2</v>
      </c>
      <c r="Q171">
        <v>1917</v>
      </c>
      <c r="R171">
        <v>5</v>
      </c>
      <c r="S171">
        <v>0</v>
      </c>
      <c r="T171" t="s">
        <v>51</v>
      </c>
      <c r="U171" t="s">
        <v>42</v>
      </c>
      <c r="V171">
        <v>145797</v>
      </c>
      <c r="W171">
        <v>3.6</v>
      </c>
      <c r="X171">
        <v>3</v>
      </c>
      <c r="Y171" t="s">
        <v>43</v>
      </c>
      <c r="Z171">
        <v>3.51</v>
      </c>
      <c r="AA171" t="s">
        <v>35</v>
      </c>
    </row>
    <row r="172" spans="1:27" x14ac:dyDescent="0.3">
      <c r="A172" t="s">
        <v>91</v>
      </c>
      <c r="B172" t="s">
        <v>124</v>
      </c>
      <c r="C172">
        <v>2023</v>
      </c>
      <c r="D172" t="s">
        <v>50</v>
      </c>
      <c r="E172">
        <v>76874.69</v>
      </c>
      <c r="F172">
        <v>96.7</v>
      </c>
      <c r="G172">
        <v>338</v>
      </c>
      <c r="H172">
        <v>51.5</v>
      </c>
      <c r="I172">
        <v>5.84</v>
      </c>
      <c r="J172">
        <v>159</v>
      </c>
      <c r="K172">
        <v>528</v>
      </c>
      <c r="L172">
        <v>453</v>
      </c>
      <c r="M172" t="s">
        <v>30</v>
      </c>
      <c r="N172">
        <v>7</v>
      </c>
      <c r="O172" t="s">
        <v>65</v>
      </c>
      <c r="P172">
        <v>23.8</v>
      </c>
      <c r="Q172">
        <v>1596</v>
      </c>
      <c r="R172">
        <v>5</v>
      </c>
      <c r="S172">
        <v>2</v>
      </c>
      <c r="T172" t="s">
        <v>32</v>
      </c>
      <c r="U172" t="s">
        <v>38</v>
      </c>
      <c r="V172">
        <v>29925</v>
      </c>
      <c r="W172">
        <v>3.9</v>
      </c>
      <c r="X172">
        <v>5</v>
      </c>
      <c r="Y172" t="s">
        <v>43</v>
      </c>
      <c r="Z172">
        <v>3.5</v>
      </c>
      <c r="AA172" t="s">
        <v>35</v>
      </c>
    </row>
    <row r="173" spans="1:27" x14ac:dyDescent="0.3">
      <c r="A173" t="s">
        <v>52</v>
      </c>
      <c r="B173" t="s">
        <v>55</v>
      </c>
      <c r="C173">
        <v>2024</v>
      </c>
      <c r="D173" t="s">
        <v>68</v>
      </c>
      <c r="E173">
        <v>31623.119999999999</v>
      </c>
      <c r="F173">
        <v>77.5</v>
      </c>
      <c r="G173">
        <v>246</v>
      </c>
      <c r="H173">
        <v>331.8</v>
      </c>
      <c r="I173">
        <v>5.59</v>
      </c>
      <c r="J173">
        <v>165</v>
      </c>
      <c r="K173">
        <v>161</v>
      </c>
      <c r="L173">
        <v>200</v>
      </c>
      <c r="M173" t="s">
        <v>39</v>
      </c>
      <c r="N173">
        <v>7</v>
      </c>
      <c r="O173" t="s">
        <v>56</v>
      </c>
      <c r="P173">
        <v>28</v>
      </c>
      <c r="Q173">
        <v>1500</v>
      </c>
      <c r="R173">
        <v>5</v>
      </c>
      <c r="S173">
        <v>2</v>
      </c>
      <c r="T173" t="s">
        <v>47</v>
      </c>
      <c r="U173" t="s">
        <v>74</v>
      </c>
      <c r="V173">
        <v>457458</v>
      </c>
      <c r="W173">
        <v>3.8</v>
      </c>
      <c r="X173">
        <v>5</v>
      </c>
      <c r="Y173" t="s">
        <v>43</v>
      </c>
      <c r="Z173">
        <v>3.17</v>
      </c>
      <c r="AA173" t="s">
        <v>35</v>
      </c>
    </row>
    <row r="174" spans="1:27" x14ac:dyDescent="0.3">
      <c r="A174" t="s">
        <v>76</v>
      </c>
      <c r="B174" t="s">
        <v>77</v>
      </c>
      <c r="C174">
        <v>2025</v>
      </c>
      <c r="D174" t="s">
        <v>50</v>
      </c>
      <c r="E174">
        <v>43168.2</v>
      </c>
      <c r="F174">
        <v>97.5</v>
      </c>
      <c r="G174">
        <v>334</v>
      </c>
      <c r="H174">
        <v>115.6</v>
      </c>
      <c r="I174">
        <v>5.07</v>
      </c>
      <c r="J174">
        <v>179</v>
      </c>
      <c r="K174">
        <v>444</v>
      </c>
      <c r="L174">
        <v>434</v>
      </c>
      <c r="M174" t="s">
        <v>39</v>
      </c>
      <c r="N174">
        <v>5</v>
      </c>
      <c r="O174" t="s">
        <v>46</v>
      </c>
      <c r="P174">
        <v>63.4</v>
      </c>
      <c r="Q174">
        <v>1663</v>
      </c>
      <c r="R174">
        <v>4</v>
      </c>
      <c r="S174">
        <v>0</v>
      </c>
      <c r="T174" t="s">
        <v>51</v>
      </c>
      <c r="U174" t="s">
        <v>42</v>
      </c>
      <c r="V174">
        <v>84174</v>
      </c>
      <c r="W174">
        <v>3.3</v>
      </c>
      <c r="X174">
        <v>3</v>
      </c>
      <c r="Y174" t="s">
        <v>43</v>
      </c>
      <c r="Z174">
        <v>3.43</v>
      </c>
      <c r="AA174" t="s">
        <v>35</v>
      </c>
    </row>
    <row r="175" spans="1:27" x14ac:dyDescent="0.3">
      <c r="A175" t="s">
        <v>71</v>
      </c>
      <c r="B175" t="s">
        <v>90</v>
      </c>
      <c r="C175">
        <v>2024</v>
      </c>
      <c r="D175" t="s">
        <v>63</v>
      </c>
      <c r="E175">
        <v>77144.36</v>
      </c>
      <c r="F175">
        <v>70.900000000000006</v>
      </c>
      <c r="G175">
        <v>259</v>
      </c>
      <c r="H175">
        <v>60.7</v>
      </c>
      <c r="I175">
        <v>7.34</v>
      </c>
      <c r="J175">
        <v>137</v>
      </c>
      <c r="K175">
        <v>850</v>
      </c>
      <c r="L175">
        <v>788</v>
      </c>
      <c r="M175" t="s">
        <v>39</v>
      </c>
      <c r="N175">
        <v>5</v>
      </c>
      <c r="O175" t="s">
        <v>56</v>
      </c>
      <c r="P175">
        <v>22.8</v>
      </c>
      <c r="Q175">
        <v>1656</v>
      </c>
      <c r="R175">
        <v>4</v>
      </c>
      <c r="S175">
        <v>0</v>
      </c>
      <c r="T175" t="s">
        <v>73</v>
      </c>
      <c r="U175" t="s">
        <v>38</v>
      </c>
      <c r="V175">
        <v>140199</v>
      </c>
      <c r="W175">
        <v>3.6</v>
      </c>
      <c r="X175">
        <v>5</v>
      </c>
      <c r="Y175" t="s">
        <v>61</v>
      </c>
      <c r="Z175">
        <v>3.65</v>
      </c>
      <c r="AA175" t="s">
        <v>35</v>
      </c>
    </row>
    <row r="176" spans="1:27" x14ac:dyDescent="0.3">
      <c r="A176" t="s">
        <v>91</v>
      </c>
      <c r="B176" t="s">
        <v>122</v>
      </c>
      <c r="C176">
        <v>2023</v>
      </c>
      <c r="D176" t="s">
        <v>63</v>
      </c>
      <c r="E176">
        <v>58951.66</v>
      </c>
      <c r="F176">
        <v>72.400000000000006</v>
      </c>
      <c r="G176">
        <v>252</v>
      </c>
      <c r="H176">
        <v>112.7</v>
      </c>
      <c r="I176">
        <v>5.44</v>
      </c>
      <c r="J176">
        <v>167</v>
      </c>
      <c r="K176">
        <v>253</v>
      </c>
      <c r="L176">
        <v>248</v>
      </c>
      <c r="M176" t="s">
        <v>39</v>
      </c>
      <c r="N176">
        <v>5</v>
      </c>
      <c r="O176" t="s">
        <v>46</v>
      </c>
      <c r="P176">
        <v>63.5</v>
      </c>
      <c r="Q176">
        <v>1615</v>
      </c>
      <c r="R176">
        <v>5</v>
      </c>
      <c r="S176">
        <v>1</v>
      </c>
      <c r="T176" t="s">
        <v>32</v>
      </c>
      <c r="U176" t="s">
        <v>42</v>
      </c>
      <c r="V176">
        <v>20422</v>
      </c>
      <c r="W176">
        <v>3.4</v>
      </c>
      <c r="X176">
        <v>8</v>
      </c>
      <c r="Y176" t="s">
        <v>43</v>
      </c>
      <c r="Z176">
        <v>3.48</v>
      </c>
      <c r="AA176" t="s">
        <v>35</v>
      </c>
    </row>
    <row r="177" spans="1:27" x14ac:dyDescent="0.3">
      <c r="A177" t="s">
        <v>52</v>
      </c>
      <c r="B177" t="s">
        <v>80</v>
      </c>
      <c r="C177">
        <v>2023</v>
      </c>
      <c r="D177" t="s">
        <v>63</v>
      </c>
      <c r="E177">
        <v>113861.27</v>
      </c>
      <c r="F177">
        <v>81.2</v>
      </c>
      <c r="G177">
        <v>306</v>
      </c>
      <c r="H177">
        <v>220.4</v>
      </c>
      <c r="I177">
        <v>7.93</v>
      </c>
      <c r="J177">
        <v>131</v>
      </c>
      <c r="K177">
        <v>809</v>
      </c>
      <c r="L177">
        <v>719</v>
      </c>
      <c r="M177" t="s">
        <v>30</v>
      </c>
      <c r="N177">
        <v>7</v>
      </c>
      <c r="O177" t="s">
        <v>31</v>
      </c>
      <c r="P177">
        <v>61.3</v>
      </c>
      <c r="Q177">
        <v>2449</v>
      </c>
      <c r="R177">
        <v>5</v>
      </c>
      <c r="S177">
        <v>2</v>
      </c>
      <c r="T177" t="s">
        <v>47</v>
      </c>
      <c r="U177" t="s">
        <v>33</v>
      </c>
      <c r="V177">
        <v>162424</v>
      </c>
      <c r="W177">
        <v>3.8</v>
      </c>
      <c r="X177">
        <v>4</v>
      </c>
      <c r="Y177" t="s">
        <v>61</v>
      </c>
      <c r="Z177">
        <v>3.77</v>
      </c>
      <c r="AA177" t="s">
        <v>35</v>
      </c>
    </row>
    <row r="178" spans="1:27" x14ac:dyDescent="0.3">
      <c r="A178" t="s">
        <v>44</v>
      </c>
      <c r="B178" t="s">
        <v>62</v>
      </c>
      <c r="C178">
        <v>2022</v>
      </c>
      <c r="D178" t="s">
        <v>63</v>
      </c>
      <c r="E178">
        <v>24572.41</v>
      </c>
      <c r="F178">
        <v>46.5</v>
      </c>
      <c r="G178">
        <v>182</v>
      </c>
      <c r="H178">
        <v>128.69999999999999</v>
      </c>
      <c r="I178">
        <v>5.73</v>
      </c>
      <c r="J178">
        <v>168</v>
      </c>
      <c r="K178">
        <v>150</v>
      </c>
      <c r="L178">
        <v>200</v>
      </c>
      <c r="M178" t="s">
        <v>30</v>
      </c>
      <c r="N178">
        <v>7</v>
      </c>
      <c r="O178" t="s">
        <v>31</v>
      </c>
      <c r="P178">
        <v>60.8</v>
      </c>
      <c r="Q178">
        <v>2500</v>
      </c>
      <c r="R178">
        <v>4</v>
      </c>
      <c r="S178">
        <v>1</v>
      </c>
      <c r="T178" t="s">
        <v>47</v>
      </c>
      <c r="U178" t="s">
        <v>74</v>
      </c>
      <c r="V178">
        <v>9346</v>
      </c>
      <c r="W178">
        <v>3.5</v>
      </c>
      <c r="X178">
        <v>3</v>
      </c>
      <c r="Y178" t="s">
        <v>43</v>
      </c>
      <c r="Z178">
        <v>3.91</v>
      </c>
      <c r="AA178" t="s">
        <v>43</v>
      </c>
    </row>
    <row r="179" spans="1:27" x14ac:dyDescent="0.3">
      <c r="A179" t="s">
        <v>27</v>
      </c>
      <c r="B179" t="s">
        <v>78</v>
      </c>
      <c r="C179">
        <v>2025</v>
      </c>
      <c r="D179" t="s">
        <v>38</v>
      </c>
      <c r="E179">
        <v>67323.210000000006</v>
      </c>
      <c r="F179">
        <v>57.6</v>
      </c>
      <c r="G179">
        <v>187</v>
      </c>
      <c r="H179">
        <v>141</v>
      </c>
      <c r="I179">
        <v>5.46</v>
      </c>
      <c r="J179">
        <v>172</v>
      </c>
      <c r="K179">
        <v>684</v>
      </c>
      <c r="L179">
        <v>618</v>
      </c>
      <c r="M179" t="s">
        <v>54</v>
      </c>
      <c r="N179">
        <v>5</v>
      </c>
      <c r="O179" t="s">
        <v>46</v>
      </c>
      <c r="P179">
        <v>64.2</v>
      </c>
      <c r="Q179">
        <v>1500</v>
      </c>
      <c r="R179">
        <v>5</v>
      </c>
      <c r="S179">
        <v>0</v>
      </c>
      <c r="T179" t="s">
        <v>32</v>
      </c>
      <c r="U179" t="s">
        <v>38</v>
      </c>
      <c r="V179">
        <v>295974</v>
      </c>
      <c r="W179">
        <v>3.5</v>
      </c>
      <c r="X179">
        <v>5</v>
      </c>
      <c r="Y179" t="s">
        <v>43</v>
      </c>
      <c r="Z179">
        <v>3.25</v>
      </c>
      <c r="AA179" t="s">
        <v>35</v>
      </c>
    </row>
    <row r="180" spans="1:27" x14ac:dyDescent="0.3">
      <c r="A180" t="s">
        <v>100</v>
      </c>
      <c r="B180" t="s">
        <v>101</v>
      </c>
      <c r="C180">
        <v>2025</v>
      </c>
      <c r="D180" t="s">
        <v>50</v>
      </c>
      <c r="E180">
        <v>108463.22</v>
      </c>
      <c r="F180">
        <v>80</v>
      </c>
      <c r="G180">
        <v>263</v>
      </c>
      <c r="H180">
        <v>101.8</v>
      </c>
      <c r="I180">
        <v>4.01</v>
      </c>
      <c r="J180">
        <v>200</v>
      </c>
      <c r="K180">
        <v>1000</v>
      </c>
      <c r="L180">
        <v>882</v>
      </c>
      <c r="M180" t="s">
        <v>39</v>
      </c>
      <c r="N180">
        <v>7</v>
      </c>
      <c r="O180" t="s">
        <v>40</v>
      </c>
      <c r="P180">
        <v>41.2</v>
      </c>
      <c r="Q180">
        <v>1856</v>
      </c>
      <c r="R180">
        <v>3</v>
      </c>
      <c r="S180">
        <v>1</v>
      </c>
      <c r="T180" t="s">
        <v>73</v>
      </c>
      <c r="U180" t="s">
        <v>33</v>
      </c>
      <c r="V180">
        <v>18130</v>
      </c>
      <c r="W180">
        <v>3.2</v>
      </c>
      <c r="X180">
        <v>4</v>
      </c>
      <c r="Y180" t="s">
        <v>43</v>
      </c>
      <c r="Z180">
        <v>3.29</v>
      </c>
      <c r="AA180" t="s">
        <v>43</v>
      </c>
    </row>
    <row r="181" spans="1:27" x14ac:dyDescent="0.3">
      <c r="A181" t="s">
        <v>52</v>
      </c>
      <c r="B181" t="s">
        <v>86</v>
      </c>
      <c r="C181">
        <v>2025</v>
      </c>
      <c r="D181" t="s">
        <v>63</v>
      </c>
      <c r="E181">
        <v>71274.600000000006</v>
      </c>
      <c r="F181">
        <v>49.2</v>
      </c>
      <c r="G181">
        <v>150</v>
      </c>
      <c r="H181">
        <v>349.3</v>
      </c>
      <c r="I181">
        <v>6.44</v>
      </c>
      <c r="J181">
        <v>160</v>
      </c>
      <c r="K181">
        <v>586</v>
      </c>
      <c r="L181">
        <v>509</v>
      </c>
      <c r="M181" t="s">
        <v>54</v>
      </c>
      <c r="N181">
        <v>7</v>
      </c>
      <c r="O181" t="s">
        <v>46</v>
      </c>
      <c r="P181">
        <v>60</v>
      </c>
      <c r="Q181">
        <v>1837</v>
      </c>
      <c r="R181">
        <v>5</v>
      </c>
      <c r="S181">
        <v>2</v>
      </c>
      <c r="T181" t="s">
        <v>47</v>
      </c>
      <c r="U181" t="s">
        <v>38</v>
      </c>
      <c r="V181">
        <v>132658</v>
      </c>
      <c r="W181">
        <v>3.6</v>
      </c>
      <c r="X181">
        <v>4</v>
      </c>
      <c r="Y181" t="s">
        <v>43</v>
      </c>
      <c r="Z181">
        <v>3.05</v>
      </c>
      <c r="AA181" t="s">
        <v>35</v>
      </c>
    </row>
    <row r="182" spans="1:27" x14ac:dyDescent="0.3">
      <c r="A182" t="s">
        <v>71</v>
      </c>
      <c r="B182" t="s">
        <v>90</v>
      </c>
      <c r="C182">
        <v>2024</v>
      </c>
      <c r="D182" t="s">
        <v>68</v>
      </c>
      <c r="E182">
        <v>55111.29</v>
      </c>
      <c r="F182">
        <v>68.400000000000006</v>
      </c>
      <c r="G182">
        <v>223</v>
      </c>
      <c r="H182">
        <v>87.6</v>
      </c>
      <c r="I182">
        <v>5.3</v>
      </c>
      <c r="J182">
        <v>171</v>
      </c>
      <c r="K182">
        <v>566</v>
      </c>
      <c r="L182">
        <v>572</v>
      </c>
      <c r="M182" t="s">
        <v>54</v>
      </c>
      <c r="N182">
        <v>5</v>
      </c>
      <c r="O182" t="s">
        <v>56</v>
      </c>
      <c r="P182">
        <v>25.2</v>
      </c>
      <c r="Q182">
        <v>1630</v>
      </c>
      <c r="R182">
        <v>4</v>
      </c>
      <c r="S182">
        <v>1</v>
      </c>
      <c r="T182" t="s">
        <v>73</v>
      </c>
      <c r="U182" t="s">
        <v>42</v>
      </c>
      <c r="V182">
        <v>112631</v>
      </c>
      <c r="W182">
        <v>3.5</v>
      </c>
      <c r="X182">
        <v>5</v>
      </c>
      <c r="Y182" t="s">
        <v>43</v>
      </c>
      <c r="Z182">
        <v>3.26</v>
      </c>
      <c r="AA182" t="s">
        <v>35</v>
      </c>
    </row>
    <row r="183" spans="1:27" x14ac:dyDescent="0.3">
      <c r="A183" t="s">
        <v>52</v>
      </c>
      <c r="B183" t="s">
        <v>53</v>
      </c>
      <c r="C183">
        <v>2025</v>
      </c>
      <c r="D183" t="s">
        <v>68</v>
      </c>
      <c r="E183">
        <v>132101.43</v>
      </c>
      <c r="F183">
        <v>47.9</v>
      </c>
      <c r="G183">
        <v>150</v>
      </c>
      <c r="H183">
        <v>307.60000000000002</v>
      </c>
      <c r="I183">
        <v>7.33</v>
      </c>
      <c r="J183">
        <v>144</v>
      </c>
      <c r="K183">
        <v>997</v>
      </c>
      <c r="L183">
        <v>944</v>
      </c>
      <c r="M183" t="s">
        <v>54</v>
      </c>
      <c r="N183">
        <v>5</v>
      </c>
      <c r="O183" t="s">
        <v>40</v>
      </c>
      <c r="P183">
        <v>35.9</v>
      </c>
      <c r="Q183">
        <v>1751</v>
      </c>
      <c r="R183">
        <v>5</v>
      </c>
      <c r="S183">
        <v>3</v>
      </c>
      <c r="T183" t="s">
        <v>47</v>
      </c>
      <c r="U183" t="s">
        <v>33</v>
      </c>
      <c r="V183">
        <v>220080</v>
      </c>
      <c r="W183">
        <v>3.4</v>
      </c>
      <c r="X183">
        <v>6</v>
      </c>
      <c r="Y183" t="s">
        <v>61</v>
      </c>
      <c r="Z183">
        <v>3.13</v>
      </c>
      <c r="AA183" t="s">
        <v>35</v>
      </c>
    </row>
    <row r="184" spans="1:27" x14ac:dyDescent="0.3">
      <c r="A184" t="s">
        <v>102</v>
      </c>
      <c r="B184" t="s">
        <v>103</v>
      </c>
      <c r="C184">
        <v>2023</v>
      </c>
      <c r="D184" t="s">
        <v>29</v>
      </c>
      <c r="E184">
        <v>104608.91</v>
      </c>
      <c r="F184">
        <v>116.3</v>
      </c>
      <c r="G184">
        <v>395</v>
      </c>
      <c r="H184">
        <v>220.2</v>
      </c>
      <c r="I184">
        <v>3.1</v>
      </c>
      <c r="J184">
        <v>200</v>
      </c>
      <c r="K184">
        <v>1000</v>
      </c>
      <c r="L184">
        <v>932</v>
      </c>
      <c r="M184" t="s">
        <v>54</v>
      </c>
      <c r="N184">
        <v>7</v>
      </c>
      <c r="O184" t="s">
        <v>65</v>
      </c>
      <c r="P184">
        <v>15.8</v>
      </c>
      <c r="Q184">
        <v>1647</v>
      </c>
      <c r="R184">
        <v>5</v>
      </c>
      <c r="S184">
        <v>1</v>
      </c>
      <c r="T184" t="s">
        <v>47</v>
      </c>
      <c r="U184" t="s">
        <v>33</v>
      </c>
      <c r="V184">
        <v>4453</v>
      </c>
      <c r="W184">
        <v>3.7</v>
      </c>
      <c r="X184">
        <v>4</v>
      </c>
      <c r="Y184" t="s">
        <v>34</v>
      </c>
      <c r="Z184">
        <v>3.4</v>
      </c>
      <c r="AA184" t="s">
        <v>69</v>
      </c>
    </row>
    <row r="185" spans="1:27" x14ac:dyDescent="0.3">
      <c r="A185" t="s">
        <v>94</v>
      </c>
      <c r="B185" t="s">
        <v>95</v>
      </c>
      <c r="C185">
        <v>2026</v>
      </c>
      <c r="D185" t="s">
        <v>29</v>
      </c>
      <c r="E185">
        <v>126813.57</v>
      </c>
      <c r="F185">
        <v>114.9</v>
      </c>
      <c r="G185">
        <v>393</v>
      </c>
      <c r="H185">
        <v>230.5</v>
      </c>
      <c r="I185">
        <v>4.2</v>
      </c>
      <c r="J185">
        <v>190</v>
      </c>
      <c r="K185">
        <v>1000</v>
      </c>
      <c r="L185">
        <v>899</v>
      </c>
      <c r="M185" t="s">
        <v>30</v>
      </c>
      <c r="N185">
        <v>5</v>
      </c>
      <c r="O185" t="s">
        <v>65</v>
      </c>
      <c r="P185">
        <v>21.8</v>
      </c>
      <c r="Q185">
        <v>1634</v>
      </c>
      <c r="R185">
        <v>5</v>
      </c>
      <c r="S185">
        <v>1</v>
      </c>
      <c r="T185" t="s">
        <v>32</v>
      </c>
      <c r="U185" t="s">
        <v>33</v>
      </c>
      <c r="V185">
        <v>35466</v>
      </c>
      <c r="W185">
        <v>3.8</v>
      </c>
      <c r="X185">
        <v>7</v>
      </c>
      <c r="Y185" t="s">
        <v>43</v>
      </c>
      <c r="Z185">
        <v>3.42</v>
      </c>
      <c r="AA185" t="s">
        <v>35</v>
      </c>
    </row>
    <row r="186" spans="1:27" x14ac:dyDescent="0.3">
      <c r="A186" t="s">
        <v>71</v>
      </c>
      <c r="B186" t="s">
        <v>75</v>
      </c>
      <c r="C186">
        <v>2026</v>
      </c>
      <c r="D186" t="s">
        <v>38</v>
      </c>
      <c r="E186">
        <v>102365.27</v>
      </c>
      <c r="F186">
        <v>40.6</v>
      </c>
      <c r="G186">
        <v>150</v>
      </c>
      <c r="H186">
        <v>99.9</v>
      </c>
      <c r="I186">
        <v>5.22</v>
      </c>
      <c r="J186">
        <v>182</v>
      </c>
      <c r="K186">
        <v>1000</v>
      </c>
      <c r="L186">
        <v>960</v>
      </c>
      <c r="M186" t="s">
        <v>54</v>
      </c>
      <c r="N186">
        <v>5</v>
      </c>
      <c r="O186" t="s">
        <v>65</v>
      </c>
      <c r="P186">
        <v>35.5</v>
      </c>
      <c r="Q186">
        <v>1770</v>
      </c>
      <c r="R186">
        <v>4</v>
      </c>
      <c r="S186">
        <v>1</v>
      </c>
      <c r="T186" t="s">
        <v>73</v>
      </c>
      <c r="U186" t="s">
        <v>33</v>
      </c>
      <c r="V186">
        <v>112568</v>
      </c>
      <c r="W186">
        <v>3.2</v>
      </c>
      <c r="X186">
        <v>4</v>
      </c>
      <c r="Y186" t="s">
        <v>43</v>
      </c>
      <c r="Z186">
        <v>3.69</v>
      </c>
      <c r="AA186" t="s">
        <v>35</v>
      </c>
    </row>
    <row r="187" spans="1:27" x14ac:dyDescent="0.3">
      <c r="A187" t="s">
        <v>91</v>
      </c>
      <c r="B187" t="s">
        <v>122</v>
      </c>
      <c r="C187">
        <v>2025</v>
      </c>
      <c r="D187" t="s">
        <v>38</v>
      </c>
      <c r="E187">
        <v>71335.77</v>
      </c>
      <c r="F187">
        <v>45.4</v>
      </c>
      <c r="G187">
        <v>168</v>
      </c>
      <c r="H187">
        <v>70.7</v>
      </c>
      <c r="I187">
        <v>7.21</v>
      </c>
      <c r="J187">
        <v>143</v>
      </c>
      <c r="K187">
        <v>436</v>
      </c>
      <c r="L187">
        <v>426</v>
      </c>
      <c r="M187" t="s">
        <v>54</v>
      </c>
      <c r="N187">
        <v>7</v>
      </c>
      <c r="O187" t="s">
        <v>56</v>
      </c>
      <c r="P187">
        <v>25.4</v>
      </c>
      <c r="Q187">
        <v>1688</v>
      </c>
      <c r="R187">
        <v>4</v>
      </c>
      <c r="S187">
        <v>2</v>
      </c>
      <c r="T187" t="s">
        <v>32</v>
      </c>
      <c r="U187" t="s">
        <v>38</v>
      </c>
      <c r="V187">
        <v>26069</v>
      </c>
      <c r="W187">
        <v>3.2</v>
      </c>
      <c r="X187">
        <v>7</v>
      </c>
      <c r="Y187" t="s">
        <v>61</v>
      </c>
      <c r="Z187">
        <v>3.7</v>
      </c>
      <c r="AA187" t="s">
        <v>35</v>
      </c>
    </row>
    <row r="188" spans="1:27" x14ac:dyDescent="0.3">
      <c r="A188" t="s">
        <v>84</v>
      </c>
      <c r="B188" t="s">
        <v>89</v>
      </c>
      <c r="C188">
        <v>2026</v>
      </c>
      <c r="D188" t="s">
        <v>29</v>
      </c>
      <c r="E188">
        <v>52666.03</v>
      </c>
      <c r="F188">
        <v>83.7</v>
      </c>
      <c r="G188">
        <v>310</v>
      </c>
      <c r="H188">
        <v>230.2</v>
      </c>
      <c r="I188">
        <v>3.27</v>
      </c>
      <c r="J188">
        <v>197</v>
      </c>
      <c r="K188">
        <v>496</v>
      </c>
      <c r="L188">
        <v>444</v>
      </c>
      <c r="M188" t="s">
        <v>30</v>
      </c>
      <c r="N188">
        <v>5</v>
      </c>
      <c r="O188" t="s">
        <v>40</v>
      </c>
      <c r="P188">
        <v>59.5</v>
      </c>
      <c r="Q188">
        <v>1927</v>
      </c>
      <c r="R188">
        <v>5</v>
      </c>
      <c r="S188">
        <v>1</v>
      </c>
      <c r="T188" t="s">
        <v>47</v>
      </c>
      <c r="U188" t="s">
        <v>42</v>
      </c>
      <c r="V188">
        <v>76169</v>
      </c>
      <c r="W188">
        <v>3.7</v>
      </c>
      <c r="X188">
        <v>4</v>
      </c>
      <c r="Y188" t="s">
        <v>34</v>
      </c>
      <c r="Z188">
        <v>3.7</v>
      </c>
      <c r="AA188" t="s">
        <v>35</v>
      </c>
    </row>
    <row r="189" spans="1:27" x14ac:dyDescent="0.3">
      <c r="A189" t="s">
        <v>48</v>
      </c>
      <c r="B189" t="s">
        <v>88</v>
      </c>
      <c r="C189">
        <v>2024</v>
      </c>
      <c r="D189" t="s">
        <v>38</v>
      </c>
      <c r="E189">
        <v>65472.17</v>
      </c>
      <c r="F189">
        <v>78.2</v>
      </c>
      <c r="G189">
        <v>224</v>
      </c>
      <c r="H189">
        <v>99</v>
      </c>
      <c r="I189">
        <v>7.54</v>
      </c>
      <c r="J189">
        <v>133</v>
      </c>
      <c r="K189">
        <v>716</v>
      </c>
      <c r="L189">
        <v>680</v>
      </c>
      <c r="M189" t="s">
        <v>30</v>
      </c>
      <c r="N189">
        <v>5</v>
      </c>
      <c r="O189" t="s">
        <v>40</v>
      </c>
      <c r="P189">
        <v>55</v>
      </c>
      <c r="Q189">
        <v>2132</v>
      </c>
      <c r="R189">
        <v>4</v>
      </c>
      <c r="S189">
        <v>0</v>
      </c>
      <c r="T189" t="s">
        <v>51</v>
      </c>
      <c r="U189" t="s">
        <v>38</v>
      </c>
      <c r="V189">
        <v>60682</v>
      </c>
      <c r="W189">
        <v>3.3</v>
      </c>
      <c r="X189">
        <v>3</v>
      </c>
      <c r="Y189" t="s">
        <v>61</v>
      </c>
      <c r="Z189">
        <v>2.86</v>
      </c>
      <c r="AA189" t="s">
        <v>35</v>
      </c>
    </row>
    <row r="190" spans="1:27" x14ac:dyDescent="0.3">
      <c r="A190" t="s">
        <v>76</v>
      </c>
      <c r="B190" t="s">
        <v>117</v>
      </c>
      <c r="C190">
        <v>2022</v>
      </c>
      <c r="D190" t="s">
        <v>68</v>
      </c>
      <c r="E190">
        <v>35583.1</v>
      </c>
      <c r="F190">
        <v>60.1</v>
      </c>
      <c r="G190">
        <v>220</v>
      </c>
      <c r="H190">
        <v>137.69999999999999</v>
      </c>
      <c r="I190">
        <v>5.87</v>
      </c>
      <c r="J190">
        <v>157</v>
      </c>
      <c r="K190">
        <v>272</v>
      </c>
      <c r="L190">
        <v>230</v>
      </c>
      <c r="M190" t="s">
        <v>39</v>
      </c>
      <c r="N190">
        <v>5</v>
      </c>
      <c r="O190" t="s">
        <v>65</v>
      </c>
      <c r="P190">
        <v>19.600000000000001</v>
      </c>
      <c r="Q190">
        <v>1500</v>
      </c>
      <c r="R190">
        <v>5</v>
      </c>
      <c r="S190">
        <v>0</v>
      </c>
      <c r="T190" t="s">
        <v>51</v>
      </c>
      <c r="U190" t="s">
        <v>42</v>
      </c>
      <c r="V190">
        <v>116403</v>
      </c>
      <c r="W190">
        <v>3.4</v>
      </c>
      <c r="X190">
        <v>3</v>
      </c>
      <c r="Y190" t="s">
        <v>43</v>
      </c>
      <c r="Z190">
        <v>3.66</v>
      </c>
      <c r="AA190" t="s">
        <v>35</v>
      </c>
    </row>
    <row r="191" spans="1:27" x14ac:dyDescent="0.3">
      <c r="A191" t="s">
        <v>71</v>
      </c>
      <c r="B191" t="s">
        <v>104</v>
      </c>
      <c r="C191">
        <v>2025</v>
      </c>
      <c r="D191" t="s">
        <v>63</v>
      </c>
      <c r="E191">
        <v>62107.839999999997</v>
      </c>
      <c r="F191">
        <v>82.5</v>
      </c>
      <c r="G191">
        <v>291</v>
      </c>
      <c r="H191">
        <v>96.3</v>
      </c>
      <c r="I191">
        <v>7.45</v>
      </c>
      <c r="J191">
        <v>142</v>
      </c>
      <c r="K191">
        <v>648</v>
      </c>
      <c r="L191">
        <v>600</v>
      </c>
      <c r="M191" t="s">
        <v>54</v>
      </c>
      <c r="N191">
        <v>5</v>
      </c>
      <c r="O191" t="s">
        <v>31</v>
      </c>
      <c r="P191">
        <v>77.2</v>
      </c>
      <c r="Q191">
        <v>2468</v>
      </c>
      <c r="R191">
        <v>4</v>
      </c>
      <c r="S191">
        <v>0</v>
      </c>
      <c r="T191" t="s">
        <v>73</v>
      </c>
      <c r="U191" t="s">
        <v>42</v>
      </c>
      <c r="V191">
        <v>129397</v>
      </c>
      <c r="W191">
        <v>3.6</v>
      </c>
      <c r="X191">
        <v>5</v>
      </c>
      <c r="Y191" t="s">
        <v>61</v>
      </c>
      <c r="Z191">
        <v>3.53</v>
      </c>
      <c r="AA191" t="s">
        <v>35</v>
      </c>
    </row>
    <row r="192" spans="1:27" x14ac:dyDescent="0.3">
      <c r="A192" t="s">
        <v>52</v>
      </c>
      <c r="B192" t="s">
        <v>64</v>
      </c>
      <c r="C192">
        <v>2024</v>
      </c>
      <c r="D192" t="s">
        <v>29</v>
      </c>
      <c r="E192">
        <v>119857.21</v>
      </c>
      <c r="F192">
        <v>83.5</v>
      </c>
      <c r="G192">
        <v>307</v>
      </c>
      <c r="H192">
        <v>348.4</v>
      </c>
      <c r="I192">
        <v>3.03</v>
      </c>
      <c r="J192">
        <v>200</v>
      </c>
      <c r="K192">
        <v>861</v>
      </c>
      <c r="L192">
        <v>780</v>
      </c>
      <c r="M192" t="s">
        <v>30</v>
      </c>
      <c r="N192">
        <v>5</v>
      </c>
      <c r="O192" t="s">
        <v>31</v>
      </c>
      <c r="P192">
        <v>74.099999999999994</v>
      </c>
      <c r="Q192">
        <v>2510</v>
      </c>
      <c r="R192">
        <v>4</v>
      </c>
      <c r="S192">
        <v>2</v>
      </c>
      <c r="T192" t="s">
        <v>47</v>
      </c>
      <c r="U192" t="s">
        <v>33</v>
      </c>
      <c r="V192">
        <v>142701</v>
      </c>
      <c r="W192">
        <v>4.0999999999999996</v>
      </c>
      <c r="X192">
        <v>5</v>
      </c>
      <c r="Y192" t="s">
        <v>34</v>
      </c>
      <c r="Z192">
        <v>3.68</v>
      </c>
      <c r="AA192" t="s">
        <v>35</v>
      </c>
    </row>
    <row r="193" spans="1:27" x14ac:dyDescent="0.3">
      <c r="A193" t="s">
        <v>94</v>
      </c>
      <c r="B193" t="s">
        <v>95</v>
      </c>
      <c r="C193">
        <v>2025</v>
      </c>
      <c r="D193" t="s">
        <v>50</v>
      </c>
      <c r="E193">
        <v>70111.179999999993</v>
      </c>
      <c r="F193">
        <v>75.599999999999994</v>
      </c>
      <c r="G193">
        <v>262</v>
      </c>
      <c r="H193">
        <v>143.30000000000001</v>
      </c>
      <c r="I193">
        <v>5.27</v>
      </c>
      <c r="J193">
        <v>166</v>
      </c>
      <c r="K193">
        <v>375</v>
      </c>
      <c r="L193">
        <v>380</v>
      </c>
      <c r="M193" t="s">
        <v>39</v>
      </c>
      <c r="N193">
        <v>5</v>
      </c>
      <c r="O193" t="s">
        <v>57</v>
      </c>
      <c r="P193">
        <v>18</v>
      </c>
      <c r="Q193">
        <v>1548</v>
      </c>
      <c r="R193">
        <v>3</v>
      </c>
      <c r="S193">
        <v>1</v>
      </c>
      <c r="T193" t="s">
        <v>32</v>
      </c>
      <c r="U193" t="s">
        <v>38</v>
      </c>
      <c r="V193">
        <v>79614</v>
      </c>
      <c r="W193">
        <v>3.5</v>
      </c>
      <c r="X193">
        <v>5</v>
      </c>
      <c r="Y193" t="s">
        <v>43</v>
      </c>
      <c r="Z193">
        <v>3.47</v>
      </c>
      <c r="AA193" t="s">
        <v>35</v>
      </c>
    </row>
    <row r="194" spans="1:27" x14ac:dyDescent="0.3">
      <c r="A194" t="s">
        <v>94</v>
      </c>
      <c r="B194" t="s">
        <v>113</v>
      </c>
      <c r="C194">
        <v>2025</v>
      </c>
      <c r="D194" t="s">
        <v>38</v>
      </c>
      <c r="E194">
        <v>138510.75</v>
      </c>
      <c r="F194">
        <v>62.7</v>
      </c>
      <c r="G194">
        <v>204</v>
      </c>
      <c r="H194">
        <v>124.6</v>
      </c>
      <c r="I194">
        <v>7.99</v>
      </c>
      <c r="J194">
        <v>133</v>
      </c>
      <c r="K194">
        <v>1000</v>
      </c>
      <c r="L194">
        <v>963</v>
      </c>
      <c r="M194" t="s">
        <v>54</v>
      </c>
      <c r="N194">
        <v>5</v>
      </c>
      <c r="O194" t="s">
        <v>57</v>
      </c>
      <c r="P194">
        <v>37.200000000000003</v>
      </c>
      <c r="Q194">
        <v>1588</v>
      </c>
      <c r="R194">
        <v>4</v>
      </c>
      <c r="S194">
        <v>1</v>
      </c>
      <c r="T194" t="s">
        <v>32</v>
      </c>
      <c r="U194" t="s">
        <v>33</v>
      </c>
      <c r="V194">
        <v>58972</v>
      </c>
      <c r="W194">
        <v>3.2</v>
      </c>
      <c r="X194">
        <v>6</v>
      </c>
      <c r="Y194" t="s">
        <v>61</v>
      </c>
      <c r="Z194">
        <v>3.25</v>
      </c>
      <c r="AA194" t="s">
        <v>35</v>
      </c>
    </row>
    <row r="195" spans="1:27" x14ac:dyDescent="0.3">
      <c r="A195" t="s">
        <v>91</v>
      </c>
      <c r="B195" t="s">
        <v>112</v>
      </c>
      <c r="C195">
        <v>2023</v>
      </c>
      <c r="D195" t="s">
        <v>63</v>
      </c>
      <c r="E195">
        <v>90267.93</v>
      </c>
      <c r="F195">
        <v>63</v>
      </c>
      <c r="G195">
        <v>260</v>
      </c>
      <c r="H195">
        <v>67.099999999999994</v>
      </c>
      <c r="I195">
        <v>5.59</v>
      </c>
      <c r="J195">
        <v>172</v>
      </c>
      <c r="K195">
        <v>713</v>
      </c>
      <c r="L195">
        <v>591</v>
      </c>
      <c r="M195" t="s">
        <v>30</v>
      </c>
      <c r="N195">
        <v>5</v>
      </c>
      <c r="O195" t="s">
        <v>56</v>
      </c>
      <c r="P195">
        <v>24.7</v>
      </c>
      <c r="Q195">
        <v>1500</v>
      </c>
      <c r="R195">
        <v>4</v>
      </c>
      <c r="S195">
        <v>1</v>
      </c>
      <c r="T195" t="s">
        <v>32</v>
      </c>
      <c r="U195" t="s">
        <v>38</v>
      </c>
      <c r="V195">
        <v>26056</v>
      </c>
      <c r="W195">
        <v>3.5</v>
      </c>
      <c r="X195">
        <v>5</v>
      </c>
      <c r="Y195" t="s">
        <v>43</v>
      </c>
      <c r="Z195">
        <v>4.13</v>
      </c>
      <c r="AA195" t="s">
        <v>35</v>
      </c>
    </row>
    <row r="196" spans="1:27" x14ac:dyDescent="0.3">
      <c r="A196" t="s">
        <v>71</v>
      </c>
      <c r="B196" t="s">
        <v>96</v>
      </c>
      <c r="C196">
        <v>2020</v>
      </c>
      <c r="D196" t="s">
        <v>63</v>
      </c>
      <c r="E196">
        <v>67729.77</v>
      </c>
      <c r="F196">
        <v>44.2</v>
      </c>
      <c r="G196">
        <v>157</v>
      </c>
      <c r="H196">
        <v>50.1</v>
      </c>
      <c r="I196">
        <v>7.68</v>
      </c>
      <c r="J196">
        <v>137</v>
      </c>
      <c r="K196">
        <v>692</v>
      </c>
      <c r="L196">
        <v>628</v>
      </c>
      <c r="M196" t="s">
        <v>54</v>
      </c>
      <c r="N196">
        <v>7</v>
      </c>
      <c r="O196" t="s">
        <v>31</v>
      </c>
      <c r="P196">
        <v>60.1</v>
      </c>
      <c r="Q196">
        <v>2386</v>
      </c>
      <c r="R196">
        <v>4</v>
      </c>
      <c r="S196">
        <v>0</v>
      </c>
      <c r="T196" t="s">
        <v>73</v>
      </c>
      <c r="U196" t="s">
        <v>38</v>
      </c>
      <c r="V196">
        <v>160145</v>
      </c>
      <c r="W196">
        <v>3.2</v>
      </c>
      <c r="X196">
        <v>4</v>
      </c>
      <c r="Y196" t="s">
        <v>61</v>
      </c>
      <c r="Z196">
        <v>3.55</v>
      </c>
      <c r="AA196" t="s">
        <v>35</v>
      </c>
    </row>
    <row r="197" spans="1:27" x14ac:dyDescent="0.3">
      <c r="A197" t="s">
        <v>71</v>
      </c>
      <c r="B197" t="s">
        <v>81</v>
      </c>
      <c r="C197">
        <v>2022</v>
      </c>
      <c r="D197" t="s">
        <v>68</v>
      </c>
      <c r="E197">
        <v>27939.32</v>
      </c>
      <c r="F197">
        <v>56.5</v>
      </c>
      <c r="G197">
        <v>182</v>
      </c>
      <c r="H197">
        <v>129.80000000000001</v>
      </c>
      <c r="I197">
        <v>7.12</v>
      </c>
      <c r="J197">
        <v>141</v>
      </c>
      <c r="K197">
        <v>254</v>
      </c>
      <c r="L197">
        <v>200</v>
      </c>
      <c r="M197" t="s">
        <v>30</v>
      </c>
      <c r="N197">
        <v>7</v>
      </c>
      <c r="O197" t="s">
        <v>40</v>
      </c>
      <c r="P197">
        <v>68.5</v>
      </c>
      <c r="Q197">
        <v>1964</v>
      </c>
      <c r="R197">
        <v>5</v>
      </c>
      <c r="S197">
        <v>0</v>
      </c>
      <c r="T197" t="s">
        <v>73</v>
      </c>
      <c r="U197" t="s">
        <v>74</v>
      </c>
      <c r="V197">
        <v>100593</v>
      </c>
      <c r="W197">
        <v>3.2</v>
      </c>
      <c r="X197">
        <v>4</v>
      </c>
      <c r="Y197" t="s">
        <v>61</v>
      </c>
      <c r="Z197">
        <v>3.22</v>
      </c>
      <c r="AA197" t="s">
        <v>35</v>
      </c>
    </row>
    <row r="198" spans="1:27" x14ac:dyDescent="0.3">
      <c r="A198" t="s">
        <v>44</v>
      </c>
      <c r="B198" t="s">
        <v>109</v>
      </c>
      <c r="C198">
        <v>2026</v>
      </c>
      <c r="D198" t="s">
        <v>50</v>
      </c>
      <c r="E198">
        <v>70455.09</v>
      </c>
      <c r="F198">
        <v>97.8</v>
      </c>
      <c r="G198">
        <v>367</v>
      </c>
      <c r="H198">
        <v>125.7</v>
      </c>
      <c r="I198">
        <v>5.21</v>
      </c>
      <c r="J198">
        <v>173</v>
      </c>
      <c r="K198">
        <v>972</v>
      </c>
      <c r="L198">
        <v>860</v>
      </c>
      <c r="M198" t="s">
        <v>54</v>
      </c>
      <c r="N198">
        <v>5</v>
      </c>
      <c r="O198" t="s">
        <v>31</v>
      </c>
      <c r="P198">
        <v>76.8</v>
      </c>
      <c r="Q198">
        <v>2305</v>
      </c>
      <c r="R198">
        <v>4</v>
      </c>
      <c r="S198">
        <v>0</v>
      </c>
      <c r="T198" t="s">
        <v>47</v>
      </c>
      <c r="U198" t="s">
        <v>38</v>
      </c>
      <c r="V198">
        <v>1598</v>
      </c>
      <c r="W198">
        <v>3.6</v>
      </c>
      <c r="X198">
        <v>5</v>
      </c>
      <c r="Y198" t="s">
        <v>43</v>
      </c>
      <c r="Z198">
        <v>3.75</v>
      </c>
      <c r="AA198" t="s">
        <v>69</v>
      </c>
    </row>
    <row r="199" spans="1:27" x14ac:dyDescent="0.3">
      <c r="A199" t="s">
        <v>94</v>
      </c>
      <c r="B199" t="s">
        <v>95</v>
      </c>
      <c r="C199">
        <v>2025</v>
      </c>
      <c r="D199" t="s">
        <v>63</v>
      </c>
      <c r="E199">
        <v>104530.78</v>
      </c>
      <c r="F199">
        <v>61.3</v>
      </c>
      <c r="G199">
        <v>194</v>
      </c>
      <c r="H199">
        <v>96.2</v>
      </c>
      <c r="I199">
        <v>7.71</v>
      </c>
      <c r="J199">
        <v>135</v>
      </c>
      <c r="K199">
        <v>795</v>
      </c>
      <c r="L199">
        <v>707</v>
      </c>
      <c r="M199" t="s">
        <v>54</v>
      </c>
      <c r="N199">
        <v>7</v>
      </c>
      <c r="O199" t="s">
        <v>40</v>
      </c>
      <c r="P199">
        <v>50.8</v>
      </c>
      <c r="Q199">
        <v>2104</v>
      </c>
      <c r="R199">
        <v>5</v>
      </c>
      <c r="S199">
        <v>2</v>
      </c>
      <c r="T199" t="s">
        <v>32</v>
      </c>
      <c r="U199" t="s">
        <v>33</v>
      </c>
      <c r="V199">
        <v>52472</v>
      </c>
      <c r="W199">
        <v>3.5</v>
      </c>
      <c r="X199">
        <v>8</v>
      </c>
      <c r="Y199" t="s">
        <v>61</v>
      </c>
      <c r="Z199">
        <v>3.16</v>
      </c>
      <c r="AA199" t="s">
        <v>35</v>
      </c>
    </row>
    <row r="200" spans="1:27" x14ac:dyDescent="0.3">
      <c r="A200" t="s">
        <v>94</v>
      </c>
      <c r="B200" t="s">
        <v>113</v>
      </c>
      <c r="C200">
        <v>2025</v>
      </c>
      <c r="D200" t="s">
        <v>50</v>
      </c>
      <c r="E200">
        <v>97248.51</v>
      </c>
      <c r="F200">
        <v>90.6</v>
      </c>
      <c r="G200">
        <v>304</v>
      </c>
      <c r="H200">
        <v>80.3</v>
      </c>
      <c r="I200">
        <v>5.49</v>
      </c>
      <c r="J200">
        <v>168</v>
      </c>
      <c r="K200">
        <v>720</v>
      </c>
      <c r="L200">
        <v>612</v>
      </c>
      <c r="M200" t="s">
        <v>54</v>
      </c>
      <c r="N200">
        <v>5</v>
      </c>
      <c r="O200" t="s">
        <v>46</v>
      </c>
      <c r="P200">
        <v>75.7</v>
      </c>
      <c r="Q200">
        <v>1500</v>
      </c>
      <c r="R200">
        <v>5</v>
      </c>
      <c r="S200">
        <v>1</v>
      </c>
      <c r="T200" t="s">
        <v>32</v>
      </c>
      <c r="U200" t="s">
        <v>38</v>
      </c>
      <c r="V200">
        <v>46587</v>
      </c>
      <c r="W200">
        <v>3.2</v>
      </c>
      <c r="X200">
        <v>6</v>
      </c>
      <c r="Y200" t="s">
        <v>43</v>
      </c>
      <c r="Z200">
        <v>3.36</v>
      </c>
      <c r="AA200" t="s">
        <v>35</v>
      </c>
    </row>
    <row r="201" spans="1:27" x14ac:dyDescent="0.3">
      <c r="A201" t="s">
        <v>84</v>
      </c>
      <c r="B201" t="s">
        <v>106</v>
      </c>
      <c r="C201">
        <v>2024</v>
      </c>
      <c r="D201" t="s">
        <v>29</v>
      </c>
      <c r="E201">
        <v>105603.42</v>
      </c>
      <c r="F201">
        <v>114.4</v>
      </c>
      <c r="G201">
        <v>427</v>
      </c>
      <c r="H201">
        <v>181.6</v>
      </c>
      <c r="I201">
        <v>3.18</v>
      </c>
      <c r="J201">
        <v>200</v>
      </c>
      <c r="K201">
        <v>1000</v>
      </c>
      <c r="L201">
        <v>860</v>
      </c>
      <c r="M201" t="s">
        <v>30</v>
      </c>
      <c r="N201">
        <v>5</v>
      </c>
      <c r="O201" t="s">
        <v>46</v>
      </c>
      <c r="P201">
        <v>72.400000000000006</v>
      </c>
      <c r="Q201">
        <v>2052</v>
      </c>
      <c r="R201">
        <v>4</v>
      </c>
      <c r="S201">
        <v>0</v>
      </c>
      <c r="T201" t="s">
        <v>47</v>
      </c>
      <c r="U201" t="s">
        <v>33</v>
      </c>
      <c r="V201">
        <v>31600</v>
      </c>
      <c r="W201">
        <v>4</v>
      </c>
      <c r="X201">
        <v>5</v>
      </c>
      <c r="Y201" t="s">
        <v>34</v>
      </c>
      <c r="Z201">
        <v>3.73</v>
      </c>
      <c r="AA201" t="s">
        <v>35</v>
      </c>
    </row>
    <row r="202" spans="1:27" x14ac:dyDescent="0.3">
      <c r="A202" t="s">
        <v>91</v>
      </c>
      <c r="B202" t="s">
        <v>112</v>
      </c>
      <c r="C202">
        <v>2025</v>
      </c>
      <c r="D202" t="s">
        <v>68</v>
      </c>
      <c r="E202">
        <v>55554.9</v>
      </c>
      <c r="F202">
        <v>41.7</v>
      </c>
      <c r="G202">
        <v>151</v>
      </c>
      <c r="H202">
        <v>100.9</v>
      </c>
      <c r="I202">
        <v>5.73</v>
      </c>
      <c r="J202">
        <v>173</v>
      </c>
      <c r="K202">
        <v>203</v>
      </c>
      <c r="L202">
        <v>200</v>
      </c>
      <c r="M202" t="s">
        <v>30</v>
      </c>
      <c r="N202">
        <v>5</v>
      </c>
      <c r="O202" t="s">
        <v>46</v>
      </c>
      <c r="P202">
        <v>73.3</v>
      </c>
      <c r="Q202">
        <v>1646</v>
      </c>
      <c r="R202">
        <v>5</v>
      </c>
      <c r="S202">
        <v>2</v>
      </c>
      <c r="T202" t="s">
        <v>32</v>
      </c>
      <c r="U202" t="s">
        <v>42</v>
      </c>
      <c r="V202">
        <v>69514</v>
      </c>
      <c r="W202">
        <v>3.1</v>
      </c>
      <c r="X202">
        <v>8</v>
      </c>
      <c r="Y202" t="s">
        <v>43</v>
      </c>
      <c r="Z202">
        <v>3.62</v>
      </c>
      <c r="AA202" t="s">
        <v>35</v>
      </c>
    </row>
    <row r="203" spans="1:27" x14ac:dyDescent="0.3">
      <c r="A203" t="s">
        <v>52</v>
      </c>
      <c r="B203" t="s">
        <v>80</v>
      </c>
      <c r="C203">
        <v>2026</v>
      </c>
      <c r="D203" t="s">
        <v>63</v>
      </c>
      <c r="E203">
        <v>50614.31</v>
      </c>
      <c r="F203">
        <v>85</v>
      </c>
      <c r="G203">
        <v>304</v>
      </c>
      <c r="H203">
        <v>267</v>
      </c>
      <c r="I203">
        <v>6.34</v>
      </c>
      <c r="J203">
        <v>152</v>
      </c>
      <c r="K203">
        <v>315</v>
      </c>
      <c r="L203">
        <v>263</v>
      </c>
      <c r="M203" t="s">
        <v>54</v>
      </c>
      <c r="N203">
        <v>7</v>
      </c>
      <c r="O203" t="s">
        <v>31</v>
      </c>
      <c r="P203">
        <v>66.2</v>
      </c>
      <c r="Q203">
        <v>2227</v>
      </c>
      <c r="R203">
        <v>5</v>
      </c>
      <c r="S203">
        <v>2</v>
      </c>
      <c r="T203" t="s">
        <v>47</v>
      </c>
      <c r="U203" t="s">
        <v>42</v>
      </c>
      <c r="V203">
        <v>175527</v>
      </c>
      <c r="W203">
        <v>4</v>
      </c>
      <c r="X203">
        <v>4</v>
      </c>
      <c r="Y203" t="s">
        <v>43</v>
      </c>
      <c r="Z203">
        <v>3.58</v>
      </c>
      <c r="AA203" t="s">
        <v>35</v>
      </c>
    </row>
    <row r="204" spans="1:27" x14ac:dyDescent="0.3">
      <c r="A204" t="s">
        <v>52</v>
      </c>
      <c r="B204" t="s">
        <v>55</v>
      </c>
      <c r="C204">
        <v>2025</v>
      </c>
      <c r="D204" t="s">
        <v>63</v>
      </c>
      <c r="E204">
        <v>42292.45</v>
      </c>
      <c r="F204">
        <v>67.3</v>
      </c>
      <c r="G204">
        <v>240</v>
      </c>
      <c r="H204">
        <v>307.7</v>
      </c>
      <c r="I204">
        <v>6.74</v>
      </c>
      <c r="J204">
        <v>159</v>
      </c>
      <c r="K204">
        <v>313</v>
      </c>
      <c r="L204">
        <v>323</v>
      </c>
      <c r="M204" t="s">
        <v>54</v>
      </c>
      <c r="N204">
        <v>7</v>
      </c>
      <c r="O204" t="s">
        <v>31</v>
      </c>
      <c r="P204">
        <v>79.8</v>
      </c>
      <c r="Q204">
        <v>2648</v>
      </c>
      <c r="R204">
        <v>4</v>
      </c>
      <c r="S204">
        <v>2</v>
      </c>
      <c r="T204" t="s">
        <v>47</v>
      </c>
      <c r="U204" t="s">
        <v>42</v>
      </c>
      <c r="V204">
        <v>472726</v>
      </c>
      <c r="W204">
        <v>3.7</v>
      </c>
      <c r="X204">
        <v>5</v>
      </c>
      <c r="Y204" t="s">
        <v>43</v>
      </c>
      <c r="Z204">
        <v>3.57</v>
      </c>
      <c r="AA204" t="s">
        <v>35</v>
      </c>
    </row>
    <row r="205" spans="1:27" x14ac:dyDescent="0.3">
      <c r="A205" t="s">
        <v>94</v>
      </c>
      <c r="B205" t="s">
        <v>125</v>
      </c>
      <c r="C205">
        <v>2026</v>
      </c>
      <c r="D205" t="s">
        <v>50</v>
      </c>
      <c r="E205">
        <v>94110.46</v>
      </c>
      <c r="F205">
        <v>90.4</v>
      </c>
      <c r="G205">
        <v>323</v>
      </c>
      <c r="H205">
        <v>138.19999999999999</v>
      </c>
      <c r="I205">
        <v>4.41</v>
      </c>
      <c r="J205">
        <v>188</v>
      </c>
      <c r="K205">
        <v>644</v>
      </c>
      <c r="L205">
        <v>602</v>
      </c>
      <c r="M205" t="s">
        <v>39</v>
      </c>
      <c r="N205">
        <v>5</v>
      </c>
      <c r="O205" t="s">
        <v>65</v>
      </c>
      <c r="P205">
        <v>33.700000000000003</v>
      </c>
      <c r="Q205">
        <v>1508</v>
      </c>
      <c r="R205">
        <v>4</v>
      </c>
      <c r="S205">
        <v>1</v>
      </c>
      <c r="T205" t="s">
        <v>32</v>
      </c>
      <c r="U205" t="s">
        <v>38</v>
      </c>
      <c r="V205">
        <v>38660</v>
      </c>
      <c r="W205">
        <v>3.6</v>
      </c>
      <c r="X205">
        <v>8</v>
      </c>
      <c r="Y205" t="s">
        <v>43</v>
      </c>
      <c r="Z205">
        <v>3.57</v>
      </c>
      <c r="AA205" t="s">
        <v>35</v>
      </c>
    </row>
    <row r="206" spans="1:27" x14ac:dyDescent="0.3">
      <c r="A206" t="s">
        <v>48</v>
      </c>
      <c r="B206" t="s">
        <v>88</v>
      </c>
      <c r="C206">
        <v>2025</v>
      </c>
      <c r="D206" t="s">
        <v>68</v>
      </c>
      <c r="E206">
        <v>77483.58</v>
      </c>
      <c r="F206">
        <v>46.2</v>
      </c>
      <c r="G206">
        <v>176</v>
      </c>
      <c r="H206">
        <v>60.3</v>
      </c>
      <c r="I206">
        <v>7.19</v>
      </c>
      <c r="J206">
        <v>133</v>
      </c>
      <c r="K206">
        <v>950</v>
      </c>
      <c r="L206">
        <v>840</v>
      </c>
      <c r="M206" t="s">
        <v>39</v>
      </c>
      <c r="N206">
        <v>5</v>
      </c>
      <c r="O206" t="s">
        <v>40</v>
      </c>
      <c r="P206">
        <v>60.7</v>
      </c>
      <c r="Q206">
        <v>1989</v>
      </c>
      <c r="R206">
        <v>3</v>
      </c>
      <c r="S206">
        <v>1</v>
      </c>
      <c r="T206" t="s">
        <v>51</v>
      </c>
      <c r="U206" t="s">
        <v>38</v>
      </c>
      <c r="V206">
        <v>116585</v>
      </c>
      <c r="W206">
        <v>3</v>
      </c>
      <c r="X206">
        <v>4</v>
      </c>
      <c r="Y206" t="s">
        <v>61</v>
      </c>
      <c r="Z206">
        <v>3.81</v>
      </c>
      <c r="AA206" t="s">
        <v>35</v>
      </c>
    </row>
    <row r="207" spans="1:27" x14ac:dyDescent="0.3">
      <c r="A207" t="s">
        <v>52</v>
      </c>
      <c r="B207" t="s">
        <v>55</v>
      </c>
      <c r="C207">
        <v>2022</v>
      </c>
      <c r="D207" t="s">
        <v>50</v>
      </c>
      <c r="E207">
        <v>112382.86</v>
      </c>
      <c r="F207">
        <v>81.900000000000006</v>
      </c>
      <c r="G207">
        <v>270</v>
      </c>
      <c r="H207">
        <v>243.2</v>
      </c>
      <c r="I207">
        <v>5.21</v>
      </c>
      <c r="J207">
        <v>182</v>
      </c>
      <c r="K207">
        <v>816</v>
      </c>
      <c r="L207">
        <v>719</v>
      </c>
      <c r="M207" t="s">
        <v>39</v>
      </c>
      <c r="N207">
        <v>5</v>
      </c>
      <c r="O207" t="s">
        <v>57</v>
      </c>
      <c r="P207">
        <v>25.1</v>
      </c>
      <c r="Q207">
        <v>1583</v>
      </c>
      <c r="R207">
        <v>4</v>
      </c>
      <c r="S207">
        <v>2</v>
      </c>
      <c r="T207" t="s">
        <v>47</v>
      </c>
      <c r="U207" t="s">
        <v>33</v>
      </c>
      <c r="V207">
        <v>494879</v>
      </c>
      <c r="W207">
        <v>3.8</v>
      </c>
      <c r="X207">
        <v>4</v>
      </c>
      <c r="Y207" t="s">
        <v>43</v>
      </c>
      <c r="Z207">
        <v>3.3</v>
      </c>
      <c r="AA207" t="s">
        <v>35</v>
      </c>
    </row>
    <row r="208" spans="1:27" x14ac:dyDescent="0.3">
      <c r="A208" t="s">
        <v>52</v>
      </c>
      <c r="B208" t="s">
        <v>86</v>
      </c>
      <c r="C208">
        <v>2025</v>
      </c>
      <c r="D208" t="s">
        <v>38</v>
      </c>
      <c r="E208">
        <v>112066.22</v>
      </c>
      <c r="F208">
        <v>43.2</v>
      </c>
      <c r="G208">
        <v>167</v>
      </c>
      <c r="H208">
        <v>297.10000000000002</v>
      </c>
      <c r="I208">
        <v>7.91</v>
      </c>
      <c r="J208">
        <v>134</v>
      </c>
      <c r="K208">
        <v>825</v>
      </c>
      <c r="L208">
        <v>749</v>
      </c>
      <c r="M208" t="s">
        <v>39</v>
      </c>
      <c r="N208">
        <v>5</v>
      </c>
      <c r="O208" t="s">
        <v>46</v>
      </c>
      <c r="P208">
        <v>75</v>
      </c>
      <c r="Q208">
        <v>1720</v>
      </c>
      <c r="R208">
        <v>4</v>
      </c>
      <c r="S208">
        <v>2</v>
      </c>
      <c r="T208" t="s">
        <v>47</v>
      </c>
      <c r="U208" t="s">
        <v>33</v>
      </c>
      <c r="V208">
        <v>245565</v>
      </c>
      <c r="W208">
        <v>3.8</v>
      </c>
      <c r="X208">
        <v>4</v>
      </c>
      <c r="Y208" t="s">
        <v>61</v>
      </c>
      <c r="Z208">
        <v>3.87</v>
      </c>
      <c r="AA208" t="s">
        <v>35</v>
      </c>
    </row>
    <row r="209" spans="1:27" x14ac:dyDescent="0.3">
      <c r="A209" t="s">
        <v>91</v>
      </c>
      <c r="B209" t="s">
        <v>92</v>
      </c>
      <c r="C209">
        <v>2024</v>
      </c>
      <c r="D209" t="s">
        <v>50</v>
      </c>
      <c r="E209">
        <v>93724.2</v>
      </c>
      <c r="F209">
        <v>100</v>
      </c>
      <c r="G209">
        <v>326</v>
      </c>
      <c r="H209">
        <v>91.1</v>
      </c>
      <c r="I209">
        <v>4.4400000000000004</v>
      </c>
      <c r="J209">
        <v>188</v>
      </c>
      <c r="K209">
        <v>725</v>
      </c>
      <c r="L209">
        <v>651</v>
      </c>
      <c r="M209" t="s">
        <v>30</v>
      </c>
      <c r="N209">
        <v>7</v>
      </c>
      <c r="O209" t="s">
        <v>46</v>
      </c>
      <c r="P209">
        <v>72.2</v>
      </c>
      <c r="Q209">
        <v>1614</v>
      </c>
      <c r="R209">
        <v>4</v>
      </c>
      <c r="S209">
        <v>1</v>
      </c>
      <c r="T209" t="s">
        <v>32</v>
      </c>
      <c r="U209" t="s">
        <v>38</v>
      </c>
      <c r="V209">
        <v>36760</v>
      </c>
      <c r="W209">
        <v>3.6</v>
      </c>
      <c r="X209">
        <v>6</v>
      </c>
      <c r="Y209" t="s">
        <v>43</v>
      </c>
      <c r="Z209">
        <v>3.26</v>
      </c>
      <c r="AA209" t="s">
        <v>35</v>
      </c>
    </row>
    <row r="210" spans="1:27" x14ac:dyDescent="0.3">
      <c r="A210" t="s">
        <v>52</v>
      </c>
      <c r="B210" t="s">
        <v>80</v>
      </c>
      <c r="C210">
        <v>2021</v>
      </c>
      <c r="D210" t="s">
        <v>63</v>
      </c>
      <c r="E210">
        <v>98646.080000000002</v>
      </c>
      <c r="F210">
        <v>76</v>
      </c>
      <c r="G210">
        <v>242</v>
      </c>
      <c r="H210">
        <v>326.8</v>
      </c>
      <c r="I210">
        <v>7.18</v>
      </c>
      <c r="J210">
        <v>143</v>
      </c>
      <c r="K210">
        <v>690</v>
      </c>
      <c r="L210">
        <v>602</v>
      </c>
      <c r="M210" t="s">
        <v>54</v>
      </c>
      <c r="N210">
        <v>5</v>
      </c>
      <c r="O210" t="s">
        <v>31</v>
      </c>
      <c r="P210">
        <v>52</v>
      </c>
      <c r="Q210">
        <v>2415</v>
      </c>
      <c r="R210">
        <v>5</v>
      </c>
      <c r="S210">
        <v>2</v>
      </c>
      <c r="T210" t="s">
        <v>47</v>
      </c>
      <c r="U210" t="s">
        <v>38</v>
      </c>
      <c r="V210">
        <v>235244</v>
      </c>
      <c r="W210">
        <v>3.9</v>
      </c>
      <c r="X210">
        <v>6</v>
      </c>
      <c r="Y210" t="s">
        <v>61</v>
      </c>
      <c r="Z210">
        <v>3.18</v>
      </c>
      <c r="AA210" t="s">
        <v>35</v>
      </c>
    </row>
    <row r="211" spans="1:27" x14ac:dyDescent="0.3">
      <c r="A211" t="s">
        <v>52</v>
      </c>
      <c r="B211" t="s">
        <v>80</v>
      </c>
      <c r="C211">
        <v>2023</v>
      </c>
      <c r="D211" t="s">
        <v>63</v>
      </c>
      <c r="E211">
        <v>46210.19</v>
      </c>
      <c r="F211">
        <v>70.099999999999994</v>
      </c>
      <c r="G211">
        <v>244</v>
      </c>
      <c r="H211">
        <v>291</v>
      </c>
      <c r="I211">
        <v>5.57</v>
      </c>
      <c r="J211">
        <v>171</v>
      </c>
      <c r="K211">
        <v>310</v>
      </c>
      <c r="L211">
        <v>227</v>
      </c>
      <c r="M211" t="s">
        <v>30</v>
      </c>
      <c r="N211">
        <v>5</v>
      </c>
      <c r="O211" t="s">
        <v>31</v>
      </c>
      <c r="P211">
        <v>65.099999999999994</v>
      </c>
      <c r="Q211">
        <v>2463</v>
      </c>
      <c r="R211">
        <v>4</v>
      </c>
      <c r="S211">
        <v>2</v>
      </c>
      <c r="T211" t="s">
        <v>47</v>
      </c>
      <c r="U211" t="s">
        <v>42</v>
      </c>
      <c r="V211">
        <v>187848</v>
      </c>
      <c r="W211">
        <v>3.6</v>
      </c>
      <c r="X211">
        <v>4</v>
      </c>
      <c r="Y211" t="s">
        <v>43</v>
      </c>
      <c r="Z211">
        <v>3.48</v>
      </c>
      <c r="AA211" t="s">
        <v>35</v>
      </c>
    </row>
    <row r="212" spans="1:27" x14ac:dyDescent="0.3">
      <c r="A212" t="s">
        <v>48</v>
      </c>
      <c r="B212" t="s">
        <v>123</v>
      </c>
      <c r="C212">
        <v>2021</v>
      </c>
      <c r="D212" t="s">
        <v>50</v>
      </c>
      <c r="E212">
        <v>66633.95</v>
      </c>
      <c r="F212">
        <v>75.099999999999994</v>
      </c>
      <c r="G212">
        <v>272</v>
      </c>
      <c r="H212">
        <v>109.4</v>
      </c>
      <c r="I212">
        <v>5.22</v>
      </c>
      <c r="J212">
        <v>170</v>
      </c>
      <c r="K212">
        <v>795</v>
      </c>
      <c r="L212">
        <v>688</v>
      </c>
      <c r="M212" t="s">
        <v>30</v>
      </c>
      <c r="N212">
        <v>7</v>
      </c>
      <c r="O212" t="s">
        <v>57</v>
      </c>
      <c r="P212">
        <v>29</v>
      </c>
      <c r="Q212">
        <v>1500</v>
      </c>
      <c r="R212">
        <v>5</v>
      </c>
      <c r="S212">
        <v>0</v>
      </c>
      <c r="T212" t="s">
        <v>51</v>
      </c>
      <c r="U212" t="s">
        <v>38</v>
      </c>
      <c r="V212">
        <v>57850</v>
      </c>
      <c r="W212">
        <v>3.3</v>
      </c>
      <c r="X212">
        <v>5</v>
      </c>
      <c r="Y212" t="s">
        <v>43</v>
      </c>
      <c r="Z212">
        <v>3.62</v>
      </c>
      <c r="AA212" t="s">
        <v>35</v>
      </c>
    </row>
    <row r="213" spans="1:27" x14ac:dyDescent="0.3">
      <c r="A213" t="s">
        <v>44</v>
      </c>
      <c r="B213" t="s">
        <v>126</v>
      </c>
      <c r="C213">
        <v>2026</v>
      </c>
      <c r="D213" t="s">
        <v>29</v>
      </c>
      <c r="E213">
        <v>65284.93</v>
      </c>
      <c r="F213">
        <v>116.3</v>
      </c>
      <c r="G213">
        <v>439</v>
      </c>
      <c r="H213">
        <v>241.3</v>
      </c>
      <c r="I213">
        <v>4.25</v>
      </c>
      <c r="J213">
        <v>186</v>
      </c>
      <c r="K213">
        <v>776</v>
      </c>
      <c r="L213">
        <v>701</v>
      </c>
      <c r="M213" t="s">
        <v>30</v>
      </c>
      <c r="N213">
        <v>7</v>
      </c>
      <c r="O213" t="s">
        <v>57</v>
      </c>
      <c r="P213">
        <v>19.8</v>
      </c>
      <c r="Q213">
        <v>1566</v>
      </c>
      <c r="R213">
        <v>4</v>
      </c>
      <c r="S213">
        <v>0</v>
      </c>
      <c r="T213" t="s">
        <v>47</v>
      </c>
      <c r="U213" t="s">
        <v>38</v>
      </c>
      <c r="V213">
        <v>25704</v>
      </c>
      <c r="W213">
        <v>4.2</v>
      </c>
      <c r="X213">
        <v>4</v>
      </c>
      <c r="Y213" t="s">
        <v>43</v>
      </c>
      <c r="Z213">
        <v>3.77</v>
      </c>
      <c r="AA213" t="s">
        <v>35</v>
      </c>
    </row>
    <row r="214" spans="1:27" x14ac:dyDescent="0.3">
      <c r="A214" t="s">
        <v>91</v>
      </c>
      <c r="B214" t="s">
        <v>97</v>
      </c>
      <c r="C214">
        <v>2023</v>
      </c>
      <c r="D214" t="s">
        <v>38</v>
      </c>
      <c r="E214">
        <v>137951.81</v>
      </c>
      <c r="F214">
        <v>60.1</v>
      </c>
      <c r="G214">
        <v>220</v>
      </c>
      <c r="H214">
        <v>71.2</v>
      </c>
      <c r="I214">
        <v>6.56</v>
      </c>
      <c r="J214">
        <v>152</v>
      </c>
      <c r="K214">
        <v>1000</v>
      </c>
      <c r="L214">
        <v>895</v>
      </c>
      <c r="M214" t="s">
        <v>54</v>
      </c>
      <c r="N214">
        <v>7</v>
      </c>
      <c r="O214" t="s">
        <v>56</v>
      </c>
      <c r="P214">
        <v>22.7</v>
      </c>
      <c r="Q214">
        <v>1654</v>
      </c>
      <c r="R214">
        <v>4</v>
      </c>
      <c r="S214">
        <v>1</v>
      </c>
      <c r="T214" t="s">
        <v>32</v>
      </c>
      <c r="U214" t="s">
        <v>33</v>
      </c>
      <c r="V214">
        <v>26110</v>
      </c>
      <c r="W214">
        <v>3.5</v>
      </c>
      <c r="X214">
        <v>7</v>
      </c>
      <c r="Y214" t="s">
        <v>43</v>
      </c>
      <c r="Z214">
        <v>3.66</v>
      </c>
      <c r="AA214" t="s">
        <v>35</v>
      </c>
    </row>
    <row r="215" spans="1:27" x14ac:dyDescent="0.3">
      <c r="A215" t="s">
        <v>71</v>
      </c>
      <c r="B215" t="s">
        <v>72</v>
      </c>
      <c r="C215">
        <v>2024</v>
      </c>
      <c r="D215" t="s">
        <v>68</v>
      </c>
      <c r="E215">
        <v>32276.7</v>
      </c>
      <c r="F215">
        <v>53.8</v>
      </c>
      <c r="G215">
        <v>220</v>
      </c>
      <c r="H215">
        <v>127.9</v>
      </c>
      <c r="I215">
        <v>7.3</v>
      </c>
      <c r="J215">
        <v>142</v>
      </c>
      <c r="K215">
        <v>314</v>
      </c>
      <c r="L215">
        <v>266</v>
      </c>
      <c r="M215" t="s">
        <v>54</v>
      </c>
      <c r="N215">
        <v>5</v>
      </c>
      <c r="O215" t="s">
        <v>56</v>
      </c>
      <c r="P215">
        <v>18.5</v>
      </c>
      <c r="Q215">
        <v>1646</v>
      </c>
      <c r="R215">
        <v>5</v>
      </c>
      <c r="S215">
        <v>0</v>
      </c>
      <c r="T215" t="s">
        <v>73</v>
      </c>
      <c r="U215" t="s">
        <v>74</v>
      </c>
      <c r="V215">
        <v>236029</v>
      </c>
      <c r="W215">
        <v>3.7</v>
      </c>
      <c r="X215">
        <v>4</v>
      </c>
      <c r="Y215" t="s">
        <v>61</v>
      </c>
      <c r="Z215">
        <v>4.09</v>
      </c>
      <c r="AA215" t="s">
        <v>35</v>
      </c>
    </row>
    <row r="216" spans="1:27" x14ac:dyDescent="0.3">
      <c r="A216" t="s">
        <v>44</v>
      </c>
      <c r="B216" t="s">
        <v>45</v>
      </c>
      <c r="C216">
        <v>2024</v>
      </c>
      <c r="D216" t="s">
        <v>68</v>
      </c>
      <c r="E216">
        <v>61070.92</v>
      </c>
      <c r="F216">
        <v>75.7</v>
      </c>
      <c r="G216">
        <v>280</v>
      </c>
      <c r="H216">
        <v>76.8</v>
      </c>
      <c r="I216">
        <v>6.23</v>
      </c>
      <c r="J216">
        <v>156</v>
      </c>
      <c r="K216">
        <v>808</v>
      </c>
      <c r="L216">
        <v>740</v>
      </c>
      <c r="M216" t="s">
        <v>30</v>
      </c>
      <c r="N216">
        <v>7</v>
      </c>
      <c r="O216" t="s">
        <v>56</v>
      </c>
      <c r="P216">
        <v>25.2</v>
      </c>
      <c r="Q216">
        <v>1883</v>
      </c>
      <c r="R216">
        <v>5</v>
      </c>
      <c r="S216">
        <v>0</v>
      </c>
      <c r="T216" t="s">
        <v>47</v>
      </c>
      <c r="U216" t="s">
        <v>42</v>
      </c>
      <c r="V216">
        <v>2434</v>
      </c>
      <c r="W216">
        <v>3.3</v>
      </c>
      <c r="X216">
        <v>4</v>
      </c>
      <c r="Y216" t="s">
        <v>43</v>
      </c>
      <c r="Z216">
        <v>3.7</v>
      </c>
      <c r="AA216" t="s">
        <v>69</v>
      </c>
    </row>
    <row r="217" spans="1:27" x14ac:dyDescent="0.3">
      <c r="A217" t="s">
        <v>71</v>
      </c>
      <c r="B217" t="s">
        <v>72</v>
      </c>
      <c r="C217">
        <v>2025</v>
      </c>
      <c r="D217" t="s">
        <v>63</v>
      </c>
      <c r="E217">
        <v>67469.58</v>
      </c>
      <c r="F217">
        <v>57.5</v>
      </c>
      <c r="G217">
        <v>191</v>
      </c>
      <c r="H217">
        <v>57.3</v>
      </c>
      <c r="I217">
        <v>7.8</v>
      </c>
      <c r="J217">
        <v>138</v>
      </c>
      <c r="K217">
        <v>780</v>
      </c>
      <c r="L217">
        <v>688</v>
      </c>
      <c r="M217" t="s">
        <v>30</v>
      </c>
      <c r="N217">
        <v>7</v>
      </c>
      <c r="O217" t="s">
        <v>56</v>
      </c>
      <c r="P217">
        <v>21.2</v>
      </c>
      <c r="Q217">
        <v>1654</v>
      </c>
      <c r="R217">
        <v>4</v>
      </c>
      <c r="S217">
        <v>1</v>
      </c>
      <c r="T217" t="s">
        <v>73</v>
      </c>
      <c r="U217" t="s">
        <v>38</v>
      </c>
      <c r="V217">
        <v>179136</v>
      </c>
      <c r="W217">
        <v>3.5</v>
      </c>
      <c r="X217">
        <v>4</v>
      </c>
      <c r="Y217" t="s">
        <v>61</v>
      </c>
      <c r="Z217">
        <v>3.32</v>
      </c>
      <c r="AA217" t="s">
        <v>35</v>
      </c>
    </row>
    <row r="218" spans="1:27" x14ac:dyDescent="0.3">
      <c r="A218" t="s">
        <v>71</v>
      </c>
      <c r="B218" t="s">
        <v>72</v>
      </c>
      <c r="C218">
        <v>2025</v>
      </c>
      <c r="D218" t="s">
        <v>50</v>
      </c>
      <c r="E218">
        <v>48990.53</v>
      </c>
      <c r="F218">
        <v>99.3</v>
      </c>
      <c r="G218">
        <v>357</v>
      </c>
      <c r="H218">
        <v>57.3</v>
      </c>
      <c r="I218">
        <v>5.58</v>
      </c>
      <c r="J218">
        <v>156</v>
      </c>
      <c r="K218">
        <v>540</v>
      </c>
      <c r="L218">
        <v>454</v>
      </c>
      <c r="M218" t="s">
        <v>54</v>
      </c>
      <c r="N218">
        <v>5</v>
      </c>
      <c r="O218" t="s">
        <v>40</v>
      </c>
      <c r="P218">
        <v>58.2</v>
      </c>
      <c r="Q218">
        <v>2202</v>
      </c>
      <c r="R218">
        <v>4</v>
      </c>
      <c r="S218">
        <v>1</v>
      </c>
      <c r="T218" t="s">
        <v>73</v>
      </c>
      <c r="U218" t="s">
        <v>42</v>
      </c>
      <c r="V218">
        <v>211809</v>
      </c>
      <c r="W218">
        <v>3.7</v>
      </c>
      <c r="X218">
        <v>4</v>
      </c>
      <c r="Y218" t="s">
        <v>43</v>
      </c>
      <c r="Z218">
        <v>3.6</v>
      </c>
      <c r="AA218" t="s">
        <v>35</v>
      </c>
    </row>
    <row r="219" spans="1:27" x14ac:dyDescent="0.3">
      <c r="A219" t="s">
        <v>44</v>
      </c>
      <c r="B219" t="s">
        <v>45</v>
      </c>
      <c r="C219">
        <v>2024</v>
      </c>
      <c r="D219" t="s">
        <v>63</v>
      </c>
      <c r="E219">
        <v>56305.37</v>
      </c>
      <c r="F219">
        <v>52</v>
      </c>
      <c r="G219">
        <v>170</v>
      </c>
      <c r="H219">
        <v>83.9</v>
      </c>
      <c r="I219">
        <v>6.49</v>
      </c>
      <c r="J219">
        <v>149</v>
      </c>
      <c r="K219">
        <v>652</v>
      </c>
      <c r="L219">
        <v>577</v>
      </c>
      <c r="M219" t="s">
        <v>30</v>
      </c>
      <c r="N219">
        <v>5</v>
      </c>
      <c r="O219" t="s">
        <v>46</v>
      </c>
      <c r="P219">
        <v>61.8</v>
      </c>
      <c r="Q219">
        <v>1500</v>
      </c>
      <c r="R219">
        <v>4</v>
      </c>
      <c r="S219">
        <v>1</v>
      </c>
      <c r="T219" t="s">
        <v>47</v>
      </c>
      <c r="U219" t="s">
        <v>42</v>
      </c>
      <c r="V219">
        <v>2728</v>
      </c>
      <c r="W219">
        <v>3.2</v>
      </c>
      <c r="X219">
        <v>5</v>
      </c>
      <c r="Y219" t="s">
        <v>43</v>
      </c>
      <c r="Z219">
        <v>3.27</v>
      </c>
      <c r="AA219" t="s">
        <v>69</v>
      </c>
    </row>
    <row r="220" spans="1:27" x14ac:dyDescent="0.3">
      <c r="A220" t="s">
        <v>91</v>
      </c>
      <c r="B220" t="s">
        <v>122</v>
      </c>
      <c r="C220">
        <v>2021</v>
      </c>
      <c r="D220" t="s">
        <v>68</v>
      </c>
      <c r="E220">
        <v>94181.96</v>
      </c>
      <c r="F220">
        <v>40.799999999999997</v>
      </c>
      <c r="G220">
        <v>160</v>
      </c>
      <c r="H220">
        <v>97.4</v>
      </c>
      <c r="I220">
        <v>5.01</v>
      </c>
      <c r="J220">
        <v>176</v>
      </c>
      <c r="K220">
        <v>738</v>
      </c>
      <c r="L220">
        <v>659</v>
      </c>
      <c r="M220" t="s">
        <v>30</v>
      </c>
      <c r="N220">
        <v>7</v>
      </c>
      <c r="O220" t="s">
        <v>57</v>
      </c>
      <c r="P220">
        <v>38.6</v>
      </c>
      <c r="Q220">
        <v>1626</v>
      </c>
      <c r="R220">
        <v>5</v>
      </c>
      <c r="S220">
        <v>1</v>
      </c>
      <c r="T220" t="s">
        <v>32</v>
      </c>
      <c r="U220" t="s">
        <v>38</v>
      </c>
      <c r="V220">
        <v>79673</v>
      </c>
      <c r="W220">
        <v>3.1</v>
      </c>
      <c r="X220">
        <v>7</v>
      </c>
      <c r="Y220" t="s">
        <v>43</v>
      </c>
      <c r="Z220">
        <v>3.92</v>
      </c>
      <c r="AA220" t="s">
        <v>35</v>
      </c>
    </row>
    <row r="221" spans="1:27" x14ac:dyDescent="0.3">
      <c r="A221" t="s">
        <v>58</v>
      </c>
      <c r="B221" t="s">
        <v>111</v>
      </c>
      <c r="C221">
        <v>2025</v>
      </c>
      <c r="D221" t="s">
        <v>50</v>
      </c>
      <c r="E221">
        <v>122338.76</v>
      </c>
      <c r="F221">
        <v>85.1</v>
      </c>
      <c r="G221">
        <v>270</v>
      </c>
      <c r="H221">
        <v>58.6</v>
      </c>
      <c r="I221">
        <v>4</v>
      </c>
      <c r="J221">
        <v>193</v>
      </c>
      <c r="K221">
        <v>741</v>
      </c>
      <c r="L221">
        <v>661</v>
      </c>
      <c r="M221" t="s">
        <v>39</v>
      </c>
      <c r="N221">
        <v>7</v>
      </c>
      <c r="O221" t="s">
        <v>56</v>
      </c>
      <c r="P221">
        <v>16.600000000000001</v>
      </c>
      <c r="Q221">
        <v>1843</v>
      </c>
      <c r="R221">
        <v>3</v>
      </c>
      <c r="S221">
        <v>2</v>
      </c>
      <c r="T221" t="s">
        <v>32</v>
      </c>
      <c r="U221" t="s">
        <v>33</v>
      </c>
      <c r="V221">
        <v>52641</v>
      </c>
      <c r="W221">
        <v>4.0999999999999996</v>
      </c>
      <c r="X221">
        <v>7</v>
      </c>
      <c r="Y221" t="s">
        <v>43</v>
      </c>
      <c r="Z221">
        <v>3.17</v>
      </c>
      <c r="AA221" t="s">
        <v>35</v>
      </c>
    </row>
    <row r="222" spans="1:27" x14ac:dyDescent="0.3">
      <c r="A222" t="s">
        <v>91</v>
      </c>
      <c r="B222" t="s">
        <v>97</v>
      </c>
      <c r="C222">
        <v>2023</v>
      </c>
      <c r="D222" t="s">
        <v>68</v>
      </c>
      <c r="E222">
        <v>67705.119999999995</v>
      </c>
      <c r="F222">
        <v>63</v>
      </c>
      <c r="G222">
        <v>239</v>
      </c>
      <c r="H222">
        <v>65.7</v>
      </c>
      <c r="I222">
        <v>5.05</v>
      </c>
      <c r="J222">
        <v>176</v>
      </c>
      <c r="K222">
        <v>410</v>
      </c>
      <c r="L222">
        <v>318</v>
      </c>
      <c r="M222" t="s">
        <v>30</v>
      </c>
      <c r="N222">
        <v>5</v>
      </c>
      <c r="O222" t="s">
        <v>57</v>
      </c>
      <c r="P222">
        <v>27.6</v>
      </c>
      <c r="Q222">
        <v>1770</v>
      </c>
      <c r="R222">
        <v>5</v>
      </c>
      <c r="S222">
        <v>2</v>
      </c>
      <c r="T222" t="s">
        <v>32</v>
      </c>
      <c r="U222" t="s">
        <v>38</v>
      </c>
      <c r="V222">
        <v>68305</v>
      </c>
      <c r="W222">
        <v>3.3</v>
      </c>
      <c r="X222">
        <v>8</v>
      </c>
      <c r="Y222" t="s">
        <v>43</v>
      </c>
      <c r="Z222">
        <v>3.79</v>
      </c>
      <c r="AA222" t="s">
        <v>35</v>
      </c>
    </row>
    <row r="223" spans="1:27" x14ac:dyDescent="0.3">
      <c r="A223" t="s">
        <v>48</v>
      </c>
      <c r="B223" t="s">
        <v>123</v>
      </c>
      <c r="C223">
        <v>2024</v>
      </c>
      <c r="D223" t="s">
        <v>68</v>
      </c>
      <c r="E223">
        <v>44920.54</v>
      </c>
      <c r="F223">
        <v>57.9</v>
      </c>
      <c r="G223">
        <v>198</v>
      </c>
      <c r="H223">
        <v>78.599999999999994</v>
      </c>
      <c r="I223">
        <v>7.88</v>
      </c>
      <c r="J223">
        <v>122</v>
      </c>
      <c r="K223">
        <v>391</v>
      </c>
      <c r="L223">
        <v>344</v>
      </c>
      <c r="M223" t="s">
        <v>39</v>
      </c>
      <c r="N223">
        <v>5</v>
      </c>
      <c r="O223" t="s">
        <v>31</v>
      </c>
      <c r="P223">
        <v>68.8</v>
      </c>
      <c r="Q223">
        <v>2615</v>
      </c>
      <c r="R223">
        <v>5</v>
      </c>
      <c r="S223">
        <v>1</v>
      </c>
      <c r="T223" t="s">
        <v>51</v>
      </c>
      <c r="U223" t="s">
        <v>42</v>
      </c>
      <c r="V223">
        <v>145791</v>
      </c>
      <c r="W223">
        <v>3</v>
      </c>
      <c r="X223">
        <v>5</v>
      </c>
      <c r="Y223" t="s">
        <v>61</v>
      </c>
      <c r="Z223">
        <v>3.42</v>
      </c>
      <c r="AA223" t="s">
        <v>35</v>
      </c>
    </row>
    <row r="224" spans="1:27" x14ac:dyDescent="0.3">
      <c r="A224" t="s">
        <v>52</v>
      </c>
      <c r="B224" t="s">
        <v>80</v>
      </c>
      <c r="C224">
        <v>2024</v>
      </c>
      <c r="D224" t="s">
        <v>38</v>
      </c>
      <c r="E224">
        <v>47891.48</v>
      </c>
      <c r="F224">
        <v>42.5</v>
      </c>
      <c r="G224">
        <v>164</v>
      </c>
      <c r="H224">
        <v>276.3</v>
      </c>
      <c r="I224">
        <v>5.16</v>
      </c>
      <c r="J224">
        <v>175</v>
      </c>
      <c r="K224">
        <v>346</v>
      </c>
      <c r="L224">
        <v>313</v>
      </c>
      <c r="M224" t="s">
        <v>39</v>
      </c>
      <c r="N224">
        <v>7</v>
      </c>
      <c r="O224" t="s">
        <v>31</v>
      </c>
      <c r="P224">
        <v>74</v>
      </c>
      <c r="Q224">
        <v>2335</v>
      </c>
      <c r="R224">
        <v>3</v>
      </c>
      <c r="S224">
        <v>2</v>
      </c>
      <c r="T224" t="s">
        <v>47</v>
      </c>
      <c r="U224" t="s">
        <v>42</v>
      </c>
      <c r="V224">
        <v>118665</v>
      </c>
      <c r="W224">
        <v>3.7</v>
      </c>
      <c r="X224">
        <v>6</v>
      </c>
      <c r="Y224" t="s">
        <v>43</v>
      </c>
      <c r="Z224">
        <v>3.86</v>
      </c>
      <c r="AA224" t="s">
        <v>35</v>
      </c>
    </row>
    <row r="225" spans="1:27" x14ac:dyDescent="0.3">
      <c r="A225" t="s">
        <v>27</v>
      </c>
      <c r="B225" t="s">
        <v>82</v>
      </c>
      <c r="C225">
        <v>2022</v>
      </c>
      <c r="D225" t="s">
        <v>38</v>
      </c>
      <c r="E225">
        <v>62108.39</v>
      </c>
      <c r="F225">
        <v>82.1</v>
      </c>
      <c r="G225">
        <v>268</v>
      </c>
      <c r="H225">
        <v>60.6</v>
      </c>
      <c r="I225">
        <v>7.01</v>
      </c>
      <c r="J225">
        <v>137</v>
      </c>
      <c r="K225">
        <v>637</v>
      </c>
      <c r="L225">
        <v>524</v>
      </c>
      <c r="M225" t="s">
        <v>39</v>
      </c>
      <c r="N225">
        <v>7</v>
      </c>
      <c r="O225" t="s">
        <v>40</v>
      </c>
      <c r="P225">
        <v>38</v>
      </c>
      <c r="Q225">
        <v>1760</v>
      </c>
      <c r="R225">
        <v>5</v>
      </c>
      <c r="S225">
        <v>0</v>
      </c>
      <c r="T225" t="s">
        <v>32</v>
      </c>
      <c r="U225" t="s">
        <v>42</v>
      </c>
      <c r="V225">
        <v>222675</v>
      </c>
      <c r="W225">
        <v>3.2</v>
      </c>
      <c r="X225">
        <v>5</v>
      </c>
      <c r="Y225" t="s">
        <v>61</v>
      </c>
      <c r="Z225">
        <v>3.26</v>
      </c>
      <c r="AA225" t="s">
        <v>35</v>
      </c>
    </row>
    <row r="226" spans="1:27" x14ac:dyDescent="0.3">
      <c r="A226" t="s">
        <v>71</v>
      </c>
      <c r="B226" t="s">
        <v>72</v>
      </c>
      <c r="C226">
        <v>2025</v>
      </c>
      <c r="D226" t="s">
        <v>50</v>
      </c>
      <c r="E226">
        <v>24414.35</v>
      </c>
      <c r="F226">
        <v>86.4</v>
      </c>
      <c r="G226">
        <v>281</v>
      </c>
      <c r="H226">
        <v>141</v>
      </c>
      <c r="I226">
        <v>5.27</v>
      </c>
      <c r="J226">
        <v>175</v>
      </c>
      <c r="K226">
        <v>170</v>
      </c>
      <c r="L226">
        <v>200</v>
      </c>
      <c r="M226" t="s">
        <v>39</v>
      </c>
      <c r="N226">
        <v>5</v>
      </c>
      <c r="O226" t="s">
        <v>65</v>
      </c>
      <c r="P226">
        <v>38.9</v>
      </c>
      <c r="Q226">
        <v>1500</v>
      </c>
      <c r="R226">
        <v>5</v>
      </c>
      <c r="S226">
        <v>0</v>
      </c>
      <c r="T226" t="s">
        <v>73</v>
      </c>
      <c r="U226" t="s">
        <v>74</v>
      </c>
      <c r="V226">
        <v>228388</v>
      </c>
      <c r="W226">
        <v>3.6</v>
      </c>
      <c r="X226">
        <v>4</v>
      </c>
      <c r="Y226" t="s">
        <v>43</v>
      </c>
      <c r="Z226">
        <v>3.25</v>
      </c>
      <c r="AA226" t="s">
        <v>35</v>
      </c>
    </row>
    <row r="227" spans="1:27" x14ac:dyDescent="0.3">
      <c r="A227" t="s">
        <v>71</v>
      </c>
      <c r="B227" t="s">
        <v>115</v>
      </c>
      <c r="C227">
        <v>2023</v>
      </c>
      <c r="D227" t="s">
        <v>68</v>
      </c>
      <c r="E227">
        <v>36044.93</v>
      </c>
      <c r="F227">
        <v>74.5</v>
      </c>
      <c r="G227">
        <v>251</v>
      </c>
      <c r="H227">
        <v>96.5</v>
      </c>
      <c r="I227">
        <v>7.83</v>
      </c>
      <c r="J227">
        <v>127</v>
      </c>
      <c r="K227">
        <v>336</v>
      </c>
      <c r="L227">
        <v>291</v>
      </c>
      <c r="M227" t="s">
        <v>39</v>
      </c>
      <c r="N227">
        <v>5</v>
      </c>
      <c r="O227" t="s">
        <v>31</v>
      </c>
      <c r="P227">
        <v>64.3</v>
      </c>
      <c r="Q227">
        <v>2600</v>
      </c>
      <c r="R227">
        <v>4</v>
      </c>
      <c r="S227">
        <v>0</v>
      </c>
      <c r="T227" t="s">
        <v>73</v>
      </c>
      <c r="U227" t="s">
        <v>42</v>
      </c>
      <c r="V227">
        <v>117310</v>
      </c>
      <c r="W227">
        <v>3.6</v>
      </c>
      <c r="X227">
        <v>5</v>
      </c>
      <c r="Y227" t="s">
        <v>61</v>
      </c>
      <c r="Z227">
        <v>3.37</v>
      </c>
      <c r="AA227" t="s">
        <v>35</v>
      </c>
    </row>
    <row r="228" spans="1:27" x14ac:dyDescent="0.3">
      <c r="A228" t="s">
        <v>66</v>
      </c>
      <c r="B228" t="s">
        <v>67</v>
      </c>
      <c r="C228">
        <v>2024</v>
      </c>
      <c r="D228" t="s">
        <v>38</v>
      </c>
      <c r="E228">
        <v>67456.63</v>
      </c>
      <c r="F228">
        <v>41.7</v>
      </c>
      <c r="G228">
        <v>150</v>
      </c>
      <c r="H228">
        <v>55.2</v>
      </c>
      <c r="I228">
        <v>5.69</v>
      </c>
      <c r="J228">
        <v>169</v>
      </c>
      <c r="K228">
        <v>509</v>
      </c>
      <c r="L228">
        <v>469</v>
      </c>
      <c r="M228" t="s">
        <v>30</v>
      </c>
      <c r="N228">
        <v>5</v>
      </c>
      <c r="O228" t="s">
        <v>57</v>
      </c>
      <c r="P228">
        <v>16.5</v>
      </c>
      <c r="Q228">
        <v>1631</v>
      </c>
      <c r="R228">
        <v>4</v>
      </c>
      <c r="S228">
        <v>1</v>
      </c>
      <c r="T228" t="s">
        <v>47</v>
      </c>
      <c r="U228" t="s">
        <v>38</v>
      </c>
      <c r="V228">
        <v>20333</v>
      </c>
      <c r="W228">
        <v>3.3</v>
      </c>
      <c r="X228">
        <v>4</v>
      </c>
      <c r="Y228" t="s">
        <v>43</v>
      </c>
      <c r="Z228">
        <v>3.6</v>
      </c>
      <c r="AA228" t="s">
        <v>35</v>
      </c>
    </row>
    <row r="229" spans="1:27" x14ac:dyDescent="0.3">
      <c r="A229" t="s">
        <v>27</v>
      </c>
      <c r="B229" t="s">
        <v>28</v>
      </c>
      <c r="C229">
        <v>2025</v>
      </c>
      <c r="D229" t="s">
        <v>50</v>
      </c>
      <c r="E229">
        <v>52579.97</v>
      </c>
      <c r="F229">
        <v>94.8</v>
      </c>
      <c r="G229">
        <v>325</v>
      </c>
      <c r="H229">
        <v>90.3</v>
      </c>
      <c r="I229">
        <v>5.3</v>
      </c>
      <c r="J229">
        <v>171</v>
      </c>
      <c r="K229">
        <v>508</v>
      </c>
      <c r="L229">
        <v>499</v>
      </c>
      <c r="M229" t="s">
        <v>39</v>
      </c>
      <c r="N229">
        <v>5</v>
      </c>
      <c r="O229" t="s">
        <v>56</v>
      </c>
      <c r="P229">
        <v>19</v>
      </c>
      <c r="Q229">
        <v>1588</v>
      </c>
      <c r="R229">
        <v>3</v>
      </c>
      <c r="S229">
        <v>1</v>
      </c>
      <c r="T229" t="s">
        <v>32</v>
      </c>
      <c r="U229" t="s">
        <v>42</v>
      </c>
      <c r="V229">
        <v>238272</v>
      </c>
      <c r="W229">
        <v>3.6</v>
      </c>
      <c r="X229">
        <v>4</v>
      </c>
      <c r="Y229" t="s">
        <v>43</v>
      </c>
      <c r="Z229">
        <v>3.43</v>
      </c>
      <c r="AA229" t="s">
        <v>35</v>
      </c>
    </row>
    <row r="230" spans="1:27" x14ac:dyDescent="0.3">
      <c r="A230" t="s">
        <v>94</v>
      </c>
      <c r="B230" t="s">
        <v>125</v>
      </c>
      <c r="C230">
        <v>2025</v>
      </c>
      <c r="D230" t="s">
        <v>63</v>
      </c>
      <c r="E230">
        <v>81941.39</v>
      </c>
      <c r="F230">
        <v>40.200000000000003</v>
      </c>
      <c r="G230">
        <v>150</v>
      </c>
      <c r="H230">
        <v>138.19999999999999</v>
      </c>
      <c r="I230">
        <v>5.44</v>
      </c>
      <c r="J230">
        <v>166</v>
      </c>
      <c r="K230">
        <v>495</v>
      </c>
      <c r="L230">
        <v>468</v>
      </c>
      <c r="M230" t="s">
        <v>54</v>
      </c>
      <c r="N230">
        <v>5</v>
      </c>
      <c r="O230" t="s">
        <v>57</v>
      </c>
      <c r="P230">
        <v>35.5</v>
      </c>
      <c r="Q230">
        <v>1693</v>
      </c>
      <c r="R230">
        <v>5</v>
      </c>
      <c r="S230">
        <v>2</v>
      </c>
      <c r="T230" t="s">
        <v>32</v>
      </c>
      <c r="U230" t="s">
        <v>38</v>
      </c>
      <c r="V230">
        <v>77358</v>
      </c>
      <c r="W230">
        <v>3</v>
      </c>
      <c r="X230">
        <v>7</v>
      </c>
      <c r="Y230" t="s">
        <v>43</v>
      </c>
      <c r="Z230">
        <v>3.73</v>
      </c>
      <c r="AA230" t="s">
        <v>35</v>
      </c>
    </row>
    <row r="231" spans="1:27" x14ac:dyDescent="0.3">
      <c r="A231" t="s">
        <v>91</v>
      </c>
      <c r="B231" t="s">
        <v>124</v>
      </c>
      <c r="C231">
        <v>2026</v>
      </c>
      <c r="D231" t="s">
        <v>29</v>
      </c>
      <c r="E231">
        <v>133852.24</v>
      </c>
      <c r="F231">
        <v>84.9</v>
      </c>
      <c r="G231">
        <v>318</v>
      </c>
      <c r="H231">
        <v>197.1</v>
      </c>
      <c r="I231">
        <v>2.9</v>
      </c>
      <c r="J231">
        <v>200</v>
      </c>
      <c r="K231">
        <v>1000</v>
      </c>
      <c r="L231">
        <v>904</v>
      </c>
      <c r="M231" t="s">
        <v>30</v>
      </c>
      <c r="N231">
        <v>5</v>
      </c>
      <c r="O231" t="s">
        <v>31</v>
      </c>
      <c r="P231">
        <v>55</v>
      </c>
      <c r="Q231">
        <v>2197</v>
      </c>
      <c r="R231">
        <v>4</v>
      </c>
      <c r="S231">
        <v>2</v>
      </c>
      <c r="T231" t="s">
        <v>32</v>
      </c>
      <c r="U231" t="s">
        <v>33</v>
      </c>
      <c r="V231">
        <v>50521</v>
      </c>
      <c r="W231">
        <v>3.5</v>
      </c>
      <c r="X231">
        <v>7</v>
      </c>
      <c r="Y231" t="s">
        <v>34</v>
      </c>
      <c r="Z231">
        <v>3.75</v>
      </c>
      <c r="AA231" t="s">
        <v>35</v>
      </c>
    </row>
    <row r="232" spans="1:27" x14ac:dyDescent="0.3">
      <c r="A232" t="s">
        <v>84</v>
      </c>
      <c r="B232" t="s">
        <v>85</v>
      </c>
      <c r="C232">
        <v>2025</v>
      </c>
      <c r="D232" t="s">
        <v>68</v>
      </c>
      <c r="E232">
        <v>56042.09</v>
      </c>
      <c r="F232">
        <v>79.5</v>
      </c>
      <c r="G232">
        <v>293</v>
      </c>
      <c r="H232">
        <v>130.19999999999999</v>
      </c>
      <c r="I232">
        <v>6.05</v>
      </c>
      <c r="J232">
        <v>157</v>
      </c>
      <c r="K232">
        <v>541</v>
      </c>
      <c r="L232">
        <v>501</v>
      </c>
      <c r="M232" t="s">
        <v>54</v>
      </c>
      <c r="N232">
        <v>5</v>
      </c>
      <c r="O232" t="s">
        <v>40</v>
      </c>
      <c r="P232">
        <v>66.900000000000006</v>
      </c>
      <c r="Q232">
        <v>2215</v>
      </c>
      <c r="R232">
        <v>3</v>
      </c>
      <c r="S232">
        <v>0</v>
      </c>
      <c r="T232" t="s">
        <v>47</v>
      </c>
      <c r="U232" t="s">
        <v>42</v>
      </c>
      <c r="V232">
        <v>69874</v>
      </c>
      <c r="W232">
        <v>3.4</v>
      </c>
      <c r="X232">
        <v>4</v>
      </c>
      <c r="Y232" t="s">
        <v>43</v>
      </c>
      <c r="Z232">
        <v>3.69</v>
      </c>
      <c r="AA232" t="s">
        <v>35</v>
      </c>
    </row>
    <row r="233" spans="1:27" x14ac:dyDescent="0.3">
      <c r="A233" t="s">
        <v>76</v>
      </c>
      <c r="B233" t="s">
        <v>114</v>
      </c>
      <c r="C233">
        <v>2024</v>
      </c>
      <c r="D233" t="s">
        <v>50</v>
      </c>
      <c r="E233">
        <v>83570.149999999994</v>
      </c>
      <c r="F233">
        <v>78.5</v>
      </c>
      <c r="G233">
        <v>258</v>
      </c>
      <c r="H233">
        <v>51.5</v>
      </c>
      <c r="I233">
        <v>4.33</v>
      </c>
      <c r="J233">
        <v>189</v>
      </c>
      <c r="K233">
        <v>1000</v>
      </c>
      <c r="L233">
        <v>924</v>
      </c>
      <c r="M233" t="s">
        <v>30</v>
      </c>
      <c r="N233">
        <v>5</v>
      </c>
      <c r="O233" t="s">
        <v>57</v>
      </c>
      <c r="P233">
        <v>17</v>
      </c>
      <c r="Q233">
        <v>1794</v>
      </c>
      <c r="R233">
        <v>5</v>
      </c>
      <c r="S233">
        <v>1</v>
      </c>
      <c r="T233" t="s">
        <v>51</v>
      </c>
      <c r="U233" t="s">
        <v>38</v>
      </c>
      <c r="V233">
        <v>145959</v>
      </c>
      <c r="W233">
        <v>3.4</v>
      </c>
      <c r="X233">
        <v>4</v>
      </c>
      <c r="Y233" t="s">
        <v>43</v>
      </c>
      <c r="Z233">
        <v>3.29</v>
      </c>
      <c r="AA233" t="s">
        <v>35</v>
      </c>
    </row>
    <row r="234" spans="1:27" x14ac:dyDescent="0.3">
      <c r="A234" t="s">
        <v>48</v>
      </c>
      <c r="B234" t="s">
        <v>79</v>
      </c>
      <c r="C234">
        <v>2022</v>
      </c>
      <c r="D234" t="s">
        <v>29</v>
      </c>
      <c r="E234">
        <v>111175.38</v>
      </c>
      <c r="F234">
        <v>89.2</v>
      </c>
      <c r="G234">
        <v>319</v>
      </c>
      <c r="H234">
        <v>178.4</v>
      </c>
      <c r="I234">
        <v>3.67</v>
      </c>
      <c r="J234">
        <v>190</v>
      </c>
      <c r="K234">
        <v>1000</v>
      </c>
      <c r="L234">
        <v>964</v>
      </c>
      <c r="M234" t="s">
        <v>54</v>
      </c>
      <c r="N234">
        <v>5</v>
      </c>
      <c r="O234" t="s">
        <v>56</v>
      </c>
      <c r="P234">
        <v>18.8</v>
      </c>
      <c r="Q234">
        <v>1538</v>
      </c>
      <c r="R234">
        <v>5</v>
      </c>
      <c r="S234">
        <v>1</v>
      </c>
      <c r="T234" t="s">
        <v>51</v>
      </c>
      <c r="U234" t="s">
        <v>33</v>
      </c>
      <c r="V234">
        <v>51798</v>
      </c>
      <c r="W234">
        <v>3.8</v>
      </c>
      <c r="X234">
        <v>5</v>
      </c>
      <c r="Y234" t="s">
        <v>34</v>
      </c>
      <c r="Z234">
        <v>3.58</v>
      </c>
      <c r="AA234" t="s">
        <v>35</v>
      </c>
    </row>
    <row r="235" spans="1:27" x14ac:dyDescent="0.3">
      <c r="A235" t="s">
        <v>76</v>
      </c>
      <c r="B235" t="s">
        <v>114</v>
      </c>
      <c r="C235">
        <v>2025</v>
      </c>
      <c r="D235" t="s">
        <v>63</v>
      </c>
      <c r="E235">
        <v>61128.92</v>
      </c>
      <c r="F235">
        <v>46.1</v>
      </c>
      <c r="G235">
        <v>180</v>
      </c>
      <c r="H235">
        <v>80.3</v>
      </c>
      <c r="I235">
        <v>6.4</v>
      </c>
      <c r="J235">
        <v>153</v>
      </c>
      <c r="K235">
        <v>706</v>
      </c>
      <c r="L235">
        <v>583</v>
      </c>
      <c r="M235" t="s">
        <v>54</v>
      </c>
      <c r="N235">
        <v>5</v>
      </c>
      <c r="O235" t="s">
        <v>46</v>
      </c>
      <c r="P235">
        <v>78</v>
      </c>
      <c r="Q235">
        <v>1903</v>
      </c>
      <c r="R235">
        <v>5</v>
      </c>
      <c r="S235">
        <v>0</v>
      </c>
      <c r="T235" t="s">
        <v>51</v>
      </c>
      <c r="U235" t="s">
        <v>42</v>
      </c>
      <c r="V235">
        <v>110095</v>
      </c>
      <c r="W235">
        <v>3.3</v>
      </c>
      <c r="X235">
        <v>3</v>
      </c>
      <c r="Y235" t="s">
        <v>43</v>
      </c>
      <c r="Z235">
        <v>3.9</v>
      </c>
      <c r="AA235" t="s">
        <v>35</v>
      </c>
    </row>
    <row r="236" spans="1:27" x14ac:dyDescent="0.3">
      <c r="A236" t="s">
        <v>52</v>
      </c>
      <c r="B236" t="s">
        <v>55</v>
      </c>
      <c r="C236">
        <v>2023</v>
      </c>
      <c r="D236" t="s">
        <v>68</v>
      </c>
      <c r="E236">
        <v>44516.36</v>
      </c>
      <c r="F236">
        <v>56.4</v>
      </c>
      <c r="G236">
        <v>227</v>
      </c>
      <c r="H236">
        <v>211.2</v>
      </c>
      <c r="I236">
        <v>6.51</v>
      </c>
      <c r="J236">
        <v>147</v>
      </c>
      <c r="K236">
        <v>308</v>
      </c>
      <c r="L236">
        <v>239</v>
      </c>
      <c r="M236" t="s">
        <v>39</v>
      </c>
      <c r="N236">
        <v>5</v>
      </c>
      <c r="O236" t="s">
        <v>65</v>
      </c>
      <c r="P236">
        <v>15.2</v>
      </c>
      <c r="Q236">
        <v>1513</v>
      </c>
      <c r="R236">
        <v>4</v>
      </c>
      <c r="S236">
        <v>2</v>
      </c>
      <c r="T236" t="s">
        <v>47</v>
      </c>
      <c r="U236" t="s">
        <v>42</v>
      </c>
      <c r="V236">
        <v>403294</v>
      </c>
      <c r="W236">
        <v>3.5</v>
      </c>
      <c r="X236">
        <v>5</v>
      </c>
      <c r="Y236" t="s">
        <v>43</v>
      </c>
      <c r="Z236">
        <v>4.0199999999999996</v>
      </c>
      <c r="AA236" t="s">
        <v>35</v>
      </c>
    </row>
    <row r="237" spans="1:27" x14ac:dyDescent="0.3">
      <c r="A237" t="s">
        <v>44</v>
      </c>
      <c r="B237" t="s">
        <v>110</v>
      </c>
      <c r="C237">
        <v>2025</v>
      </c>
      <c r="D237" t="s">
        <v>68</v>
      </c>
      <c r="E237">
        <v>32070.17</v>
      </c>
      <c r="F237">
        <v>44.1</v>
      </c>
      <c r="G237">
        <v>158</v>
      </c>
      <c r="H237">
        <v>62.7</v>
      </c>
      <c r="I237">
        <v>6.07</v>
      </c>
      <c r="J237">
        <v>161</v>
      </c>
      <c r="K237">
        <v>279</v>
      </c>
      <c r="L237">
        <v>261</v>
      </c>
      <c r="M237" t="s">
        <v>30</v>
      </c>
      <c r="N237">
        <v>5</v>
      </c>
      <c r="O237" t="s">
        <v>40</v>
      </c>
      <c r="P237">
        <v>66.099999999999994</v>
      </c>
      <c r="Q237">
        <v>2020</v>
      </c>
      <c r="R237">
        <v>4</v>
      </c>
      <c r="S237">
        <v>0</v>
      </c>
      <c r="T237" t="s">
        <v>47</v>
      </c>
      <c r="U237" t="s">
        <v>74</v>
      </c>
      <c r="V237">
        <v>1331</v>
      </c>
      <c r="W237">
        <v>3.3</v>
      </c>
      <c r="X237">
        <v>3</v>
      </c>
      <c r="Y237" t="s">
        <v>43</v>
      </c>
      <c r="Z237">
        <v>3.58</v>
      </c>
      <c r="AA237" t="s">
        <v>69</v>
      </c>
    </row>
    <row r="238" spans="1:27" x14ac:dyDescent="0.3">
      <c r="A238" t="s">
        <v>71</v>
      </c>
      <c r="B238" t="s">
        <v>81</v>
      </c>
      <c r="C238">
        <v>2024</v>
      </c>
      <c r="D238" t="s">
        <v>38</v>
      </c>
      <c r="E238">
        <v>107358.88</v>
      </c>
      <c r="F238">
        <v>58.4</v>
      </c>
      <c r="G238">
        <v>205</v>
      </c>
      <c r="H238">
        <v>140.80000000000001</v>
      </c>
      <c r="I238">
        <v>7.41</v>
      </c>
      <c r="J238">
        <v>132</v>
      </c>
      <c r="K238">
        <v>1000</v>
      </c>
      <c r="L238">
        <v>888</v>
      </c>
      <c r="M238" t="s">
        <v>39</v>
      </c>
      <c r="N238">
        <v>7</v>
      </c>
      <c r="O238" t="s">
        <v>57</v>
      </c>
      <c r="P238">
        <v>27.3</v>
      </c>
      <c r="Q238">
        <v>1661</v>
      </c>
      <c r="R238">
        <v>3</v>
      </c>
      <c r="S238">
        <v>1</v>
      </c>
      <c r="T238" t="s">
        <v>73</v>
      </c>
      <c r="U238" t="s">
        <v>33</v>
      </c>
      <c r="V238">
        <v>110469</v>
      </c>
      <c r="W238">
        <v>3.6</v>
      </c>
      <c r="X238">
        <v>4</v>
      </c>
      <c r="Y238" t="s">
        <v>61</v>
      </c>
      <c r="Z238">
        <v>3.51</v>
      </c>
      <c r="AA238" t="s">
        <v>35</v>
      </c>
    </row>
    <row r="239" spans="1:27" x14ac:dyDescent="0.3">
      <c r="A239" t="s">
        <v>52</v>
      </c>
      <c r="B239" t="s">
        <v>55</v>
      </c>
      <c r="C239">
        <v>2026</v>
      </c>
      <c r="D239" t="s">
        <v>68</v>
      </c>
      <c r="E239">
        <v>78088.259999999995</v>
      </c>
      <c r="F239">
        <v>70.2</v>
      </c>
      <c r="G239">
        <v>245</v>
      </c>
      <c r="H239">
        <v>310.8</v>
      </c>
      <c r="I239">
        <v>7.6</v>
      </c>
      <c r="J239">
        <v>130</v>
      </c>
      <c r="K239">
        <v>599</v>
      </c>
      <c r="L239">
        <v>573</v>
      </c>
      <c r="M239" t="s">
        <v>30</v>
      </c>
      <c r="N239">
        <v>7</v>
      </c>
      <c r="O239" t="s">
        <v>65</v>
      </c>
      <c r="P239">
        <v>26.8</v>
      </c>
      <c r="Q239">
        <v>1514</v>
      </c>
      <c r="R239">
        <v>5</v>
      </c>
      <c r="S239">
        <v>2</v>
      </c>
      <c r="T239" t="s">
        <v>47</v>
      </c>
      <c r="U239" t="s">
        <v>38</v>
      </c>
      <c r="V239">
        <v>489120</v>
      </c>
      <c r="W239">
        <v>3.8</v>
      </c>
      <c r="X239">
        <v>5</v>
      </c>
      <c r="Y239" t="s">
        <v>61</v>
      </c>
      <c r="Z239">
        <v>3.49</v>
      </c>
      <c r="AA239" t="s">
        <v>35</v>
      </c>
    </row>
    <row r="240" spans="1:27" x14ac:dyDescent="0.3">
      <c r="A240" t="s">
        <v>91</v>
      </c>
      <c r="B240" t="s">
        <v>122</v>
      </c>
      <c r="C240">
        <v>2025</v>
      </c>
      <c r="D240" t="s">
        <v>29</v>
      </c>
      <c r="E240">
        <v>132666.57999999999</v>
      </c>
      <c r="F240">
        <v>82</v>
      </c>
      <c r="G240">
        <v>299</v>
      </c>
      <c r="H240">
        <v>208.4</v>
      </c>
      <c r="I240">
        <v>3.52</v>
      </c>
      <c r="J240">
        <v>194</v>
      </c>
      <c r="K240">
        <v>1000</v>
      </c>
      <c r="L240">
        <v>873</v>
      </c>
      <c r="M240" t="s">
        <v>30</v>
      </c>
      <c r="N240">
        <v>7</v>
      </c>
      <c r="O240" t="s">
        <v>46</v>
      </c>
      <c r="P240">
        <v>68.2</v>
      </c>
      <c r="Q240">
        <v>1817</v>
      </c>
      <c r="R240">
        <v>5</v>
      </c>
      <c r="S240">
        <v>1</v>
      </c>
      <c r="T240" t="s">
        <v>32</v>
      </c>
      <c r="U240" t="s">
        <v>33</v>
      </c>
      <c r="V240">
        <v>71584</v>
      </c>
      <c r="W240">
        <v>3.7</v>
      </c>
      <c r="X240">
        <v>6</v>
      </c>
      <c r="Y240" t="s">
        <v>34</v>
      </c>
      <c r="Z240">
        <v>3.65</v>
      </c>
      <c r="AA240" t="s">
        <v>35</v>
      </c>
    </row>
    <row r="241" spans="1:27" x14ac:dyDescent="0.3">
      <c r="A241" t="s">
        <v>52</v>
      </c>
      <c r="B241" t="s">
        <v>86</v>
      </c>
      <c r="C241">
        <v>2023</v>
      </c>
      <c r="D241" t="s">
        <v>38</v>
      </c>
      <c r="E241">
        <v>100324.34</v>
      </c>
      <c r="F241">
        <v>79.900000000000006</v>
      </c>
      <c r="G241">
        <v>300</v>
      </c>
      <c r="H241">
        <v>214.5</v>
      </c>
      <c r="I241">
        <v>6.43</v>
      </c>
      <c r="J241">
        <v>150</v>
      </c>
      <c r="K241">
        <v>724</v>
      </c>
      <c r="L241">
        <v>607</v>
      </c>
      <c r="M241" t="s">
        <v>30</v>
      </c>
      <c r="N241">
        <v>5</v>
      </c>
      <c r="O241" t="s">
        <v>57</v>
      </c>
      <c r="P241">
        <v>22.9</v>
      </c>
      <c r="Q241">
        <v>1500</v>
      </c>
      <c r="R241">
        <v>4</v>
      </c>
      <c r="S241">
        <v>2</v>
      </c>
      <c r="T241" t="s">
        <v>47</v>
      </c>
      <c r="U241" t="s">
        <v>33</v>
      </c>
      <c r="V241">
        <v>121739</v>
      </c>
      <c r="W241">
        <v>3.6</v>
      </c>
      <c r="X241">
        <v>4</v>
      </c>
      <c r="Y241" t="s">
        <v>43</v>
      </c>
      <c r="Z241">
        <v>3.75</v>
      </c>
      <c r="AA241" t="s">
        <v>35</v>
      </c>
    </row>
    <row r="242" spans="1:27" x14ac:dyDescent="0.3">
      <c r="A242" t="s">
        <v>100</v>
      </c>
      <c r="B242" t="s">
        <v>127</v>
      </c>
      <c r="C242">
        <v>2022</v>
      </c>
      <c r="D242" t="s">
        <v>68</v>
      </c>
      <c r="E242">
        <v>69452.42</v>
      </c>
      <c r="F242">
        <v>47.9</v>
      </c>
      <c r="G242">
        <v>170</v>
      </c>
      <c r="H242">
        <v>63.1</v>
      </c>
      <c r="I242">
        <v>7.3</v>
      </c>
      <c r="J242">
        <v>147</v>
      </c>
      <c r="K242">
        <v>514</v>
      </c>
      <c r="L242">
        <v>452</v>
      </c>
      <c r="M242" t="s">
        <v>39</v>
      </c>
      <c r="N242">
        <v>5</v>
      </c>
      <c r="O242" t="s">
        <v>65</v>
      </c>
      <c r="P242">
        <v>22.3</v>
      </c>
      <c r="Q242">
        <v>1500</v>
      </c>
      <c r="R242">
        <v>5</v>
      </c>
      <c r="S242">
        <v>0</v>
      </c>
      <c r="T242" t="s">
        <v>73</v>
      </c>
      <c r="U242" t="s">
        <v>38</v>
      </c>
      <c r="V242">
        <v>28334</v>
      </c>
      <c r="W242">
        <v>3.2</v>
      </c>
      <c r="X242">
        <v>5</v>
      </c>
      <c r="Y242" t="s">
        <v>61</v>
      </c>
      <c r="Z242">
        <v>3.55</v>
      </c>
      <c r="AA242" t="s">
        <v>35</v>
      </c>
    </row>
    <row r="243" spans="1:27" x14ac:dyDescent="0.3">
      <c r="A243" t="s">
        <v>36</v>
      </c>
      <c r="B243" t="s">
        <v>120</v>
      </c>
      <c r="C243">
        <v>2023</v>
      </c>
      <c r="D243" t="s">
        <v>63</v>
      </c>
      <c r="E243">
        <v>53579.07</v>
      </c>
      <c r="F243">
        <v>65.5</v>
      </c>
      <c r="G243">
        <v>233</v>
      </c>
      <c r="H243">
        <v>141.19999999999999</v>
      </c>
      <c r="I243">
        <v>7.84</v>
      </c>
      <c r="J243">
        <v>133</v>
      </c>
      <c r="K243">
        <v>505</v>
      </c>
      <c r="L243">
        <v>443</v>
      </c>
      <c r="M243" t="s">
        <v>39</v>
      </c>
      <c r="N243">
        <v>7</v>
      </c>
      <c r="O243" t="s">
        <v>57</v>
      </c>
      <c r="P243">
        <v>36.5</v>
      </c>
      <c r="Q243">
        <v>1576</v>
      </c>
      <c r="R243">
        <v>4</v>
      </c>
      <c r="S243">
        <v>0</v>
      </c>
      <c r="T243" t="s">
        <v>41</v>
      </c>
      <c r="U243" t="s">
        <v>42</v>
      </c>
      <c r="V243">
        <v>16544</v>
      </c>
      <c r="W243">
        <v>3.4</v>
      </c>
      <c r="X243">
        <v>4</v>
      </c>
      <c r="Y243" t="s">
        <v>61</v>
      </c>
      <c r="Z243">
        <v>3.56</v>
      </c>
      <c r="AA243" t="s">
        <v>43</v>
      </c>
    </row>
    <row r="244" spans="1:27" x14ac:dyDescent="0.3">
      <c r="A244" t="s">
        <v>102</v>
      </c>
      <c r="B244" t="s">
        <v>103</v>
      </c>
      <c r="C244">
        <v>2023</v>
      </c>
      <c r="D244" t="s">
        <v>68</v>
      </c>
      <c r="E244">
        <v>81874.34</v>
      </c>
      <c r="F244">
        <v>83.6</v>
      </c>
      <c r="G244">
        <v>317</v>
      </c>
      <c r="H244">
        <v>132.5</v>
      </c>
      <c r="I244">
        <v>5.17</v>
      </c>
      <c r="J244">
        <v>177</v>
      </c>
      <c r="K244">
        <v>866</v>
      </c>
      <c r="L244">
        <v>733</v>
      </c>
      <c r="M244" t="s">
        <v>30</v>
      </c>
      <c r="N244">
        <v>5</v>
      </c>
      <c r="O244" t="s">
        <v>65</v>
      </c>
      <c r="P244">
        <v>37.9</v>
      </c>
      <c r="Q244">
        <v>1668</v>
      </c>
      <c r="R244">
        <v>4</v>
      </c>
      <c r="S244">
        <v>1</v>
      </c>
      <c r="T244" t="s">
        <v>47</v>
      </c>
      <c r="U244" t="s">
        <v>38</v>
      </c>
      <c r="V244">
        <v>1989</v>
      </c>
      <c r="W244">
        <v>3.6</v>
      </c>
      <c r="X244">
        <v>4</v>
      </c>
      <c r="Y244" t="s">
        <v>43</v>
      </c>
      <c r="Z244">
        <v>3.79</v>
      </c>
      <c r="AA244" t="s">
        <v>69</v>
      </c>
    </row>
    <row r="245" spans="1:27" x14ac:dyDescent="0.3">
      <c r="A245" t="s">
        <v>27</v>
      </c>
      <c r="B245" t="s">
        <v>83</v>
      </c>
      <c r="C245">
        <v>2024</v>
      </c>
      <c r="D245" t="s">
        <v>50</v>
      </c>
      <c r="E245">
        <v>59514</v>
      </c>
      <c r="F245">
        <v>103.6</v>
      </c>
      <c r="G245">
        <v>337</v>
      </c>
      <c r="H245">
        <v>124.5</v>
      </c>
      <c r="I245">
        <v>4.16</v>
      </c>
      <c r="J245">
        <v>183</v>
      </c>
      <c r="K245">
        <v>577</v>
      </c>
      <c r="L245">
        <v>501</v>
      </c>
      <c r="M245" t="s">
        <v>39</v>
      </c>
      <c r="N245">
        <v>7</v>
      </c>
      <c r="O245" t="s">
        <v>40</v>
      </c>
      <c r="P245">
        <v>68.7</v>
      </c>
      <c r="Q245">
        <v>1974</v>
      </c>
      <c r="R245">
        <v>4</v>
      </c>
      <c r="S245">
        <v>2</v>
      </c>
      <c r="T245" t="s">
        <v>32</v>
      </c>
      <c r="U245" t="s">
        <v>42</v>
      </c>
      <c r="V245">
        <v>230145</v>
      </c>
      <c r="W245">
        <v>3.7</v>
      </c>
      <c r="X245">
        <v>3</v>
      </c>
      <c r="Y245" t="s">
        <v>43</v>
      </c>
      <c r="Z245">
        <v>3.25</v>
      </c>
      <c r="AA245" t="s">
        <v>35</v>
      </c>
    </row>
    <row r="246" spans="1:27" x14ac:dyDescent="0.3">
      <c r="A246" t="s">
        <v>52</v>
      </c>
      <c r="B246" t="s">
        <v>53</v>
      </c>
      <c r="C246">
        <v>2026</v>
      </c>
      <c r="D246" t="s">
        <v>63</v>
      </c>
      <c r="E246">
        <v>80808.44</v>
      </c>
      <c r="F246">
        <v>42.4</v>
      </c>
      <c r="G246">
        <v>154</v>
      </c>
      <c r="H246">
        <v>231.2</v>
      </c>
      <c r="I246">
        <v>6.51</v>
      </c>
      <c r="J246">
        <v>147</v>
      </c>
      <c r="K246">
        <v>522</v>
      </c>
      <c r="L246">
        <v>481</v>
      </c>
      <c r="M246" t="s">
        <v>54</v>
      </c>
      <c r="N246">
        <v>7</v>
      </c>
      <c r="O246" t="s">
        <v>57</v>
      </c>
      <c r="P246">
        <v>39</v>
      </c>
      <c r="Q246">
        <v>1500</v>
      </c>
      <c r="R246">
        <v>5</v>
      </c>
      <c r="S246">
        <v>2</v>
      </c>
      <c r="T246" t="s">
        <v>47</v>
      </c>
      <c r="U246" t="s">
        <v>38</v>
      </c>
      <c r="V246">
        <v>234368</v>
      </c>
      <c r="W246">
        <v>3.5</v>
      </c>
      <c r="X246">
        <v>5</v>
      </c>
      <c r="Y246" t="s">
        <v>43</v>
      </c>
      <c r="Z246">
        <v>3.63</v>
      </c>
      <c r="AA246" t="s">
        <v>35</v>
      </c>
    </row>
    <row r="247" spans="1:27" x14ac:dyDescent="0.3">
      <c r="A247" t="s">
        <v>102</v>
      </c>
      <c r="B247" t="s">
        <v>128</v>
      </c>
      <c r="C247">
        <v>2024</v>
      </c>
      <c r="D247" t="s">
        <v>68</v>
      </c>
      <c r="E247">
        <v>84156.92</v>
      </c>
      <c r="F247">
        <v>68.400000000000006</v>
      </c>
      <c r="G247">
        <v>226</v>
      </c>
      <c r="H247">
        <v>117</v>
      </c>
      <c r="I247">
        <v>5.22</v>
      </c>
      <c r="J247">
        <v>165</v>
      </c>
      <c r="K247">
        <v>931</v>
      </c>
      <c r="L247">
        <v>808</v>
      </c>
      <c r="M247" t="s">
        <v>39</v>
      </c>
      <c r="N247">
        <v>5</v>
      </c>
      <c r="O247" t="s">
        <v>57</v>
      </c>
      <c r="P247">
        <v>39.200000000000003</v>
      </c>
      <c r="Q247">
        <v>1500</v>
      </c>
      <c r="R247">
        <v>4</v>
      </c>
      <c r="S247">
        <v>0</v>
      </c>
      <c r="T247" t="s">
        <v>47</v>
      </c>
      <c r="U247" t="s">
        <v>38</v>
      </c>
      <c r="V247">
        <v>29685</v>
      </c>
      <c r="W247">
        <v>3.4</v>
      </c>
      <c r="X247">
        <v>4</v>
      </c>
      <c r="Y247" t="s">
        <v>43</v>
      </c>
      <c r="Z247">
        <v>3.3</v>
      </c>
      <c r="AA247" t="s">
        <v>35</v>
      </c>
    </row>
    <row r="248" spans="1:27" x14ac:dyDescent="0.3">
      <c r="A248" t="s">
        <v>27</v>
      </c>
      <c r="B248" t="s">
        <v>82</v>
      </c>
      <c r="C248">
        <v>2024</v>
      </c>
      <c r="D248" t="s">
        <v>63</v>
      </c>
      <c r="E248">
        <v>39960.53</v>
      </c>
      <c r="F248">
        <v>63.9</v>
      </c>
      <c r="G248">
        <v>252</v>
      </c>
      <c r="H248">
        <v>56.8</v>
      </c>
      <c r="I248">
        <v>5.58</v>
      </c>
      <c r="J248">
        <v>165</v>
      </c>
      <c r="K248">
        <v>316</v>
      </c>
      <c r="L248">
        <v>259</v>
      </c>
      <c r="M248" t="s">
        <v>30</v>
      </c>
      <c r="N248">
        <v>5</v>
      </c>
      <c r="O248" t="s">
        <v>65</v>
      </c>
      <c r="P248">
        <v>19.7</v>
      </c>
      <c r="Q248">
        <v>1793</v>
      </c>
      <c r="R248">
        <v>4</v>
      </c>
      <c r="S248">
        <v>0</v>
      </c>
      <c r="T248" t="s">
        <v>32</v>
      </c>
      <c r="U248" t="s">
        <v>42</v>
      </c>
      <c r="V248">
        <v>212818</v>
      </c>
      <c r="W248">
        <v>3.5</v>
      </c>
      <c r="X248">
        <v>3</v>
      </c>
      <c r="Y248" t="s">
        <v>43</v>
      </c>
      <c r="Z248">
        <v>3.94</v>
      </c>
      <c r="AA248" t="s">
        <v>35</v>
      </c>
    </row>
    <row r="249" spans="1:27" x14ac:dyDescent="0.3">
      <c r="A249" t="s">
        <v>66</v>
      </c>
      <c r="B249" t="s">
        <v>67</v>
      </c>
      <c r="C249">
        <v>2024</v>
      </c>
      <c r="D249" t="s">
        <v>50</v>
      </c>
      <c r="E249">
        <v>115878.52</v>
      </c>
      <c r="F249">
        <v>94.5</v>
      </c>
      <c r="G249">
        <v>334</v>
      </c>
      <c r="H249">
        <v>67.599999999999994</v>
      </c>
      <c r="I249">
        <v>5.43</v>
      </c>
      <c r="J249">
        <v>166</v>
      </c>
      <c r="K249">
        <v>983</v>
      </c>
      <c r="L249">
        <v>908</v>
      </c>
      <c r="M249" t="s">
        <v>30</v>
      </c>
      <c r="N249">
        <v>7</v>
      </c>
      <c r="O249" t="s">
        <v>31</v>
      </c>
      <c r="P249">
        <v>75.5</v>
      </c>
      <c r="Q249">
        <v>2039</v>
      </c>
      <c r="R249">
        <v>4</v>
      </c>
      <c r="S249">
        <v>1</v>
      </c>
      <c r="T249" t="s">
        <v>47</v>
      </c>
      <c r="U249" t="s">
        <v>33</v>
      </c>
      <c r="V249">
        <v>6077</v>
      </c>
      <c r="W249">
        <v>3.6</v>
      </c>
      <c r="X249">
        <v>5</v>
      </c>
      <c r="Y249" t="s">
        <v>43</v>
      </c>
      <c r="Z249">
        <v>3.53</v>
      </c>
      <c r="AA249" t="s">
        <v>43</v>
      </c>
    </row>
    <row r="250" spans="1:27" x14ac:dyDescent="0.3">
      <c r="A250" t="s">
        <v>36</v>
      </c>
      <c r="B250" t="s">
        <v>37</v>
      </c>
      <c r="C250">
        <v>2024</v>
      </c>
      <c r="D250" t="s">
        <v>50</v>
      </c>
      <c r="E250">
        <v>64461.760000000002</v>
      </c>
      <c r="F250">
        <v>85.4</v>
      </c>
      <c r="G250">
        <v>288</v>
      </c>
      <c r="H250">
        <v>86.3</v>
      </c>
      <c r="I250">
        <v>4.5</v>
      </c>
      <c r="J250">
        <v>180</v>
      </c>
      <c r="K250">
        <v>774</v>
      </c>
      <c r="L250">
        <v>731</v>
      </c>
      <c r="M250" t="s">
        <v>39</v>
      </c>
      <c r="N250">
        <v>7</v>
      </c>
      <c r="O250" t="s">
        <v>40</v>
      </c>
      <c r="P250">
        <v>64.400000000000006</v>
      </c>
      <c r="Q250">
        <v>2334</v>
      </c>
      <c r="R250">
        <v>4</v>
      </c>
      <c r="S250">
        <v>2</v>
      </c>
      <c r="T250" t="s">
        <v>41</v>
      </c>
      <c r="U250" t="s">
        <v>42</v>
      </c>
      <c r="V250">
        <v>1214</v>
      </c>
      <c r="W250">
        <v>3.8</v>
      </c>
      <c r="X250">
        <v>4</v>
      </c>
      <c r="Y250" t="s">
        <v>43</v>
      </c>
      <c r="Z250">
        <v>3.37</v>
      </c>
      <c r="AA250" t="s">
        <v>69</v>
      </c>
    </row>
    <row r="251" spans="1:27" x14ac:dyDescent="0.3">
      <c r="A251" t="s">
        <v>58</v>
      </c>
      <c r="B251" t="s">
        <v>70</v>
      </c>
      <c r="C251">
        <v>2023</v>
      </c>
      <c r="D251" t="s">
        <v>29</v>
      </c>
      <c r="E251">
        <v>181026.58</v>
      </c>
      <c r="F251">
        <v>110.6</v>
      </c>
      <c r="G251">
        <v>370</v>
      </c>
      <c r="H251">
        <v>212.6</v>
      </c>
      <c r="I251">
        <v>2.8</v>
      </c>
      <c r="J251">
        <v>200</v>
      </c>
      <c r="K251">
        <v>1000</v>
      </c>
      <c r="L251">
        <v>801</v>
      </c>
      <c r="M251" t="s">
        <v>39</v>
      </c>
      <c r="N251">
        <v>5</v>
      </c>
      <c r="O251" t="s">
        <v>31</v>
      </c>
      <c r="P251">
        <v>79.099999999999994</v>
      </c>
      <c r="Q251">
        <v>2572</v>
      </c>
      <c r="R251">
        <v>4</v>
      </c>
      <c r="S251">
        <v>1</v>
      </c>
      <c r="T251" t="s">
        <v>32</v>
      </c>
      <c r="U251" t="s">
        <v>33</v>
      </c>
      <c r="V251">
        <v>35248</v>
      </c>
      <c r="W251">
        <v>3.9</v>
      </c>
      <c r="X251">
        <v>8</v>
      </c>
      <c r="Y251" t="s">
        <v>34</v>
      </c>
      <c r="Z251">
        <v>3.35</v>
      </c>
      <c r="AA251" t="s">
        <v>35</v>
      </c>
    </row>
    <row r="252" spans="1:27" x14ac:dyDescent="0.3">
      <c r="A252" t="s">
        <v>71</v>
      </c>
      <c r="B252" t="s">
        <v>81</v>
      </c>
      <c r="C252">
        <v>2025</v>
      </c>
      <c r="D252" t="s">
        <v>50</v>
      </c>
      <c r="E252">
        <v>48600.01</v>
      </c>
      <c r="F252">
        <v>81.400000000000006</v>
      </c>
      <c r="G252">
        <v>288</v>
      </c>
      <c r="H252">
        <v>69.599999999999994</v>
      </c>
      <c r="I252">
        <v>5.38</v>
      </c>
      <c r="J252">
        <v>167</v>
      </c>
      <c r="K252">
        <v>474</v>
      </c>
      <c r="L252">
        <v>373</v>
      </c>
      <c r="M252" t="s">
        <v>39</v>
      </c>
      <c r="N252">
        <v>5</v>
      </c>
      <c r="O252" t="s">
        <v>65</v>
      </c>
      <c r="P252">
        <v>33.4</v>
      </c>
      <c r="Q252">
        <v>1500</v>
      </c>
      <c r="R252">
        <v>4</v>
      </c>
      <c r="S252">
        <v>0</v>
      </c>
      <c r="T252" t="s">
        <v>73</v>
      </c>
      <c r="U252" t="s">
        <v>42</v>
      </c>
      <c r="V252">
        <v>222634</v>
      </c>
      <c r="W252">
        <v>3.7</v>
      </c>
      <c r="X252">
        <v>5</v>
      </c>
      <c r="Y252" t="s">
        <v>43</v>
      </c>
      <c r="Z252">
        <v>3.54</v>
      </c>
      <c r="AA252" t="s">
        <v>35</v>
      </c>
    </row>
    <row r="253" spans="1:27" x14ac:dyDescent="0.3">
      <c r="A253" t="s">
        <v>27</v>
      </c>
      <c r="B253" t="s">
        <v>93</v>
      </c>
      <c r="C253">
        <v>2023</v>
      </c>
      <c r="D253" t="s">
        <v>38</v>
      </c>
      <c r="E253">
        <v>40146.71</v>
      </c>
      <c r="F253">
        <v>41.6</v>
      </c>
      <c r="G253">
        <v>150</v>
      </c>
      <c r="H253">
        <v>95.1</v>
      </c>
      <c r="I253">
        <v>7.26</v>
      </c>
      <c r="J253">
        <v>142</v>
      </c>
      <c r="K253">
        <v>312</v>
      </c>
      <c r="L253">
        <v>299</v>
      </c>
      <c r="M253" t="s">
        <v>30</v>
      </c>
      <c r="N253">
        <v>7</v>
      </c>
      <c r="O253" t="s">
        <v>57</v>
      </c>
      <c r="P253">
        <v>37.299999999999997</v>
      </c>
      <c r="Q253">
        <v>1894</v>
      </c>
      <c r="R253">
        <v>4</v>
      </c>
      <c r="S253">
        <v>0</v>
      </c>
      <c r="T253" t="s">
        <v>32</v>
      </c>
      <c r="U253" t="s">
        <v>42</v>
      </c>
      <c r="V253">
        <v>229072</v>
      </c>
      <c r="W253">
        <v>3.1</v>
      </c>
      <c r="X253">
        <v>5</v>
      </c>
      <c r="Y253" t="s">
        <v>61</v>
      </c>
      <c r="Z253">
        <v>3.61</v>
      </c>
      <c r="AA253" t="s">
        <v>35</v>
      </c>
    </row>
    <row r="254" spans="1:27" x14ac:dyDescent="0.3">
      <c r="A254" t="s">
        <v>58</v>
      </c>
      <c r="B254" t="s">
        <v>111</v>
      </c>
      <c r="C254">
        <v>2023</v>
      </c>
      <c r="D254" t="s">
        <v>50</v>
      </c>
      <c r="E254">
        <v>182443.72</v>
      </c>
      <c r="F254">
        <v>104.6</v>
      </c>
      <c r="G254">
        <v>359</v>
      </c>
      <c r="H254">
        <v>140.1</v>
      </c>
      <c r="I254">
        <v>5.1100000000000003</v>
      </c>
      <c r="J254">
        <v>174</v>
      </c>
      <c r="K254">
        <v>1000</v>
      </c>
      <c r="L254">
        <v>903</v>
      </c>
      <c r="M254" t="s">
        <v>54</v>
      </c>
      <c r="N254">
        <v>7</v>
      </c>
      <c r="O254" t="s">
        <v>65</v>
      </c>
      <c r="P254">
        <v>35.4</v>
      </c>
      <c r="Q254">
        <v>1500</v>
      </c>
      <c r="R254">
        <v>4</v>
      </c>
      <c r="S254">
        <v>2</v>
      </c>
      <c r="T254" t="s">
        <v>32</v>
      </c>
      <c r="U254" t="s">
        <v>33</v>
      </c>
      <c r="V254">
        <v>20765</v>
      </c>
      <c r="W254">
        <v>4.0999999999999996</v>
      </c>
      <c r="X254">
        <v>8</v>
      </c>
      <c r="Y254" t="s">
        <v>43</v>
      </c>
      <c r="Z254">
        <v>3.43</v>
      </c>
      <c r="AA254" t="s">
        <v>35</v>
      </c>
    </row>
    <row r="255" spans="1:27" x14ac:dyDescent="0.3">
      <c r="A255" t="s">
        <v>71</v>
      </c>
      <c r="B255" t="s">
        <v>75</v>
      </c>
      <c r="C255">
        <v>2022</v>
      </c>
      <c r="D255" t="s">
        <v>29</v>
      </c>
      <c r="E255">
        <v>38276.480000000003</v>
      </c>
      <c r="F255">
        <v>92</v>
      </c>
      <c r="G255">
        <v>283</v>
      </c>
      <c r="H255">
        <v>217.9</v>
      </c>
      <c r="I255">
        <v>3.34</v>
      </c>
      <c r="J255">
        <v>199</v>
      </c>
      <c r="K255">
        <v>395</v>
      </c>
      <c r="L255">
        <v>370</v>
      </c>
      <c r="M255" t="s">
        <v>54</v>
      </c>
      <c r="N255">
        <v>5</v>
      </c>
      <c r="O255" t="s">
        <v>46</v>
      </c>
      <c r="P255">
        <v>73.900000000000006</v>
      </c>
      <c r="Q255">
        <v>1520</v>
      </c>
      <c r="R255">
        <v>4</v>
      </c>
      <c r="S255">
        <v>1</v>
      </c>
      <c r="T255" t="s">
        <v>73</v>
      </c>
      <c r="U255" t="s">
        <v>42</v>
      </c>
      <c r="V255">
        <v>175542</v>
      </c>
      <c r="W255">
        <v>3.4</v>
      </c>
      <c r="X255">
        <v>5</v>
      </c>
      <c r="Y255" t="s">
        <v>34</v>
      </c>
      <c r="Z255">
        <v>3.08</v>
      </c>
      <c r="AA255" t="s">
        <v>35</v>
      </c>
    </row>
    <row r="256" spans="1:27" x14ac:dyDescent="0.3">
      <c r="A256" t="s">
        <v>52</v>
      </c>
      <c r="B256" t="s">
        <v>80</v>
      </c>
      <c r="C256">
        <v>2025</v>
      </c>
      <c r="D256" t="s">
        <v>29</v>
      </c>
      <c r="E256">
        <v>116077.71</v>
      </c>
      <c r="F256">
        <v>118.6</v>
      </c>
      <c r="G256">
        <v>428</v>
      </c>
      <c r="H256">
        <v>233.8</v>
      </c>
      <c r="I256">
        <v>3.86</v>
      </c>
      <c r="J256">
        <v>189</v>
      </c>
      <c r="K256">
        <v>859</v>
      </c>
      <c r="L256">
        <v>763</v>
      </c>
      <c r="M256" t="s">
        <v>39</v>
      </c>
      <c r="N256">
        <v>5</v>
      </c>
      <c r="O256" t="s">
        <v>31</v>
      </c>
      <c r="P256">
        <v>56.7</v>
      </c>
      <c r="Q256">
        <v>2613</v>
      </c>
      <c r="R256">
        <v>5</v>
      </c>
      <c r="S256">
        <v>2</v>
      </c>
      <c r="T256" t="s">
        <v>47</v>
      </c>
      <c r="U256" t="s">
        <v>33</v>
      </c>
      <c r="V256">
        <v>150657</v>
      </c>
      <c r="W256">
        <v>4.2</v>
      </c>
      <c r="X256">
        <v>5</v>
      </c>
      <c r="Y256" t="s">
        <v>34</v>
      </c>
      <c r="Z256">
        <v>3.61</v>
      </c>
      <c r="AA256" t="s">
        <v>35</v>
      </c>
    </row>
    <row r="257" spans="1:27" x14ac:dyDescent="0.3">
      <c r="A257" t="s">
        <v>48</v>
      </c>
      <c r="B257" t="s">
        <v>88</v>
      </c>
      <c r="C257">
        <v>2025</v>
      </c>
      <c r="D257" t="s">
        <v>50</v>
      </c>
      <c r="E257">
        <v>56772.77</v>
      </c>
      <c r="F257">
        <v>100.2</v>
      </c>
      <c r="G257">
        <v>356</v>
      </c>
      <c r="H257">
        <v>143.1</v>
      </c>
      <c r="I257">
        <v>5.58</v>
      </c>
      <c r="J257">
        <v>167</v>
      </c>
      <c r="K257">
        <v>564</v>
      </c>
      <c r="L257">
        <v>536</v>
      </c>
      <c r="M257" t="s">
        <v>54</v>
      </c>
      <c r="N257">
        <v>5</v>
      </c>
      <c r="O257" t="s">
        <v>40</v>
      </c>
      <c r="P257">
        <v>44.5</v>
      </c>
      <c r="Q257">
        <v>2199</v>
      </c>
      <c r="R257">
        <v>4</v>
      </c>
      <c r="S257">
        <v>0</v>
      </c>
      <c r="T257" t="s">
        <v>51</v>
      </c>
      <c r="U257" t="s">
        <v>42</v>
      </c>
      <c r="V257">
        <v>99235</v>
      </c>
      <c r="W257">
        <v>3.7</v>
      </c>
      <c r="X257">
        <v>3</v>
      </c>
      <c r="Y257" t="s">
        <v>43</v>
      </c>
      <c r="Z257">
        <v>3.55</v>
      </c>
      <c r="AA257" t="s">
        <v>35</v>
      </c>
    </row>
    <row r="258" spans="1:27" x14ac:dyDescent="0.3">
      <c r="A258" t="s">
        <v>100</v>
      </c>
      <c r="B258" t="s">
        <v>118</v>
      </c>
      <c r="C258">
        <v>2025</v>
      </c>
      <c r="D258" t="s">
        <v>38</v>
      </c>
      <c r="E258">
        <v>87478.76</v>
      </c>
      <c r="F258">
        <v>48.6</v>
      </c>
      <c r="G258">
        <v>172</v>
      </c>
      <c r="H258">
        <v>148.9</v>
      </c>
      <c r="I258">
        <v>5.5</v>
      </c>
      <c r="J258">
        <v>164</v>
      </c>
      <c r="K258">
        <v>804</v>
      </c>
      <c r="L258">
        <v>708</v>
      </c>
      <c r="M258" t="s">
        <v>54</v>
      </c>
      <c r="N258">
        <v>7</v>
      </c>
      <c r="O258" t="s">
        <v>40</v>
      </c>
      <c r="P258">
        <v>52.5</v>
      </c>
      <c r="Q258">
        <v>2018</v>
      </c>
      <c r="R258">
        <v>4</v>
      </c>
      <c r="S258">
        <v>1</v>
      </c>
      <c r="T258" t="s">
        <v>73</v>
      </c>
      <c r="U258" t="s">
        <v>38</v>
      </c>
      <c r="V258">
        <v>16505</v>
      </c>
      <c r="W258">
        <v>3.4</v>
      </c>
      <c r="X258">
        <v>3</v>
      </c>
      <c r="Y258" t="s">
        <v>43</v>
      </c>
      <c r="Z258">
        <v>3.54</v>
      </c>
      <c r="AA258" t="s">
        <v>43</v>
      </c>
    </row>
    <row r="259" spans="1:27" x14ac:dyDescent="0.3">
      <c r="A259" t="s">
        <v>44</v>
      </c>
      <c r="B259" t="s">
        <v>109</v>
      </c>
      <c r="C259">
        <v>2025</v>
      </c>
      <c r="D259" t="s">
        <v>50</v>
      </c>
      <c r="E259">
        <v>68470.14</v>
      </c>
      <c r="F259">
        <v>87.2</v>
      </c>
      <c r="G259">
        <v>293</v>
      </c>
      <c r="H259">
        <v>84.2</v>
      </c>
      <c r="I259">
        <v>5.66</v>
      </c>
      <c r="J259">
        <v>157</v>
      </c>
      <c r="K259">
        <v>950</v>
      </c>
      <c r="L259">
        <v>828</v>
      </c>
      <c r="M259" t="s">
        <v>30</v>
      </c>
      <c r="N259">
        <v>7</v>
      </c>
      <c r="O259" t="s">
        <v>46</v>
      </c>
      <c r="P259">
        <v>74.099999999999994</v>
      </c>
      <c r="Q259">
        <v>1500</v>
      </c>
      <c r="R259">
        <v>4</v>
      </c>
      <c r="S259">
        <v>2</v>
      </c>
      <c r="T259" t="s">
        <v>47</v>
      </c>
      <c r="U259" t="s">
        <v>38</v>
      </c>
      <c r="V259">
        <v>14899</v>
      </c>
      <c r="W259">
        <v>3.3</v>
      </c>
      <c r="X259">
        <v>4</v>
      </c>
      <c r="Y259" t="s">
        <v>43</v>
      </c>
      <c r="Z259">
        <v>3.36</v>
      </c>
      <c r="AA259" t="s">
        <v>43</v>
      </c>
    </row>
    <row r="260" spans="1:27" x14ac:dyDescent="0.3">
      <c r="A260" t="s">
        <v>48</v>
      </c>
      <c r="B260" t="s">
        <v>88</v>
      </c>
      <c r="C260">
        <v>2025</v>
      </c>
      <c r="D260" t="s">
        <v>38</v>
      </c>
      <c r="E260">
        <v>89987.27</v>
      </c>
      <c r="F260">
        <v>70.400000000000006</v>
      </c>
      <c r="G260">
        <v>245</v>
      </c>
      <c r="H260">
        <v>88.3</v>
      </c>
      <c r="I260">
        <v>5.67</v>
      </c>
      <c r="J260">
        <v>174</v>
      </c>
      <c r="K260">
        <v>1000</v>
      </c>
      <c r="L260">
        <v>935</v>
      </c>
      <c r="M260" t="s">
        <v>30</v>
      </c>
      <c r="N260">
        <v>7</v>
      </c>
      <c r="O260" t="s">
        <v>40</v>
      </c>
      <c r="P260">
        <v>36.700000000000003</v>
      </c>
      <c r="Q260">
        <v>2020</v>
      </c>
      <c r="R260">
        <v>4</v>
      </c>
      <c r="S260">
        <v>0</v>
      </c>
      <c r="T260" t="s">
        <v>51</v>
      </c>
      <c r="U260" t="s">
        <v>38</v>
      </c>
      <c r="V260">
        <v>123485</v>
      </c>
      <c r="W260">
        <v>3.5</v>
      </c>
      <c r="X260">
        <v>4</v>
      </c>
      <c r="Y260" t="s">
        <v>43</v>
      </c>
      <c r="Z260">
        <v>3.48</v>
      </c>
      <c r="AA260" t="s">
        <v>35</v>
      </c>
    </row>
    <row r="261" spans="1:27" x14ac:dyDescent="0.3">
      <c r="A261" t="s">
        <v>52</v>
      </c>
      <c r="B261" t="s">
        <v>64</v>
      </c>
      <c r="C261">
        <v>2023</v>
      </c>
      <c r="D261" t="s">
        <v>38</v>
      </c>
      <c r="E261">
        <v>76607.64</v>
      </c>
      <c r="F261">
        <v>81.099999999999994</v>
      </c>
      <c r="G261">
        <v>288</v>
      </c>
      <c r="H261">
        <v>315.7</v>
      </c>
      <c r="I261">
        <v>7.64</v>
      </c>
      <c r="J261">
        <v>137</v>
      </c>
      <c r="K261">
        <v>556</v>
      </c>
      <c r="L261">
        <v>538</v>
      </c>
      <c r="M261" t="s">
        <v>30</v>
      </c>
      <c r="N261">
        <v>7</v>
      </c>
      <c r="O261" t="s">
        <v>46</v>
      </c>
      <c r="P261">
        <v>69.5</v>
      </c>
      <c r="Q261">
        <v>1617</v>
      </c>
      <c r="R261">
        <v>3</v>
      </c>
      <c r="S261">
        <v>3</v>
      </c>
      <c r="T261" t="s">
        <v>47</v>
      </c>
      <c r="U261" t="s">
        <v>38</v>
      </c>
      <c r="V261">
        <v>244244</v>
      </c>
      <c r="W261">
        <v>3.8</v>
      </c>
      <c r="X261">
        <v>4</v>
      </c>
      <c r="Y261" t="s">
        <v>61</v>
      </c>
      <c r="Z261">
        <v>3.55</v>
      </c>
      <c r="AA261" t="s">
        <v>35</v>
      </c>
    </row>
    <row r="262" spans="1:27" x14ac:dyDescent="0.3">
      <c r="A262" t="s">
        <v>48</v>
      </c>
      <c r="B262" t="s">
        <v>79</v>
      </c>
      <c r="C262">
        <v>2022</v>
      </c>
      <c r="D262" t="s">
        <v>50</v>
      </c>
      <c r="E262">
        <v>76439.210000000006</v>
      </c>
      <c r="F262">
        <v>93</v>
      </c>
      <c r="G262">
        <v>337</v>
      </c>
      <c r="H262">
        <v>94</v>
      </c>
      <c r="I262">
        <v>5.8</v>
      </c>
      <c r="J262">
        <v>164</v>
      </c>
      <c r="K262">
        <v>893</v>
      </c>
      <c r="L262">
        <v>853</v>
      </c>
      <c r="M262" t="s">
        <v>39</v>
      </c>
      <c r="N262">
        <v>5</v>
      </c>
      <c r="O262" t="s">
        <v>31</v>
      </c>
      <c r="P262">
        <v>75.099999999999994</v>
      </c>
      <c r="Q262">
        <v>2689</v>
      </c>
      <c r="R262">
        <v>5</v>
      </c>
      <c r="S262">
        <v>0</v>
      </c>
      <c r="T262" t="s">
        <v>51</v>
      </c>
      <c r="U262" t="s">
        <v>38</v>
      </c>
      <c r="V262">
        <v>85577</v>
      </c>
      <c r="W262">
        <v>3.7</v>
      </c>
      <c r="X262">
        <v>3</v>
      </c>
      <c r="Y262" t="s">
        <v>43</v>
      </c>
      <c r="Z262">
        <v>3.62</v>
      </c>
      <c r="AA262" t="s">
        <v>35</v>
      </c>
    </row>
    <row r="263" spans="1:27" x14ac:dyDescent="0.3">
      <c r="A263" t="s">
        <v>129</v>
      </c>
      <c r="B263" t="s">
        <v>130</v>
      </c>
      <c r="C263">
        <v>2025</v>
      </c>
      <c r="D263" t="s">
        <v>29</v>
      </c>
      <c r="E263">
        <v>106316.66</v>
      </c>
      <c r="F263">
        <v>104.3</v>
      </c>
      <c r="G263">
        <v>367</v>
      </c>
      <c r="H263">
        <v>231.2</v>
      </c>
      <c r="I263">
        <v>4.12</v>
      </c>
      <c r="J263">
        <v>193</v>
      </c>
      <c r="K263">
        <v>1000</v>
      </c>
      <c r="L263">
        <v>898</v>
      </c>
      <c r="M263" t="s">
        <v>54</v>
      </c>
      <c r="N263">
        <v>5</v>
      </c>
      <c r="O263" t="s">
        <v>46</v>
      </c>
      <c r="P263">
        <v>60.8</v>
      </c>
      <c r="Q263">
        <v>1794</v>
      </c>
      <c r="R263">
        <v>5</v>
      </c>
      <c r="S263">
        <v>0</v>
      </c>
      <c r="T263" t="s">
        <v>131</v>
      </c>
      <c r="U263" t="s">
        <v>33</v>
      </c>
      <c r="V263">
        <v>8684</v>
      </c>
      <c r="W263">
        <v>3.9</v>
      </c>
      <c r="X263">
        <v>4</v>
      </c>
      <c r="Y263" t="s">
        <v>43</v>
      </c>
      <c r="Z263">
        <v>3.52</v>
      </c>
      <c r="AA263" t="s">
        <v>43</v>
      </c>
    </row>
    <row r="264" spans="1:27" x14ac:dyDescent="0.3">
      <c r="A264" t="s">
        <v>52</v>
      </c>
      <c r="B264" t="s">
        <v>55</v>
      </c>
      <c r="C264">
        <v>2025</v>
      </c>
      <c r="D264" t="s">
        <v>38</v>
      </c>
      <c r="E264">
        <v>83799.48</v>
      </c>
      <c r="F264">
        <v>74.599999999999994</v>
      </c>
      <c r="G264">
        <v>276</v>
      </c>
      <c r="H264">
        <v>279.2</v>
      </c>
      <c r="I264">
        <v>6.55</v>
      </c>
      <c r="J264">
        <v>153</v>
      </c>
      <c r="K264">
        <v>644</v>
      </c>
      <c r="L264">
        <v>594</v>
      </c>
      <c r="M264" t="s">
        <v>54</v>
      </c>
      <c r="N264">
        <v>5</v>
      </c>
      <c r="O264" t="s">
        <v>31</v>
      </c>
      <c r="P264">
        <v>55.2</v>
      </c>
      <c r="Q264">
        <v>2793</v>
      </c>
      <c r="R264">
        <v>5</v>
      </c>
      <c r="S264">
        <v>2</v>
      </c>
      <c r="T264" t="s">
        <v>47</v>
      </c>
      <c r="U264" t="s">
        <v>38</v>
      </c>
      <c r="V264">
        <v>427228</v>
      </c>
      <c r="W264">
        <v>4.2</v>
      </c>
      <c r="X264">
        <v>4</v>
      </c>
      <c r="Y264" t="s">
        <v>43</v>
      </c>
      <c r="Z264">
        <v>3.7</v>
      </c>
      <c r="AA264" t="s">
        <v>35</v>
      </c>
    </row>
    <row r="265" spans="1:27" x14ac:dyDescent="0.3">
      <c r="A265" t="s">
        <v>76</v>
      </c>
      <c r="B265" t="s">
        <v>98</v>
      </c>
      <c r="C265">
        <v>2024</v>
      </c>
      <c r="D265" t="s">
        <v>63</v>
      </c>
      <c r="E265">
        <v>50276.57</v>
      </c>
      <c r="F265">
        <v>73.2</v>
      </c>
      <c r="G265">
        <v>241</v>
      </c>
      <c r="H265">
        <v>96.2</v>
      </c>
      <c r="I265">
        <v>7.53</v>
      </c>
      <c r="J265">
        <v>138</v>
      </c>
      <c r="K265">
        <v>521</v>
      </c>
      <c r="L265">
        <v>483</v>
      </c>
      <c r="M265" t="s">
        <v>54</v>
      </c>
      <c r="N265">
        <v>5</v>
      </c>
      <c r="O265" t="s">
        <v>46</v>
      </c>
      <c r="P265">
        <v>72.900000000000006</v>
      </c>
      <c r="Q265">
        <v>1533</v>
      </c>
      <c r="R265">
        <v>3</v>
      </c>
      <c r="S265">
        <v>1</v>
      </c>
      <c r="T265" t="s">
        <v>51</v>
      </c>
      <c r="U265" t="s">
        <v>42</v>
      </c>
      <c r="V265">
        <v>126203</v>
      </c>
      <c r="W265">
        <v>3.4</v>
      </c>
      <c r="X265">
        <v>4</v>
      </c>
      <c r="Y265" t="s">
        <v>61</v>
      </c>
      <c r="Z265">
        <v>3.29</v>
      </c>
      <c r="AA265" t="s">
        <v>35</v>
      </c>
    </row>
    <row r="266" spans="1:27" x14ac:dyDescent="0.3">
      <c r="A266" t="s">
        <v>94</v>
      </c>
      <c r="B266" t="s">
        <v>95</v>
      </c>
      <c r="C266">
        <v>2022</v>
      </c>
      <c r="D266" t="s">
        <v>38</v>
      </c>
      <c r="E266">
        <v>98374.44</v>
      </c>
      <c r="F266">
        <v>50.7</v>
      </c>
      <c r="G266">
        <v>166</v>
      </c>
      <c r="H266">
        <v>145.4</v>
      </c>
      <c r="I266">
        <v>5.67</v>
      </c>
      <c r="J266">
        <v>164</v>
      </c>
      <c r="K266">
        <v>699</v>
      </c>
      <c r="L266">
        <v>652</v>
      </c>
      <c r="M266" t="s">
        <v>54</v>
      </c>
      <c r="N266">
        <v>5</v>
      </c>
      <c r="O266" t="s">
        <v>31</v>
      </c>
      <c r="P266">
        <v>55.3</v>
      </c>
      <c r="Q266">
        <v>2533</v>
      </c>
      <c r="R266">
        <v>5</v>
      </c>
      <c r="S266">
        <v>1</v>
      </c>
      <c r="T266" t="s">
        <v>32</v>
      </c>
      <c r="U266" t="s">
        <v>38</v>
      </c>
      <c r="V266">
        <v>45293</v>
      </c>
      <c r="W266">
        <v>3.1</v>
      </c>
      <c r="X266">
        <v>7</v>
      </c>
      <c r="Y266" t="s">
        <v>43</v>
      </c>
      <c r="Z266">
        <v>3.27</v>
      </c>
      <c r="AA266" t="s">
        <v>35</v>
      </c>
    </row>
    <row r="267" spans="1:27" x14ac:dyDescent="0.3">
      <c r="A267" t="s">
        <v>44</v>
      </c>
      <c r="B267" t="s">
        <v>110</v>
      </c>
      <c r="C267">
        <v>2025</v>
      </c>
      <c r="D267" t="s">
        <v>29</v>
      </c>
      <c r="E267">
        <v>101369.89</v>
      </c>
      <c r="F267">
        <v>89.3</v>
      </c>
      <c r="G267">
        <v>325</v>
      </c>
      <c r="H267">
        <v>206.4</v>
      </c>
      <c r="I267">
        <v>3.53</v>
      </c>
      <c r="J267">
        <v>195</v>
      </c>
      <c r="K267">
        <v>1000</v>
      </c>
      <c r="L267">
        <v>948</v>
      </c>
      <c r="M267" t="s">
        <v>30</v>
      </c>
      <c r="N267">
        <v>7</v>
      </c>
      <c r="O267" t="s">
        <v>40</v>
      </c>
      <c r="P267">
        <v>39.700000000000003</v>
      </c>
      <c r="Q267">
        <v>1831</v>
      </c>
      <c r="R267">
        <v>3</v>
      </c>
      <c r="S267">
        <v>0</v>
      </c>
      <c r="T267" t="s">
        <v>47</v>
      </c>
      <c r="U267" t="s">
        <v>33</v>
      </c>
      <c r="V267">
        <v>27681</v>
      </c>
      <c r="W267">
        <v>3.4</v>
      </c>
      <c r="X267">
        <v>3</v>
      </c>
      <c r="Y267" t="s">
        <v>34</v>
      </c>
      <c r="Z267">
        <v>3.64</v>
      </c>
      <c r="AA267" t="s">
        <v>35</v>
      </c>
    </row>
    <row r="268" spans="1:27" x14ac:dyDescent="0.3">
      <c r="A268" t="s">
        <v>44</v>
      </c>
      <c r="B268" t="s">
        <v>62</v>
      </c>
      <c r="C268">
        <v>2025</v>
      </c>
      <c r="D268" t="s">
        <v>63</v>
      </c>
      <c r="E268">
        <v>61000.06</v>
      </c>
      <c r="F268">
        <v>63.4</v>
      </c>
      <c r="G268">
        <v>250</v>
      </c>
      <c r="H268">
        <v>146.1</v>
      </c>
      <c r="I268">
        <v>6.81</v>
      </c>
      <c r="J268">
        <v>151</v>
      </c>
      <c r="K268">
        <v>774</v>
      </c>
      <c r="L268">
        <v>697</v>
      </c>
      <c r="M268" t="s">
        <v>30</v>
      </c>
      <c r="N268">
        <v>5</v>
      </c>
      <c r="O268" t="s">
        <v>31</v>
      </c>
      <c r="P268">
        <v>71.400000000000006</v>
      </c>
      <c r="Q268">
        <v>2734</v>
      </c>
      <c r="R268">
        <v>4</v>
      </c>
      <c r="S268">
        <v>0</v>
      </c>
      <c r="T268" t="s">
        <v>47</v>
      </c>
      <c r="U268" t="s">
        <v>42</v>
      </c>
      <c r="V268">
        <v>3536</v>
      </c>
      <c r="W268">
        <v>3.7</v>
      </c>
      <c r="X268">
        <v>4</v>
      </c>
      <c r="Y268" t="s">
        <v>43</v>
      </c>
      <c r="Z268">
        <v>3.94</v>
      </c>
      <c r="AA268" t="s">
        <v>69</v>
      </c>
    </row>
    <row r="269" spans="1:27" x14ac:dyDescent="0.3">
      <c r="A269" t="s">
        <v>44</v>
      </c>
      <c r="B269" t="s">
        <v>126</v>
      </c>
      <c r="C269">
        <v>2025</v>
      </c>
      <c r="D269" t="s">
        <v>38</v>
      </c>
      <c r="E269">
        <v>56307.41</v>
      </c>
      <c r="F269">
        <v>55</v>
      </c>
      <c r="G269">
        <v>193</v>
      </c>
      <c r="H269">
        <v>101.8</v>
      </c>
      <c r="I269">
        <v>6.37</v>
      </c>
      <c r="J269">
        <v>155</v>
      </c>
      <c r="K269">
        <v>631</v>
      </c>
      <c r="L269">
        <v>564</v>
      </c>
      <c r="M269" t="s">
        <v>54</v>
      </c>
      <c r="N269">
        <v>5</v>
      </c>
      <c r="O269" t="s">
        <v>65</v>
      </c>
      <c r="P269">
        <v>24.8</v>
      </c>
      <c r="Q269">
        <v>1699</v>
      </c>
      <c r="R269">
        <v>4</v>
      </c>
      <c r="S269">
        <v>0</v>
      </c>
      <c r="T269" t="s">
        <v>47</v>
      </c>
      <c r="U269" t="s">
        <v>42</v>
      </c>
      <c r="V269">
        <v>25746</v>
      </c>
      <c r="W269">
        <v>3.3</v>
      </c>
      <c r="X269">
        <v>4</v>
      </c>
      <c r="Y269" t="s">
        <v>43</v>
      </c>
      <c r="Z269">
        <v>3.51</v>
      </c>
      <c r="AA269" t="s">
        <v>35</v>
      </c>
    </row>
    <row r="270" spans="1:27" x14ac:dyDescent="0.3">
      <c r="A270" t="s">
        <v>27</v>
      </c>
      <c r="B270" t="s">
        <v>78</v>
      </c>
      <c r="C270">
        <v>2021</v>
      </c>
      <c r="D270" t="s">
        <v>38</v>
      </c>
      <c r="E270">
        <v>107417.79</v>
      </c>
      <c r="F270">
        <v>54.2</v>
      </c>
      <c r="G270">
        <v>201</v>
      </c>
      <c r="H270">
        <v>75.7</v>
      </c>
      <c r="I270">
        <v>5.0599999999999996</v>
      </c>
      <c r="J270">
        <v>176</v>
      </c>
      <c r="K270">
        <v>1000</v>
      </c>
      <c r="L270">
        <v>872</v>
      </c>
      <c r="M270" t="s">
        <v>30</v>
      </c>
      <c r="N270">
        <v>5</v>
      </c>
      <c r="O270" t="s">
        <v>56</v>
      </c>
      <c r="P270">
        <v>30.6</v>
      </c>
      <c r="Q270">
        <v>1514</v>
      </c>
      <c r="R270">
        <v>5</v>
      </c>
      <c r="S270">
        <v>2</v>
      </c>
      <c r="T270" t="s">
        <v>32</v>
      </c>
      <c r="U270" t="s">
        <v>33</v>
      </c>
      <c r="V270">
        <v>254098</v>
      </c>
      <c r="W270">
        <v>3.4</v>
      </c>
      <c r="X270">
        <v>4</v>
      </c>
      <c r="Y270" t="s">
        <v>43</v>
      </c>
      <c r="Z270">
        <v>3.71</v>
      </c>
      <c r="AA270" t="s">
        <v>35</v>
      </c>
    </row>
    <row r="271" spans="1:27" x14ac:dyDescent="0.3">
      <c r="A271" t="s">
        <v>71</v>
      </c>
      <c r="B271" t="s">
        <v>90</v>
      </c>
      <c r="C271">
        <v>2024</v>
      </c>
      <c r="D271" t="s">
        <v>29</v>
      </c>
      <c r="E271">
        <v>118468.84</v>
      </c>
      <c r="F271">
        <v>86.8</v>
      </c>
      <c r="G271">
        <v>291</v>
      </c>
      <c r="H271">
        <v>170</v>
      </c>
      <c r="I271">
        <v>3.33</v>
      </c>
      <c r="J271">
        <v>200</v>
      </c>
      <c r="K271">
        <v>1000</v>
      </c>
      <c r="L271">
        <v>892</v>
      </c>
      <c r="M271" t="s">
        <v>30</v>
      </c>
      <c r="N271">
        <v>5</v>
      </c>
      <c r="O271" t="s">
        <v>57</v>
      </c>
      <c r="P271">
        <v>37.6</v>
      </c>
      <c r="Q271">
        <v>1584</v>
      </c>
      <c r="R271">
        <v>4</v>
      </c>
      <c r="S271">
        <v>0</v>
      </c>
      <c r="T271" t="s">
        <v>73</v>
      </c>
      <c r="U271" t="s">
        <v>33</v>
      </c>
      <c r="V271">
        <v>209498</v>
      </c>
      <c r="W271">
        <v>3.8</v>
      </c>
      <c r="X271">
        <v>3</v>
      </c>
      <c r="Y271" t="s">
        <v>34</v>
      </c>
      <c r="Z271">
        <v>3.35</v>
      </c>
      <c r="AA271" t="s">
        <v>35</v>
      </c>
    </row>
    <row r="272" spans="1:27" x14ac:dyDescent="0.3">
      <c r="A272" t="s">
        <v>84</v>
      </c>
      <c r="B272" t="s">
        <v>106</v>
      </c>
      <c r="C272">
        <v>2025</v>
      </c>
      <c r="D272" t="s">
        <v>50</v>
      </c>
      <c r="E272">
        <v>92751.53</v>
      </c>
      <c r="F272">
        <v>76.2</v>
      </c>
      <c r="G272">
        <v>247</v>
      </c>
      <c r="H272">
        <v>133.69999999999999</v>
      </c>
      <c r="I272">
        <v>5.0199999999999996</v>
      </c>
      <c r="J272">
        <v>178</v>
      </c>
      <c r="K272">
        <v>1000</v>
      </c>
      <c r="L272">
        <v>868</v>
      </c>
      <c r="M272" t="s">
        <v>39</v>
      </c>
      <c r="N272">
        <v>7</v>
      </c>
      <c r="O272" t="s">
        <v>31</v>
      </c>
      <c r="P272">
        <v>55.9</v>
      </c>
      <c r="Q272">
        <v>2390</v>
      </c>
      <c r="R272">
        <v>4</v>
      </c>
      <c r="S272">
        <v>0</v>
      </c>
      <c r="T272" t="s">
        <v>47</v>
      </c>
      <c r="U272" t="s">
        <v>38</v>
      </c>
      <c r="V272">
        <v>70352</v>
      </c>
      <c r="W272">
        <v>3.3</v>
      </c>
      <c r="X272">
        <v>3</v>
      </c>
      <c r="Y272" t="s">
        <v>43</v>
      </c>
      <c r="Z272">
        <v>3.24</v>
      </c>
      <c r="AA272" t="s">
        <v>35</v>
      </c>
    </row>
    <row r="273" spans="1:27" x14ac:dyDescent="0.3">
      <c r="A273" t="s">
        <v>84</v>
      </c>
      <c r="B273" t="s">
        <v>85</v>
      </c>
      <c r="C273">
        <v>2024</v>
      </c>
      <c r="D273" t="s">
        <v>63</v>
      </c>
      <c r="E273">
        <v>52120.46</v>
      </c>
      <c r="F273">
        <v>64.5</v>
      </c>
      <c r="G273">
        <v>208</v>
      </c>
      <c r="H273">
        <v>114.7</v>
      </c>
      <c r="I273">
        <v>5.13</v>
      </c>
      <c r="J273">
        <v>181</v>
      </c>
      <c r="K273">
        <v>502</v>
      </c>
      <c r="L273">
        <v>432</v>
      </c>
      <c r="M273" t="s">
        <v>39</v>
      </c>
      <c r="N273">
        <v>7</v>
      </c>
      <c r="O273" t="s">
        <v>57</v>
      </c>
      <c r="P273">
        <v>35.6</v>
      </c>
      <c r="Q273">
        <v>1529</v>
      </c>
      <c r="R273">
        <v>4</v>
      </c>
      <c r="S273">
        <v>0</v>
      </c>
      <c r="T273" t="s">
        <v>47</v>
      </c>
      <c r="U273" t="s">
        <v>42</v>
      </c>
      <c r="V273">
        <v>29029</v>
      </c>
      <c r="W273">
        <v>3.2</v>
      </c>
      <c r="X273">
        <v>4</v>
      </c>
      <c r="Y273" t="s">
        <v>43</v>
      </c>
      <c r="Z273">
        <v>3.22</v>
      </c>
      <c r="AA273" t="s">
        <v>35</v>
      </c>
    </row>
    <row r="274" spans="1:27" x14ac:dyDescent="0.3">
      <c r="A274" t="s">
        <v>58</v>
      </c>
      <c r="B274" t="s">
        <v>105</v>
      </c>
      <c r="C274">
        <v>2024</v>
      </c>
      <c r="D274" t="s">
        <v>50</v>
      </c>
      <c r="E274">
        <v>169395.24</v>
      </c>
      <c r="F274">
        <v>99.7</v>
      </c>
      <c r="G274">
        <v>323</v>
      </c>
      <c r="H274">
        <v>138.5</v>
      </c>
      <c r="I274">
        <v>5.15</v>
      </c>
      <c r="J274">
        <v>172</v>
      </c>
      <c r="K274">
        <v>1000</v>
      </c>
      <c r="L274">
        <v>874</v>
      </c>
      <c r="M274" t="s">
        <v>54</v>
      </c>
      <c r="N274">
        <v>5</v>
      </c>
      <c r="O274" t="s">
        <v>31</v>
      </c>
      <c r="P274">
        <v>59.3</v>
      </c>
      <c r="Q274">
        <v>2679</v>
      </c>
      <c r="R274">
        <v>3</v>
      </c>
      <c r="S274">
        <v>2</v>
      </c>
      <c r="T274" t="s">
        <v>32</v>
      </c>
      <c r="U274" t="s">
        <v>33</v>
      </c>
      <c r="V274">
        <v>60151</v>
      </c>
      <c r="W274">
        <v>3.9</v>
      </c>
      <c r="X274">
        <v>7</v>
      </c>
      <c r="Y274" t="s">
        <v>43</v>
      </c>
      <c r="Z274">
        <v>3.24</v>
      </c>
      <c r="AA274" t="s">
        <v>35</v>
      </c>
    </row>
    <row r="275" spans="1:27" x14ac:dyDescent="0.3">
      <c r="A275" t="s">
        <v>94</v>
      </c>
      <c r="B275" t="s">
        <v>95</v>
      </c>
      <c r="C275">
        <v>2021</v>
      </c>
      <c r="D275" t="s">
        <v>63</v>
      </c>
      <c r="E275">
        <v>80311.97</v>
      </c>
      <c r="F275">
        <v>74.599999999999994</v>
      </c>
      <c r="G275">
        <v>241</v>
      </c>
      <c r="H275">
        <v>114.4</v>
      </c>
      <c r="I275">
        <v>5.32</v>
      </c>
      <c r="J275">
        <v>157</v>
      </c>
      <c r="K275">
        <v>510</v>
      </c>
      <c r="L275">
        <v>457</v>
      </c>
      <c r="M275" t="s">
        <v>30</v>
      </c>
      <c r="N275">
        <v>5</v>
      </c>
      <c r="O275" t="s">
        <v>65</v>
      </c>
      <c r="P275">
        <v>21.5</v>
      </c>
      <c r="Q275">
        <v>1509</v>
      </c>
      <c r="R275">
        <v>5</v>
      </c>
      <c r="S275">
        <v>2</v>
      </c>
      <c r="T275" t="s">
        <v>32</v>
      </c>
      <c r="U275" t="s">
        <v>38</v>
      </c>
      <c r="V275">
        <v>55803</v>
      </c>
      <c r="W275">
        <v>3.5</v>
      </c>
      <c r="X275">
        <v>6</v>
      </c>
      <c r="Y275" t="s">
        <v>43</v>
      </c>
      <c r="Z275">
        <v>3.23</v>
      </c>
      <c r="AA275" t="s">
        <v>35</v>
      </c>
    </row>
    <row r="276" spans="1:27" x14ac:dyDescent="0.3">
      <c r="A276" t="s">
        <v>76</v>
      </c>
      <c r="B276" t="s">
        <v>114</v>
      </c>
      <c r="C276">
        <v>2022</v>
      </c>
      <c r="D276" t="s">
        <v>38</v>
      </c>
      <c r="E276">
        <v>72159.44</v>
      </c>
      <c r="F276">
        <v>56.2</v>
      </c>
      <c r="G276">
        <v>163</v>
      </c>
      <c r="H276">
        <v>114.1</v>
      </c>
      <c r="I276">
        <v>7.7</v>
      </c>
      <c r="J276">
        <v>132</v>
      </c>
      <c r="K276">
        <v>890</v>
      </c>
      <c r="L276">
        <v>768</v>
      </c>
      <c r="M276" t="s">
        <v>30</v>
      </c>
      <c r="N276">
        <v>7</v>
      </c>
      <c r="O276" t="s">
        <v>46</v>
      </c>
      <c r="P276">
        <v>75.8</v>
      </c>
      <c r="Q276">
        <v>1500</v>
      </c>
      <c r="R276">
        <v>4</v>
      </c>
      <c r="S276">
        <v>0</v>
      </c>
      <c r="T276" t="s">
        <v>51</v>
      </c>
      <c r="U276" t="s">
        <v>38</v>
      </c>
      <c r="V276">
        <v>119329</v>
      </c>
      <c r="W276">
        <v>3.4</v>
      </c>
      <c r="X276">
        <v>4</v>
      </c>
      <c r="Y276" t="s">
        <v>61</v>
      </c>
      <c r="Z276">
        <v>2.9</v>
      </c>
      <c r="AA276" t="s">
        <v>35</v>
      </c>
    </row>
    <row r="277" spans="1:27" x14ac:dyDescent="0.3">
      <c r="A277" t="s">
        <v>76</v>
      </c>
      <c r="B277" t="s">
        <v>87</v>
      </c>
      <c r="C277">
        <v>2025</v>
      </c>
      <c r="D277" t="s">
        <v>50</v>
      </c>
      <c r="E277">
        <v>37714.46</v>
      </c>
      <c r="F277">
        <v>105.8</v>
      </c>
      <c r="G277">
        <v>359</v>
      </c>
      <c r="H277">
        <v>96.8</v>
      </c>
      <c r="I277">
        <v>5.2</v>
      </c>
      <c r="J277">
        <v>170</v>
      </c>
      <c r="K277">
        <v>313</v>
      </c>
      <c r="L277">
        <v>268</v>
      </c>
      <c r="M277" t="s">
        <v>54</v>
      </c>
      <c r="N277">
        <v>7</v>
      </c>
      <c r="O277" t="s">
        <v>31</v>
      </c>
      <c r="P277">
        <v>57.8</v>
      </c>
      <c r="Q277">
        <v>2452</v>
      </c>
      <c r="R277">
        <v>4</v>
      </c>
      <c r="S277">
        <v>0</v>
      </c>
      <c r="T277" t="s">
        <v>51</v>
      </c>
      <c r="U277" t="s">
        <v>42</v>
      </c>
      <c r="V277">
        <v>77052</v>
      </c>
      <c r="W277">
        <v>3.9</v>
      </c>
      <c r="X277">
        <v>5</v>
      </c>
      <c r="Y277" t="s">
        <v>43</v>
      </c>
      <c r="Z277">
        <v>3.39</v>
      </c>
      <c r="AA277" t="s">
        <v>35</v>
      </c>
    </row>
    <row r="278" spans="1:27" x14ac:dyDescent="0.3">
      <c r="A278" t="s">
        <v>84</v>
      </c>
      <c r="B278" t="s">
        <v>85</v>
      </c>
      <c r="C278">
        <v>2023</v>
      </c>
      <c r="D278" t="s">
        <v>50</v>
      </c>
      <c r="E278">
        <v>63827.68</v>
      </c>
      <c r="F278">
        <v>85.8</v>
      </c>
      <c r="G278">
        <v>270</v>
      </c>
      <c r="H278">
        <v>133.9</v>
      </c>
      <c r="I278">
        <v>4.5999999999999996</v>
      </c>
      <c r="J278">
        <v>180</v>
      </c>
      <c r="K278">
        <v>665</v>
      </c>
      <c r="L278">
        <v>610</v>
      </c>
      <c r="M278" t="s">
        <v>39</v>
      </c>
      <c r="N278">
        <v>7</v>
      </c>
      <c r="O278" t="s">
        <v>31</v>
      </c>
      <c r="P278">
        <v>59.4</v>
      </c>
      <c r="Q278">
        <v>2431</v>
      </c>
      <c r="R278">
        <v>4</v>
      </c>
      <c r="S278">
        <v>0</v>
      </c>
      <c r="T278" t="s">
        <v>47</v>
      </c>
      <c r="U278" t="s">
        <v>42</v>
      </c>
      <c r="V278">
        <v>74506</v>
      </c>
      <c r="W278">
        <v>3.4</v>
      </c>
      <c r="X278">
        <v>3</v>
      </c>
      <c r="Y278" t="s">
        <v>43</v>
      </c>
      <c r="Z278">
        <v>3.15</v>
      </c>
      <c r="AA278" t="s">
        <v>35</v>
      </c>
    </row>
    <row r="279" spans="1:27" x14ac:dyDescent="0.3">
      <c r="A279" t="s">
        <v>91</v>
      </c>
      <c r="B279" t="s">
        <v>92</v>
      </c>
      <c r="C279">
        <v>2025</v>
      </c>
      <c r="D279" t="s">
        <v>38</v>
      </c>
      <c r="E279">
        <v>150512.16</v>
      </c>
      <c r="F279">
        <v>44.6</v>
      </c>
      <c r="G279">
        <v>150</v>
      </c>
      <c r="H279">
        <v>132.1</v>
      </c>
      <c r="I279">
        <v>5.28</v>
      </c>
      <c r="J279">
        <v>170</v>
      </c>
      <c r="K279">
        <v>1000</v>
      </c>
      <c r="L279">
        <v>905</v>
      </c>
      <c r="M279" t="s">
        <v>54</v>
      </c>
      <c r="N279">
        <v>7</v>
      </c>
      <c r="O279" t="s">
        <v>56</v>
      </c>
      <c r="P279">
        <v>20.5</v>
      </c>
      <c r="Q279">
        <v>1765</v>
      </c>
      <c r="R279">
        <v>4</v>
      </c>
      <c r="S279">
        <v>2</v>
      </c>
      <c r="T279" t="s">
        <v>32</v>
      </c>
      <c r="U279" t="s">
        <v>33</v>
      </c>
      <c r="V279">
        <v>47379</v>
      </c>
      <c r="W279">
        <v>3.3</v>
      </c>
      <c r="X279">
        <v>8</v>
      </c>
      <c r="Y279" t="s">
        <v>43</v>
      </c>
      <c r="Z279">
        <v>3.36</v>
      </c>
      <c r="AA279" t="s">
        <v>35</v>
      </c>
    </row>
    <row r="280" spans="1:27" x14ac:dyDescent="0.3">
      <c r="A280" t="s">
        <v>44</v>
      </c>
      <c r="B280" t="s">
        <v>109</v>
      </c>
      <c r="C280">
        <v>2023</v>
      </c>
      <c r="D280" t="s">
        <v>29</v>
      </c>
      <c r="E280">
        <v>74889.56</v>
      </c>
      <c r="F280">
        <v>92.7</v>
      </c>
      <c r="G280">
        <v>312</v>
      </c>
      <c r="H280">
        <v>151.1</v>
      </c>
      <c r="I280">
        <v>4.05</v>
      </c>
      <c r="J280">
        <v>193</v>
      </c>
      <c r="K280">
        <v>994</v>
      </c>
      <c r="L280">
        <v>937</v>
      </c>
      <c r="M280" t="s">
        <v>54</v>
      </c>
      <c r="N280">
        <v>7</v>
      </c>
      <c r="O280" t="s">
        <v>57</v>
      </c>
      <c r="P280">
        <v>17.5</v>
      </c>
      <c r="Q280">
        <v>1704</v>
      </c>
      <c r="R280">
        <v>4</v>
      </c>
      <c r="S280">
        <v>2</v>
      </c>
      <c r="T280" t="s">
        <v>47</v>
      </c>
      <c r="U280" t="s">
        <v>38</v>
      </c>
      <c r="V280">
        <v>29402</v>
      </c>
      <c r="W280">
        <v>3.6</v>
      </c>
      <c r="X280">
        <v>3</v>
      </c>
      <c r="Y280" t="s">
        <v>43</v>
      </c>
      <c r="Z280">
        <v>3.37</v>
      </c>
      <c r="AA280" t="s">
        <v>35</v>
      </c>
    </row>
    <row r="281" spans="1:27" x14ac:dyDescent="0.3">
      <c r="A281" t="s">
        <v>84</v>
      </c>
      <c r="B281" t="s">
        <v>99</v>
      </c>
      <c r="C281">
        <v>2025</v>
      </c>
      <c r="D281" t="s">
        <v>50</v>
      </c>
      <c r="E281">
        <v>66474.899999999994</v>
      </c>
      <c r="F281">
        <v>78.5</v>
      </c>
      <c r="G281">
        <v>273</v>
      </c>
      <c r="H281">
        <v>146</v>
      </c>
      <c r="I281">
        <v>5.39</v>
      </c>
      <c r="J281">
        <v>168</v>
      </c>
      <c r="K281">
        <v>721</v>
      </c>
      <c r="L281">
        <v>687</v>
      </c>
      <c r="M281" t="s">
        <v>39</v>
      </c>
      <c r="N281">
        <v>4</v>
      </c>
      <c r="O281" t="s">
        <v>31</v>
      </c>
      <c r="P281">
        <v>69.3</v>
      </c>
      <c r="Q281">
        <v>2671</v>
      </c>
      <c r="R281">
        <v>4</v>
      </c>
      <c r="S281">
        <v>0</v>
      </c>
      <c r="T281" t="s">
        <v>47</v>
      </c>
      <c r="U281" t="s">
        <v>38</v>
      </c>
      <c r="V281">
        <v>43803</v>
      </c>
      <c r="W281">
        <v>3.5</v>
      </c>
      <c r="X281">
        <v>5</v>
      </c>
      <c r="Y281" t="s">
        <v>43</v>
      </c>
      <c r="Z281">
        <v>3.48</v>
      </c>
      <c r="AA281" t="s">
        <v>35</v>
      </c>
    </row>
    <row r="282" spans="1:27" x14ac:dyDescent="0.3">
      <c r="A282" t="s">
        <v>94</v>
      </c>
      <c r="B282" t="s">
        <v>113</v>
      </c>
      <c r="C282">
        <v>2020</v>
      </c>
      <c r="D282" t="s">
        <v>50</v>
      </c>
      <c r="E282">
        <v>76665.86</v>
      </c>
      <c r="F282">
        <v>103.7</v>
      </c>
      <c r="G282">
        <v>353</v>
      </c>
      <c r="H282">
        <v>63</v>
      </c>
      <c r="I282">
        <v>5.43</v>
      </c>
      <c r="J282">
        <v>165</v>
      </c>
      <c r="K282">
        <v>449</v>
      </c>
      <c r="L282">
        <v>388</v>
      </c>
      <c r="M282" t="s">
        <v>30</v>
      </c>
      <c r="N282">
        <v>5</v>
      </c>
      <c r="O282" t="s">
        <v>56</v>
      </c>
      <c r="P282">
        <v>29.6</v>
      </c>
      <c r="Q282">
        <v>1563</v>
      </c>
      <c r="R282">
        <v>4</v>
      </c>
      <c r="S282">
        <v>1</v>
      </c>
      <c r="T282" t="s">
        <v>32</v>
      </c>
      <c r="U282" t="s">
        <v>38</v>
      </c>
      <c r="V282">
        <v>32828</v>
      </c>
      <c r="W282">
        <v>3.4</v>
      </c>
      <c r="X282">
        <v>5</v>
      </c>
      <c r="Y282" t="s">
        <v>43</v>
      </c>
      <c r="Z282">
        <v>3.4</v>
      </c>
      <c r="AA282" t="s">
        <v>35</v>
      </c>
    </row>
    <row r="283" spans="1:27" x14ac:dyDescent="0.3">
      <c r="A283" t="s">
        <v>71</v>
      </c>
      <c r="B283" t="s">
        <v>104</v>
      </c>
      <c r="C283">
        <v>2025</v>
      </c>
      <c r="D283" t="s">
        <v>63</v>
      </c>
      <c r="E283">
        <v>42876.18</v>
      </c>
      <c r="F283">
        <v>78.3</v>
      </c>
      <c r="G283">
        <v>263</v>
      </c>
      <c r="H283">
        <v>87.3</v>
      </c>
      <c r="I283">
        <v>5.69</v>
      </c>
      <c r="J283">
        <v>161</v>
      </c>
      <c r="K283">
        <v>415</v>
      </c>
      <c r="L283">
        <v>379</v>
      </c>
      <c r="M283" t="s">
        <v>39</v>
      </c>
      <c r="N283">
        <v>7</v>
      </c>
      <c r="O283" t="s">
        <v>40</v>
      </c>
      <c r="P283">
        <v>41.7</v>
      </c>
      <c r="Q283">
        <v>2370</v>
      </c>
      <c r="R283">
        <v>5</v>
      </c>
      <c r="S283">
        <v>2</v>
      </c>
      <c r="T283" t="s">
        <v>73</v>
      </c>
      <c r="U283" t="s">
        <v>42</v>
      </c>
      <c r="V283">
        <v>158327</v>
      </c>
      <c r="W283">
        <v>3.3</v>
      </c>
      <c r="X283">
        <v>3</v>
      </c>
      <c r="Y283" t="s">
        <v>43</v>
      </c>
      <c r="Z283">
        <v>3.36</v>
      </c>
      <c r="AA283" t="s">
        <v>35</v>
      </c>
    </row>
    <row r="284" spans="1:27" x14ac:dyDescent="0.3">
      <c r="A284" t="s">
        <v>27</v>
      </c>
      <c r="B284" t="s">
        <v>28</v>
      </c>
      <c r="C284">
        <v>2026</v>
      </c>
      <c r="D284" t="s">
        <v>68</v>
      </c>
      <c r="E284">
        <v>43538.73</v>
      </c>
      <c r="F284">
        <v>62.3</v>
      </c>
      <c r="G284">
        <v>231</v>
      </c>
      <c r="H284">
        <v>100</v>
      </c>
      <c r="I284">
        <v>5.92</v>
      </c>
      <c r="J284">
        <v>165</v>
      </c>
      <c r="K284">
        <v>299</v>
      </c>
      <c r="L284">
        <v>249</v>
      </c>
      <c r="M284" t="s">
        <v>54</v>
      </c>
      <c r="N284">
        <v>5</v>
      </c>
      <c r="O284" t="s">
        <v>46</v>
      </c>
      <c r="P284">
        <v>70.599999999999994</v>
      </c>
      <c r="Q284">
        <v>1732</v>
      </c>
      <c r="R284">
        <v>4</v>
      </c>
      <c r="S284">
        <v>1</v>
      </c>
      <c r="T284" t="s">
        <v>32</v>
      </c>
      <c r="U284" t="s">
        <v>42</v>
      </c>
      <c r="V284">
        <v>228329</v>
      </c>
      <c r="W284">
        <v>3.2</v>
      </c>
      <c r="X284">
        <v>3</v>
      </c>
      <c r="Y284" t="s">
        <v>43</v>
      </c>
      <c r="Z284">
        <v>3.71</v>
      </c>
      <c r="AA284" t="s">
        <v>35</v>
      </c>
    </row>
    <row r="285" spans="1:27" x14ac:dyDescent="0.3">
      <c r="A285" t="s">
        <v>52</v>
      </c>
      <c r="B285" t="s">
        <v>80</v>
      </c>
      <c r="C285">
        <v>2023</v>
      </c>
      <c r="D285" t="s">
        <v>63</v>
      </c>
      <c r="E285">
        <v>104581.09</v>
      </c>
      <c r="F285">
        <v>50.5</v>
      </c>
      <c r="G285">
        <v>185</v>
      </c>
      <c r="H285">
        <v>345.6</v>
      </c>
      <c r="I285">
        <v>6.12</v>
      </c>
      <c r="J285">
        <v>165</v>
      </c>
      <c r="K285">
        <v>743</v>
      </c>
      <c r="L285">
        <v>674</v>
      </c>
      <c r="M285" t="s">
        <v>39</v>
      </c>
      <c r="N285">
        <v>7</v>
      </c>
      <c r="O285" t="s">
        <v>31</v>
      </c>
      <c r="P285">
        <v>66.2</v>
      </c>
      <c r="Q285">
        <v>2370</v>
      </c>
      <c r="R285">
        <v>5</v>
      </c>
      <c r="S285">
        <v>2</v>
      </c>
      <c r="T285" t="s">
        <v>47</v>
      </c>
      <c r="U285" t="s">
        <v>33</v>
      </c>
      <c r="V285">
        <v>156090</v>
      </c>
      <c r="W285">
        <v>3.5</v>
      </c>
      <c r="X285">
        <v>6</v>
      </c>
      <c r="Y285" t="s">
        <v>43</v>
      </c>
      <c r="Z285">
        <v>3.66</v>
      </c>
      <c r="AA285" t="s">
        <v>35</v>
      </c>
    </row>
    <row r="286" spans="1:27" x14ac:dyDescent="0.3">
      <c r="A286" t="s">
        <v>48</v>
      </c>
      <c r="B286" t="s">
        <v>123</v>
      </c>
      <c r="C286">
        <v>2022</v>
      </c>
      <c r="D286" t="s">
        <v>50</v>
      </c>
      <c r="E286">
        <v>90771.15</v>
      </c>
      <c r="F286">
        <v>86.2</v>
      </c>
      <c r="G286">
        <v>305</v>
      </c>
      <c r="H286">
        <v>132.4</v>
      </c>
      <c r="I286">
        <v>4.21</v>
      </c>
      <c r="J286">
        <v>179</v>
      </c>
      <c r="K286">
        <v>1000</v>
      </c>
      <c r="L286">
        <v>874</v>
      </c>
      <c r="M286" t="s">
        <v>39</v>
      </c>
      <c r="N286">
        <v>5</v>
      </c>
      <c r="O286" t="s">
        <v>31</v>
      </c>
      <c r="P286">
        <v>78.900000000000006</v>
      </c>
      <c r="Q286">
        <v>2457</v>
      </c>
      <c r="R286">
        <v>4</v>
      </c>
      <c r="S286">
        <v>0</v>
      </c>
      <c r="T286" t="s">
        <v>51</v>
      </c>
      <c r="U286" t="s">
        <v>38</v>
      </c>
      <c r="V286">
        <v>86318</v>
      </c>
      <c r="W286">
        <v>3.5</v>
      </c>
      <c r="X286">
        <v>3</v>
      </c>
      <c r="Y286" t="s">
        <v>43</v>
      </c>
      <c r="Z286">
        <v>3.54</v>
      </c>
      <c r="AA286" t="s">
        <v>35</v>
      </c>
    </row>
    <row r="287" spans="1:27" x14ac:dyDescent="0.3">
      <c r="A287" t="s">
        <v>52</v>
      </c>
      <c r="B287" t="s">
        <v>64</v>
      </c>
      <c r="C287">
        <v>2022</v>
      </c>
      <c r="D287" t="s">
        <v>38</v>
      </c>
      <c r="E287">
        <v>59089.35</v>
      </c>
      <c r="F287">
        <v>76.7</v>
      </c>
      <c r="G287">
        <v>268</v>
      </c>
      <c r="H287">
        <v>244.8</v>
      </c>
      <c r="I287">
        <v>6.91</v>
      </c>
      <c r="J287">
        <v>153</v>
      </c>
      <c r="K287">
        <v>380</v>
      </c>
      <c r="L287">
        <v>319</v>
      </c>
      <c r="M287" t="s">
        <v>54</v>
      </c>
      <c r="N287">
        <v>5</v>
      </c>
      <c r="O287" t="s">
        <v>65</v>
      </c>
      <c r="P287">
        <v>36.700000000000003</v>
      </c>
      <c r="Q287">
        <v>1500</v>
      </c>
      <c r="R287">
        <v>5</v>
      </c>
      <c r="S287">
        <v>2</v>
      </c>
      <c r="T287" t="s">
        <v>47</v>
      </c>
      <c r="U287" t="s">
        <v>42</v>
      </c>
      <c r="V287">
        <v>130707</v>
      </c>
      <c r="W287">
        <v>3.6</v>
      </c>
      <c r="X287">
        <v>5</v>
      </c>
      <c r="Y287" t="s">
        <v>43</v>
      </c>
      <c r="Z287">
        <v>3.49</v>
      </c>
      <c r="AA287" t="s">
        <v>35</v>
      </c>
    </row>
    <row r="288" spans="1:27" x14ac:dyDescent="0.3">
      <c r="A288" t="s">
        <v>76</v>
      </c>
      <c r="B288" t="s">
        <v>98</v>
      </c>
      <c r="C288">
        <v>2024</v>
      </c>
      <c r="D288" t="s">
        <v>29</v>
      </c>
      <c r="E288">
        <v>50087.55</v>
      </c>
      <c r="F288">
        <v>104.8</v>
      </c>
      <c r="G288">
        <v>362</v>
      </c>
      <c r="H288">
        <v>185.1</v>
      </c>
      <c r="I288">
        <v>4.0199999999999996</v>
      </c>
      <c r="J288">
        <v>188</v>
      </c>
      <c r="K288">
        <v>578</v>
      </c>
      <c r="L288">
        <v>543</v>
      </c>
      <c r="M288" t="s">
        <v>39</v>
      </c>
      <c r="N288">
        <v>7</v>
      </c>
      <c r="O288" t="s">
        <v>31</v>
      </c>
      <c r="P288">
        <v>62.2</v>
      </c>
      <c r="Q288">
        <v>2466</v>
      </c>
      <c r="R288">
        <v>5</v>
      </c>
      <c r="S288">
        <v>0</v>
      </c>
      <c r="T288" t="s">
        <v>51</v>
      </c>
      <c r="U288" t="s">
        <v>42</v>
      </c>
      <c r="V288">
        <v>62703</v>
      </c>
      <c r="W288">
        <v>3.9</v>
      </c>
      <c r="X288">
        <v>3</v>
      </c>
      <c r="Y288" t="s">
        <v>43</v>
      </c>
      <c r="Z288">
        <v>3.45</v>
      </c>
      <c r="AA288" t="s">
        <v>35</v>
      </c>
    </row>
    <row r="289" spans="1:27" x14ac:dyDescent="0.3">
      <c r="A289" t="s">
        <v>48</v>
      </c>
      <c r="B289" t="s">
        <v>123</v>
      </c>
      <c r="C289">
        <v>2025</v>
      </c>
      <c r="D289" t="s">
        <v>29</v>
      </c>
      <c r="E289">
        <v>117331.76</v>
      </c>
      <c r="F289">
        <v>116.3</v>
      </c>
      <c r="G289">
        <v>411</v>
      </c>
      <c r="H289">
        <v>186.7</v>
      </c>
      <c r="I289">
        <v>2.71</v>
      </c>
      <c r="J289">
        <v>200</v>
      </c>
      <c r="K289">
        <v>1000</v>
      </c>
      <c r="L289">
        <v>905</v>
      </c>
      <c r="M289" t="s">
        <v>54</v>
      </c>
      <c r="N289">
        <v>5</v>
      </c>
      <c r="O289" t="s">
        <v>57</v>
      </c>
      <c r="P289">
        <v>37.4</v>
      </c>
      <c r="Q289">
        <v>1704</v>
      </c>
      <c r="R289">
        <v>4</v>
      </c>
      <c r="S289">
        <v>0</v>
      </c>
      <c r="T289" t="s">
        <v>51</v>
      </c>
      <c r="U289" t="s">
        <v>33</v>
      </c>
      <c r="V289">
        <v>108933</v>
      </c>
      <c r="W289">
        <v>3.6</v>
      </c>
      <c r="X289">
        <v>4</v>
      </c>
      <c r="Y289" t="s">
        <v>34</v>
      </c>
      <c r="Z289">
        <v>3.53</v>
      </c>
      <c r="AA289" t="s">
        <v>35</v>
      </c>
    </row>
    <row r="290" spans="1:27" x14ac:dyDescent="0.3">
      <c r="A290" t="s">
        <v>71</v>
      </c>
      <c r="B290" t="s">
        <v>96</v>
      </c>
      <c r="C290">
        <v>2024</v>
      </c>
      <c r="D290" t="s">
        <v>63</v>
      </c>
      <c r="E290">
        <v>36467.370000000003</v>
      </c>
      <c r="F290">
        <v>45</v>
      </c>
      <c r="G290">
        <v>150</v>
      </c>
      <c r="H290">
        <v>140.9</v>
      </c>
      <c r="I290">
        <v>5.31</v>
      </c>
      <c r="J290">
        <v>169</v>
      </c>
      <c r="K290">
        <v>406</v>
      </c>
      <c r="L290">
        <v>327</v>
      </c>
      <c r="M290" t="s">
        <v>54</v>
      </c>
      <c r="N290">
        <v>5</v>
      </c>
      <c r="O290" t="s">
        <v>57</v>
      </c>
      <c r="P290">
        <v>24</v>
      </c>
      <c r="Q290">
        <v>1558</v>
      </c>
      <c r="R290">
        <v>4</v>
      </c>
      <c r="S290">
        <v>1</v>
      </c>
      <c r="T290" t="s">
        <v>73</v>
      </c>
      <c r="U290" t="s">
        <v>42</v>
      </c>
      <c r="V290">
        <v>220450</v>
      </c>
      <c r="W290">
        <v>3.2</v>
      </c>
      <c r="X290">
        <v>4</v>
      </c>
      <c r="Y290" t="s">
        <v>43</v>
      </c>
      <c r="Z290">
        <v>3.33</v>
      </c>
      <c r="AA290" t="s">
        <v>35</v>
      </c>
    </row>
    <row r="291" spans="1:27" x14ac:dyDescent="0.3">
      <c r="A291" t="s">
        <v>48</v>
      </c>
      <c r="B291" t="s">
        <v>123</v>
      </c>
      <c r="C291">
        <v>2025</v>
      </c>
      <c r="D291" t="s">
        <v>63</v>
      </c>
      <c r="E291">
        <v>74609.83</v>
      </c>
      <c r="F291">
        <v>44.7</v>
      </c>
      <c r="G291">
        <v>153</v>
      </c>
      <c r="H291">
        <v>82.8</v>
      </c>
      <c r="I291">
        <v>5.63</v>
      </c>
      <c r="J291">
        <v>165</v>
      </c>
      <c r="K291">
        <v>763</v>
      </c>
      <c r="L291">
        <v>677</v>
      </c>
      <c r="M291" t="s">
        <v>54</v>
      </c>
      <c r="N291">
        <v>5</v>
      </c>
      <c r="O291" t="s">
        <v>31</v>
      </c>
      <c r="P291">
        <v>50.4</v>
      </c>
      <c r="Q291">
        <v>2255</v>
      </c>
      <c r="R291">
        <v>5</v>
      </c>
      <c r="S291">
        <v>1</v>
      </c>
      <c r="T291" t="s">
        <v>51</v>
      </c>
      <c r="U291" t="s">
        <v>38</v>
      </c>
      <c r="V291">
        <v>84247</v>
      </c>
      <c r="W291">
        <v>3.4</v>
      </c>
      <c r="X291">
        <v>3</v>
      </c>
      <c r="Y291" t="s">
        <v>43</v>
      </c>
      <c r="Z291">
        <v>3.42</v>
      </c>
      <c r="AA291" t="s">
        <v>35</v>
      </c>
    </row>
    <row r="292" spans="1:27" x14ac:dyDescent="0.3">
      <c r="A292" t="s">
        <v>52</v>
      </c>
      <c r="B292" t="s">
        <v>80</v>
      </c>
      <c r="C292">
        <v>2025</v>
      </c>
      <c r="D292" t="s">
        <v>63</v>
      </c>
      <c r="E292">
        <v>87113.04</v>
      </c>
      <c r="F292">
        <v>47.4</v>
      </c>
      <c r="G292">
        <v>150</v>
      </c>
      <c r="H292">
        <v>233.9</v>
      </c>
      <c r="I292">
        <v>5.08</v>
      </c>
      <c r="J292">
        <v>176</v>
      </c>
      <c r="K292">
        <v>649</v>
      </c>
      <c r="L292">
        <v>602</v>
      </c>
      <c r="M292" t="s">
        <v>54</v>
      </c>
      <c r="N292">
        <v>5</v>
      </c>
      <c r="O292" t="s">
        <v>31</v>
      </c>
      <c r="P292">
        <v>77.099999999999994</v>
      </c>
      <c r="Q292">
        <v>2639</v>
      </c>
      <c r="R292">
        <v>4</v>
      </c>
      <c r="S292">
        <v>2</v>
      </c>
      <c r="T292" t="s">
        <v>47</v>
      </c>
      <c r="U292" t="s">
        <v>38</v>
      </c>
      <c r="V292">
        <v>217680</v>
      </c>
      <c r="W292">
        <v>3.6</v>
      </c>
      <c r="X292">
        <v>4</v>
      </c>
      <c r="Y292" t="s">
        <v>43</v>
      </c>
      <c r="Z292">
        <v>3.16</v>
      </c>
      <c r="AA292" t="s">
        <v>35</v>
      </c>
    </row>
    <row r="293" spans="1:27" x14ac:dyDescent="0.3">
      <c r="A293" t="s">
        <v>52</v>
      </c>
      <c r="B293" t="s">
        <v>80</v>
      </c>
      <c r="C293">
        <v>2025</v>
      </c>
      <c r="D293" t="s">
        <v>29</v>
      </c>
      <c r="E293">
        <v>166572.78</v>
      </c>
      <c r="F293">
        <v>117.8</v>
      </c>
      <c r="G293">
        <v>398</v>
      </c>
      <c r="H293">
        <v>203</v>
      </c>
      <c r="I293">
        <v>3.46</v>
      </c>
      <c r="J293">
        <v>200</v>
      </c>
      <c r="K293">
        <v>1000</v>
      </c>
      <c r="L293">
        <v>903</v>
      </c>
      <c r="M293" t="s">
        <v>30</v>
      </c>
      <c r="N293">
        <v>5</v>
      </c>
      <c r="O293" t="s">
        <v>31</v>
      </c>
      <c r="P293">
        <v>72.900000000000006</v>
      </c>
      <c r="Q293">
        <v>2600</v>
      </c>
      <c r="R293">
        <v>5</v>
      </c>
      <c r="S293">
        <v>2</v>
      </c>
      <c r="T293" t="s">
        <v>47</v>
      </c>
      <c r="U293" t="s">
        <v>33</v>
      </c>
      <c r="V293">
        <v>229037</v>
      </c>
      <c r="W293">
        <v>4.4000000000000004</v>
      </c>
      <c r="X293">
        <v>6</v>
      </c>
      <c r="Y293" t="s">
        <v>34</v>
      </c>
      <c r="Z293">
        <v>3.38</v>
      </c>
      <c r="AA293" t="s">
        <v>35</v>
      </c>
    </row>
    <row r="294" spans="1:27" x14ac:dyDescent="0.3">
      <c r="A294" t="s">
        <v>58</v>
      </c>
      <c r="B294" t="s">
        <v>111</v>
      </c>
      <c r="C294">
        <v>2024</v>
      </c>
      <c r="D294" t="s">
        <v>63</v>
      </c>
      <c r="E294">
        <v>116775.93</v>
      </c>
      <c r="F294">
        <v>78.599999999999994</v>
      </c>
      <c r="G294">
        <v>259</v>
      </c>
      <c r="H294">
        <v>119.6</v>
      </c>
      <c r="I294">
        <v>5.62</v>
      </c>
      <c r="J294">
        <v>166</v>
      </c>
      <c r="K294">
        <v>633</v>
      </c>
      <c r="L294">
        <v>567</v>
      </c>
      <c r="M294" t="s">
        <v>54</v>
      </c>
      <c r="N294">
        <v>5</v>
      </c>
      <c r="O294" t="s">
        <v>56</v>
      </c>
      <c r="P294">
        <v>29</v>
      </c>
      <c r="Q294">
        <v>1558</v>
      </c>
      <c r="R294">
        <v>4</v>
      </c>
      <c r="S294">
        <v>1</v>
      </c>
      <c r="T294" t="s">
        <v>32</v>
      </c>
      <c r="U294" t="s">
        <v>33</v>
      </c>
      <c r="V294">
        <v>43904</v>
      </c>
      <c r="W294">
        <v>3.6</v>
      </c>
      <c r="X294">
        <v>6</v>
      </c>
      <c r="Y294" t="s">
        <v>43</v>
      </c>
      <c r="Z294">
        <v>3.3</v>
      </c>
      <c r="AA294" t="s">
        <v>35</v>
      </c>
    </row>
    <row r="295" spans="1:27" x14ac:dyDescent="0.3">
      <c r="A295" t="s">
        <v>27</v>
      </c>
      <c r="B295" t="s">
        <v>93</v>
      </c>
      <c r="C295">
        <v>2024</v>
      </c>
      <c r="D295" t="s">
        <v>38</v>
      </c>
      <c r="E295">
        <v>98791.59</v>
      </c>
      <c r="F295">
        <v>77</v>
      </c>
      <c r="G295">
        <v>250</v>
      </c>
      <c r="H295">
        <v>96.8</v>
      </c>
      <c r="I295">
        <v>7.9</v>
      </c>
      <c r="J295">
        <v>133</v>
      </c>
      <c r="K295">
        <v>1000</v>
      </c>
      <c r="L295">
        <v>918</v>
      </c>
      <c r="M295" t="s">
        <v>30</v>
      </c>
      <c r="N295">
        <v>5</v>
      </c>
      <c r="O295" t="s">
        <v>56</v>
      </c>
      <c r="P295">
        <v>25.9</v>
      </c>
      <c r="Q295">
        <v>1840</v>
      </c>
      <c r="R295">
        <v>5</v>
      </c>
      <c r="S295">
        <v>0</v>
      </c>
      <c r="T295" t="s">
        <v>32</v>
      </c>
      <c r="U295" t="s">
        <v>38</v>
      </c>
      <c r="V295">
        <v>289215</v>
      </c>
      <c r="W295">
        <v>3.5</v>
      </c>
      <c r="X295">
        <v>4</v>
      </c>
      <c r="Y295" t="s">
        <v>61</v>
      </c>
      <c r="Z295">
        <v>3.25</v>
      </c>
      <c r="AA295" t="s">
        <v>35</v>
      </c>
    </row>
    <row r="296" spans="1:27" x14ac:dyDescent="0.3">
      <c r="A296" t="s">
        <v>52</v>
      </c>
      <c r="B296" t="s">
        <v>64</v>
      </c>
      <c r="C296">
        <v>2023</v>
      </c>
      <c r="D296" t="s">
        <v>63</v>
      </c>
      <c r="E296">
        <v>56750.25</v>
      </c>
      <c r="F296">
        <v>40.5</v>
      </c>
      <c r="G296">
        <v>163</v>
      </c>
      <c r="H296">
        <v>297.60000000000002</v>
      </c>
      <c r="I296">
        <v>7.9</v>
      </c>
      <c r="J296">
        <v>136</v>
      </c>
      <c r="K296">
        <v>387</v>
      </c>
      <c r="L296">
        <v>382</v>
      </c>
      <c r="M296" t="s">
        <v>30</v>
      </c>
      <c r="N296">
        <v>5</v>
      </c>
      <c r="O296" t="s">
        <v>46</v>
      </c>
      <c r="P296">
        <v>72.2</v>
      </c>
      <c r="Q296">
        <v>1500</v>
      </c>
      <c r="R296">
        <v>4</v>
      </c>
      <c r="S296">
        <v>2</v>
      </c>
      <c r="T296" t="s">
        <v>47</v>
      </c>
      <c r="U296" t="s">
        <v>42</v>
      </c>
      <c r="V296">
        <v>175034</v>
      </c>
      <c r="W296">
        <v>3.9</v>
      </c>
      <c r="X296">
        <v>4</v>
      </c>
      <c r="Y296" t="s">
        <v>61</v>
      </c>
      <c r="Z296">
        <v>4.0199999999999996</v>
      </c>
      <c r="AA296" t="s">
        <v>35</v>
      </c>
    </row>
    <row r="297" spans="1:27" x14ac:dyDescent="0.3">
      <c r="A297" t="s">
        <v>76</v>
      </c>
      <c r="B297" t="s">
        <v>77</v>
      </c>
      <c r="C297">
        <v>2024</v>
      </c>
      <c r="D297" t="s">
        <v>38</v>
      </c>
      <c r="E297">
        <v>75053.58</v>
      </c>
      <c r="F297">
        <v>43</v>
      </c>
      <c r="G297">
        <v>154</v>
      </c>
      <c r="H297">
        <v>117.1</v>
      </c>
      <c r="I297">
        <v>7.11</v>
      </c>
      <c r="J297">
        <v>150</v>
      </c>
      <c r="K297">
        <v>943</v>
      </c>
      <c r="L297">
        <v>794</v>
      </c>
      <c r="M297" t="s">
        <v>54</v>
      </c>
      <c r="N297">
        <v>7</v>
      </c>
      <c r="O297" t="s">
        <v>31</v>
      </c>
      <c r="P297">
        <v>72.400000000000006</v>
      </c>
      <c r="Q297">
        <v>2127</v>
      </c>
      <c r="R297">
        <v>4</v>
      </c>
      <c r="S297">
        <v>1</v>
      </c>
      <c r="T297" t="s">
        <v>51</v>
      </c>
      <c r="U297" t="s">
        <v>38</v>
      </c>
      <c r="V297">
        <v>86699</v>
      </c>
      <c r="W297">
        <v>3.4</v>
      </c>
      <c r="X297">
        <v>4</v>
      </c>
      <c r="Y297" t="s">
        <v>61</v>
      </c>
      <c r="Z297">
        <v>3.58</v>
      </c>
      <c r="AA297" t="s">
        <v>35</v>
      </c>
    </row>
    <row r="298" spans="1:27" x14ac:dyDescent="0.3">
      <c r="A298" t="s">
        <v>84</v>
      </c>
      <c r="B298" t="s">
        <v>89</v>
      </c>
      <c r="C298">
        <v>2025</v>
      </c>
      <c r="D298" t="s">
        <v>68</v>
      </c>
      <c r="E298">
        <v>49970.16</v>
      </c>
      <c r="F298">
        <v>77.5</v>
      </c>
      <c r="G298">
        <v>267</v>
      </c>
      <c r="H298">
        <v>56.6</v>
      </c>
      <c r="I298">
        <v>5</v>
      </c>
      <c r="J298">
        <v>181</v>
      </c>
      <c r="K298">
        <v>406</v>
      </c>
      <c r="L298">
        <v>375</v>
      </c>
      <c r="M298" t="s">
        <v>54</v>
      </c>
      <c r="N298">
        <v>7</v>
      </c>
      <c r="O298" t="s">
        <v>31</v>
      </c>
      <c r="P298">
        <v>54</v>
      </c>
      <c r="Q298">
        <v>2803</v>
      </c>
      <c r="R298">
        <v>4</v>
      </c>
      <c r="S298">
        <v>1</v>
      </c>
      <c r="T298" t="s">
        <v>47</v>
      </c>
      <c r="U298" t="s">
        <v>42</v>
      </c>
      <c r="V298">
        <v>35218</v>
      </c>
      <c r="W298">
        <v>3.6</v>
      </c>
      <c r="X298">
        <v>3</v>
      </c>
      <c r="Y298" t="s">
        <v>43</v>
      </c>
      <c r="Z298">
        <v>3.45</v>
      </c>
      <c r="AA298" t="s">
        <v>35</v>
      </c>
    </row>
    <row r="299" spans="1:27" x14ac:dyDescent="0.3">
      <c r="A299" t="s">
        <v>71</v>
      </c>
      <c r="B299" t="s">
        <v>96</v>
      </c>
      <c r="C299">
        <v>2024</v>
      </c>
      <c r="D299" t="s">
        <v>68</v>
      </c>
      <c r="E299">
        <v>39727.71</v>
      </c>
      <c r="F299">
        <v>45.3</v>
      </c>
      <c r="G299">
        <v>154</v>
      </c>
      <c r="H299">
        <v>108.8</v>
      </c>
      <c r="I299">
        <v>5.19</v>
      </c>
      <c r="J299">
        <v>170</v>
      </c>
      <c r="K299">
        <v>400</v>
      </c>
      <c r="L299">
        <v>312</v>
      </c>
      <c r="M299" t="s">
        <v>30</v>
      </c>
      <c r="N299">
        <v>7</v>
      </c>
      <c r="O299" t="s">
        <v>46</v>
      </c>
      <c r="P299">
        <v>74.900000000000006</v>
      </c>
      <c r="Q299">
        <v>1609</v>
      </c>
      <c r="R299">
        <v>4</v>
      </c>
      <c r="S299">
        <v>1</v>
      </c>
      <c r="T299" t="s">
        <v>73</v>
      </c>
      <c r="U299" t="s">
        <v>42</v>
      </c>
      <c r="V299">
        <v>139199</v>
      </c>
      <c r="W299">
        <v>3.1</v>
      </c>
      <c r="X299">
        <v>5</v>
      </c>
      <c r="Y299" t="s">
        <v>43</v>
      </c>
      <c r="Z299">
        <v>3.4</v>
      </c>
      <c r="AA299" t="s">
        <v>35</v>
      </c>
    </row>
    <row r="300" spans="1:27" x14ac:dyDescent="0.3">
      <c r="A300" t="s">
        <v>91</v>
      </c>
      <c r="B300" t="s">
        <v>124</v>
      </c>
      <c r="C300">
        <v>2025</v>
      </c>
      <c r="D300" t="s">
        <v>63</v>
      </c>
      <c r="E300">
        <v>85729.44</v>
      </c>
      <c r="F300">
        <v>59.9</v>
      </c>
      <c r="G300">
        <v>191</v>
      </c>
      <c r="H300">
        <v>145.69999999999999</v>
      </c>
      <c r="I300">
        <v>5.99</v>
      </c>
      <c r="J300">
        <v>168</v>
      </c>
      <c r="K300">
        <v>651</v>
      </c>
      <c r="L300">
        <v>567</v>
      </c>
      <c r="M300" t="s">
        <v>54</v>
      </c>
      <c r="N300">
        <v>5</v>
      </c>
      <c r="O300" t="s">
        <v>31</v>
      </c>
      <c r="P300">
        <v>68.3</v>
      </c>
      <c r="Q300">
        <v>2688</v>
      </c>
      <c r="R300">
        <v>5</v>
      </c>
      <c r="S300">
        <v>2</v>
      </c>
      <c r="T300" t="s">
        <v>32</v>
      </c>
      <c r="U300" t="s">
        <v>38</v>
      </c>
      <c r="V300">
        <v>29338</v>
      </c>
      <c r="W300">
        <v>3.5</v>
      </c>
      <c r="X300">
        <v>6</v>
      </c>
      <c r="Y300" t="s">
        <v>43</v>
      </c>
      <c r="Z300">
        <v>3.19</v>
      </c>
      <c r="AA300" t="s">
        <v>35</v>
      </c>
    </row>
    <row r="301" spans="1:27" x14ac:dyDescent="0.3">
      <c r="A301" t="s">
        <v>52</v>
      </c>
      <c r="B301" t="s">
        <v>80</v>
      </c>
      <c r="C301">
        <v>2023</v>
      </c>
      <c r="D301" t="s">
        <v>63</v>
      </c>
      <c r="E301">
        <v>62213.09</v>
      </c>
      <c r="F301">
        <v>54.2</v>
      </c>
      <c r="G301">
        <v>191</v>
      </c>
      <c r="H301">
        <v>341.2</v>
      </c>
      <c r="I301">
        <v>7.6</v>
      </c>
      <c r="J301">
        <v>136</v>
      </c>
      <c r="K301">
        <v>404</v>
      </c>
      <c r="L301">
        <v>327</v>
      </c>
      <c r="M301" t="s">
        <v>39</v>
      </c>
      <c r="N301">
        <v>5</v>
      </c>
      <c r="O301" t="s">
        <v>31</v>
      </c>
      <c r="P301">
        <v>50.7</v>
      </c>
      <c r="Q301">
        <v>2531</v>
      </c>
      <c r="R301">
        <v>5</v>
      </c>
      <c r="S301">
        <v>3</v>
      </c>
      <c r="T301" t="s">
        <v>47</v>
      </c>
      <c r="U301" t="s">
        <v>42</v>
      </c>
      <c r="V301">
        <v>199768</v>
      </c>
      <c r="W301">
        <v>3.8</v>
      </c>
      <c r="X301">
        <v>5</v>
      </c>
      <c r="Y301" t="s">
        <v>61</v>
      </c>
      <c r="Z301">
        <v>3.52</v>
      </c>
      <c r="AA301" t="s">
        <v>35</v>
      </c>
    </row>
    <row r="302" spans="1:27" x14ac:dyDescent="0.3">
      <c r="A302" t="s">
        <v>52</v>
      </c>
      <c r="B302" t="s">
        <v>80</v>
      </c>
      <c r="C302">
        <v>2022</v>
      </c>
      <c r="D302" t="s">
        <v>29</v>
      </c>
      <c r="E302">
        <v>170128.32</v>
      </c>
      <c r="F302">
        <v>84.4</v>
      </c>
      <c r="G302">
        <v>303</v>
      </c>
      <c r="H302">
        <v>306.89999999999998</v>
      </c>
      <c r="I302">
        <v>3.88</v>
      </c>
      <c r="J302">
        <v>186</v>
      </c>
      <c r="K302">
        <v>1000</v>
      </c>
      <c r="L302">
        <v>875</v>
      </c>
      <c r="M302" t="s">
        <v>54</v>
      </c>
      <c r="N302">
        <v>7</v>
      </c>
      <c r="O302" t="s">
        <v>31</v>
      </c>
      <c r="P302">
        <v>63.7</v>
      </c>
      <c r="Q302">
        <v>2467</v>
      </c>
      <c r="R302">
        <v>4</v>
      </c>
      <c r="S302">
        <v>2</v>
      </c>
      <c r="T302" t="s">
        <v>47</v>
      </c>
      <c r="U302" t="s">
        <v>33</v>
      </c>
      <c r="V302">
        <v>163960</v>
      </c>
      <c r="W302">
        <v>4.0999999999999996</v>
      </c>
      <c r="X302">
        <v>5</v>
      </c>
      <c r="Y302" t="s">
        <v>34</v>
      </c>
      <c r="Z302">
        <v>3.59</v>
      </c>
      <c r="AA302" t="s">
        <v>35</v>
      </c>
    </row>
    <row r="303" spans="1:27" x14ac:dyDescent="0.3">
      <c r="A303" t="s">
        <v>76</v>
      </c>
      <c r="B303" t="s">
        <v>114</v>
      </c>
      <c r="C303">
        <v>2024</v>
      </c>
      <c r="D303" t="s">
        <v>38</v>
      </c>
      <c r="E303">
        <v>80948.92</v>
      </c>
      <c r="F303">
        <v>68.599999999999994</v>
      </c>
      <c r="G303">
        <v>262</v>
      </c>
      <c r="H303">
        <v>104.1</v>
      </c>
      <c r="I303">
        <v>5.97</v>
      </c>
      <c r="J303">
        <v>162</v>
      </c>
      <c r="K303">
        <v>1000</v>
      </c>
      <c r="L303">
        <v>898</v>
      </c>
      <c r="M303" t="s">
        <v>39</v>
      </c>
      <c r="N303">
        <v>7</v>
      </c>
      <c r="O303" t="s">
        <v>46</v>
      </c>
      <c r="P303">
        <v>77.2</v>
      </c>
      <c r="Q303">
        <v>1500</v>
      </c>
      <c r="R303">
        <v>5</v>
      </c>
      <c r="S303">
        <v>1</v>
      </c>
      <c r="T303" t="s">
        <v>51</v>
      </c>
      <c r="U303" t="s">
        <v>38</v>
      </c>
      <c r="V303">
        <v>134570</v>
      </c>
      <c r="W303">
        <v>3.6</v>
      </c>
      <c r="X303">
        <v>3</v>
      </c>
      <c r="Y303" t="s">
        <v>43</v>
      </c>
      <c r="Z303">
        <v>3.82</v>
      </c>
      <c r="AA303" t="s">
        <v>35</v>
      </c>
    </row>
    <row r="304" spans="1:27" x14ac:dyDescent="0.3">
      <c r="A304" t="s">
        <v>48</v>
      </c>
      <c r="B304" t="s">
        <v>79</v>
      </c>
      <c r="C304">
        <v>2022</v>
      </c>
      <c r="D304" t="s">
        <v>63</v>
      </c>
      <c r="E304">
        <v>43745.72</v>
      </c>
      <c r="F304">
        <v>58.3</v>
      </c>
      <c r="G304">
        <v>197</v>
      </c>
      <c r="H304">
        <v>109.4</v>
      </c>
      <c r="I304">
        <v>7.32</v>
      </c>
      <c r="J304">
        <v>141</v>
      </c>
      <c r="K304">
        <v>381</v>
      </c>
      <c r="L304">
        <v>354</v>
      </c>
      <c r="M304" t="s">
        <v>54</v>
      </c>
      <c r="N304">
        <v>7</v>
      </c>
      <c r="O304" t="s">
        <v>56</v>
      </c>
      <c r="P304">
        <v>27.1</v>
      </c>
      <c r="Q304">
        <v>1724</v>
      </c>
      <c r="R304">
        <v>5</v>
      </c>
      <c r="S304">
        <v>0</v>
      </c>
      <c r="T304" t="s">
        <v>51</v>
      </c>
      <c r="U304" t="s">
        <v>42</v>
      </c>
      <c r="V304">
        <v>77441</v>
      </c>
      <c r="W304">
        <v>3.3</v>
      </c>
      <c r="X304">
        <v>4</v>
      </c>
      <c r="Y304" t="s">
        <v>61</v>
      </c>
      <c r="Z304">
        <v>3.38</v>
      </c>
      <c r="AA304" t="s">
        <v>35</v>
      </c>
    </row>
    <row r="305" spans="1:27" x14ac:dyDescent="0.3">
      <c r="A305" t="s">
        <v>91</v>
      </c>
      <c r="B305" t="s">
        <v>97</v>
      </c>
      <c r="C305">
        <v>2023</v>
      </c>
      <c r="D305" t="s">
        <v>50</v>
      </c>
      <c r="E305">
        <v>134039.99</v>
      </c>
      <c r="F305">
        <v>84.4</v>
      </c>
      <c r="G305">
        <v>313</v>
      </c>
      <c r="H305">
        <v>79.400000000000006</v>
      </c>
      <c r="I305">
        <v>4.43</v>
      </c>
      <c r="J305">
        <v>177</v>
      </c>
      <c r="K305">
        <v>1000</v>
      </c>
      <c r="L305">
        <v>874</v>
      </c>
      <c r="M305" t="s">
        <v>30</v>
      </c>
      <c r="N305">
        <v>5</v>
      </c>
      <c r="O305" t="s">
        <v>65</v>
      </c>
      <c r="P305">
        <v>26.8</v>
      </c>
      <c r="Q305">
        <v>1652</v>
      </c>
      <c r="R305">
        <v>5</v>
      </c>
      <c r="S305">
        <v>2</v>
      </c>
      <c r="T305" t="s">
        <v>32</v>
      </c>
      <c r="U305" t="s">
        <v>33</v>
      </c>
      <c r="V305">
        <v>70841</v>
      </c>
      <c r="W305">
        <v>3.7</v>
      </c>
      <c r="X305">
        <v>5</v>
      </c>
      <c r="Y305" t="s">
        <v>43</v>
      </c>
      <c r="Z305">
        <v>3.71</v>
      </c>
      <c r="AA305" t="s">
        <v>35</v>
      </c>
    </row>
    <row r="306" spans="1:27" x14ac:dyDescent="0.3">
      <c r="A306" t="s">
        <v>44</v>
      </c>
      <c r="B306" t="s">
        <v>62</v>
      </c>
      <c r="C306">
        <v>2025</v>
      </c>
      <c r="D306" t="s">
        <v>38</v>
      </c>
      <c r="E306">
        <v>80896.009999999995</v>
      </c>
      <c r="F306">
        <v>64.400000000000006</v>
      </c>
      <c r="G306">
        <v>194</v>
      </c>
      <c r="H306">
        <v>102.1</v>
      </c>
      <c r="I306">
        <v>6.97</v>
      </c>
      <c r="J306">
        <v>148</v>
      </c>
      <c r="K306">
        <v>1000</v>
      </c>
      <c r="L306">
        <v>881</v>
      </c>
      <c r="M306" t="s">
        <v>54</v>
      </c>
      <c r="N306">
        <v>5</v>
      </c>
      <c r="O306" t="s">
        <v>56</v>
      </c>
      <c r="P306">
        <v>27.2</v>
      </c>
      <c r="Q306">
        <v>1500</v>
      </c>
      <c r="R306">
        <v>4</v>
      </c>
      <c r="S306">
        <v>0</v>
      </c>
      <c r="T306" t="s">
        <v>47</v>
      </c>
      <c r="U306" t="s">
        <v>38</v>
      </c>
      <c r="V306">
        <v>11404</v>
      </c>
      <c r="W306">
        <v>3.4</v>
      </c>
      <c r="X306">
        <v>4</v>
      </c>
      <c r="Y306" t="s">
        <v>43</v>
      </c>
      <c r="Z306">
        <v>3.01</v>
      </c>
      <c r="AA306" t="s">
        <v>43</v>
      </c>
    </row>
    <row r="307" spans="1:27" x14ac:dyDescent="0.3">
      <c r="A307" t="s">
        <v>132</v>
      </c>
      <c r="B307" t="s">
        <v>133</v>
      </c>
      <c r="C307">
        <v>2026</v>
      </c>
      <c r="D307" t="s">
        <v>68</v>
      </c>
      <c r="E307">
        <v>199365.9</v>
      </c>
      <c r="F307">
        <v>57.8</v>
      </c>
      <c r="G307">
        <v>235</v>
      </c>
      <c r="H307">
        <v>215.3</v>
      </c>
      <c r="I307">
        <v>7.53</v>
      </c>
      <c r="J307">
        <v>138</v>
      </c>
      <c r="K307">
        <v>953</v>
      </c>
      <c r="L307">
        <v>859</v>
      </c>
      <c r="M307" t="s">
        <v>39</v>
      </c>
      <c r="N307">
        <v>7</v>
      </c>
      <c r="O307" t="s">
        <v>57</v>
      </c>
      <c r="P307">
        <v>23.6</v>
      </c>
      <c r="Q307">
        <v>1531</v>
      </c>
      <c r="R307">
        <v>4</v>
      </c>
      <c r="S307">
        <v>0</v>
      </c>
      <c r="T307" t="s">
        <v>47</v>
      </c>
      <c r="U307" t="s">
        <v>33</v>
      </c>
      <c r="V307">
        <v>26890</v>
      </c>
      <c r="W307">
        <v>3.2</v>
      </c>
      <c r="X307">
        <v>5</v>
      </c>
      <c r="Y307" t="s">
        <v>61</v>
      </c>
      <c r="Z307">
        <v>4.07</v>
      </c>
      <c r="AA307" t="s">
        <v>35</v>
      </c>
    </row>
    <row r="308" spans="1:27" x14ac:dyDescent="0.3">
      <c r="A308" t="s">
        <v>76</v>
      </c>
      <c r="B308" t="s">
        <v>117</v>
      </c>
      <c r="C308">
        <v>2023</v>
      </c>
      <c r="D308" t="s">
        <v>50</v>
      </c>
      <c r="E308">
        <v>65970</v>
      </c>
      <c r="F308">
        <v>108.1</v>
      </c>
      <c r="G308">
        <v>394</v>
      </c>
      <c r="H308">
        <v>85.8</v>
      </c>
      <c r="I308">
        <v>4.76</v>
      </c>
      <c r="J308">
        <v>179</v>
      </c>
      <c r="K308">
        <v>835</v>
      </c>
      <c r="L308">
        <v>684</v>
      </c>
      <c r="M308" t="s">
        <v>39</v>
      </c>
      <c r="N308">
        <v>5</v>
      </c>
      <c r="O308" t="s">
        <v>57</v>
      </c>
      <c r="P308">
        <v>38.200000000000003</v>
      </c>
      <c r="Q308">
        <v>1500</v>
      </c>
      <c r="R308">
        <v>5</v>
      </c>
      <c r="S308">
        <v>1</v>
      </c>
      <c r="T308" t="s">
        <v>51</v>
      </c>
      <c r="U308" t="s">
        <v>38</v>
      </c>
      <c r="V308">
        <v>146072</v>
      </c>
      <c r="W308">
        <v>4.0999999999999996</v>
      </c>
      <c r="X308">
        <v>4</v>
      </c>
      <c r="Y308" t="s">
        <v>43</v>
      </c>
      <c r="Z308">
        <v>3.64</v>
      </c>
      <c r="AA308" t="s">
        <v>35</v>
      </c>
    </row>
    <row r="309" spans="1:27" x14ac:dyDescent="0.3">
      <c r="A309" t="s">
        <v>71</v>
      </c>
      <c r="B309" t="s">
        <v>115</v>
      </c>
      <c r="C309">
        <v>2024</v>
      </c>
      <c r="D309" t="s">
        <v>38</v>
      </c>
      <c r="E309">
        <v>67622.89</v>
      </c>
      <c r="F309">
        <v>80.400000000000006</v>
      </c>
      <c r="G309">
        <v>289</v>
      </c>
      <c r="H309">
        <v>98.5</v>
      </c>
      <c r="I309">
        <v>7.92</v>
      </c>
      <c r="J309">
        <v>131</v>
      </c>
      <c r="K309">
        <v>740</v>
      </c>
      <c r="L309">
        <v>667</v>
      </c>
      <c r="M309" t="s">
        <v>30</v>
      </c>
      <c r="N309">
        <v>5</v>
      </c>
      <c r="O309" t="s">
        <v>56</v>
      </c>
      <c r="P309">
        <v>28.6</v>
      </c>
      <c r="Q309">
        <v>1988</v>
      </c>
      <c r="R309">
        <v>4</v>
      </c>
      <c r="S309">
        <v>0</v>
      </c>
      <c r="T309" t="s">
        <v>73</v>
      </c>
      <c r="U309" t="s">
        <v>38</v>
      </c>
      <c r="V309">
        <v>235660</v>
      </c>
      <c r="W309">
        <v>3.6</v>
      </c>
      <c r="X309">
        <v>5</v>
      </c>
      <c r="Y309" t="s">
        <v>61</v>
      </c>
      <c r="Z309">
        <v>3.59</v>
      </c>
      <c r="AA309" t="s">
        <v>35</v>
      </c>
    </row>
    <row r="310" spans="1:27" x14ac:dyDescent="0.3">
      <c r="A310" t="s">
        <v>84</v>
      </c>
      <c r="B310" t="s">
        <v>89</v>
      </c>
      <c r="C310">
        <v>2023</v>
      </c>
      <c r="D310" t="s">
        <v>63</v>
      </c>
      <c r="E310">
        <v>42208.33</v>
      </c>
      <c r="F310">
        <v>66.3</v>
      </c>
      <c r="G310">
        <v>224</v>
      </c>
      <c r="H310">
        <v>72.3</v>
      </c>
      <c r="I310">
        <v>5.56</v>
      </c>
      <c r="J310">
        <v>165</v>
      </c>
      <c r="K310">
        <v>401</v>
      </c>
      <c r="L310">
        <v>336</v>
      </c>
      <c r="M310" t="s">
        <v>30</v>
      </c>
      <c r="N310">
        <v>5</v>
      </c>
      <c r="O310" t="s">
        <v>40</v>
      </c>
      <c r="P310">
        <v>35.200000000000003</v>
      </c>
      <c r="Q310">
        <v>1892</v>
      </c>
      <c r="R310">
        <v>5</v>
      </c>
      <c r="S310">
        <v>0</v>
      </c>
      <c r="T310" t="s">
        <v>47</v>
      </c>
      <c r="U310" t="s">
        <v>42</v>
      </c>
      <c r="V310">
        <v>47569</v>
      </c>
      <c r="W310">
        <v>3.4</v>
      </c>
      <c r="X310">
        <v>4</v>
      </c>
      <c r="Y310" t="s">
        <v>43</v>
      </c>
      <c r="Z310">
        <v>3.38</v>
      </c>
      <c r="AA310" t="s">
        <v>35</v>
      </c>
    </row>
    <row r="311" spans="1:27" x14ac:dyDescent="0.3">
      <c r="A311" t="s">
        <v>71</v>
      </c>
      <c r="B311" t="s">
        <v>90</v>
      </c>
      <c r="C311">
        <v>2024</v>
      </c>
      <c r="D311" t="s">
        <v>63</v>
      </c>
      <c r="E311">
        <v>56388.91</v>
      </c>
      <c r="F311">
        <v>73.7</v>
      </c>
      <c r="G311">
        <v>242</v>
      </c>
      <c r="H311">
        <v>113.8</v>
      </c>
      <c r="I311">
        <v>6.52</v>
      </c>
      <c r="J311">
        <v>156</v>
      </c>
      <c r="K311">
        <v>632</v>
      </c>
      <c r="L311">
        <v>585</v>
      </c>
      <c r="M311" t="s">
        <v>54</v>
      </c>
      <c r="N311">
        <v>7</v>
      </c>
      <c r="O311" t="s">
        <v>65</v>
      </c>
      <c r="P311">
        <v>15.8</v>
      </c>
      <c r="Q311">
        <v>1666</v>
      </c>
      <c r="R311">
        <v>5</v>
      </c>
      <c r="S311">
        <v>1</v>
      </c>
      <c r="T311" t="s">
        <v>73</v>
      </c>
      <c r="U311" t="s">
        <v>42</v>
      </c>
      <c r="V311">
        <v>205113</v>
      </c>
      <c r="W311">
        <v>3.4</v>
      </c>
      <c r="X311">
        <v>4</v>
      </c>
      <c r="Y311" t="s">
        <v>43</v>
      </c>
      <c r="Z311">
        <v>3.28</v>
      </c>
      <c r="AA311" t="s">
        <v>35</v>
      </c>
    </row>
    <row r="312" spans="1:27" x14ac:dyDescent="0.3">
      <c r="A312" t="s">
        <v>27</v>
      </c>
      <c r="B312" t="s">
        <v>28</v>
      </c>
      <c r="C312">
        <v>2025</v>
      </c>
      <c r="D312" t="s">
        <v>50</v>
      </c>
      <c r="E312">
        <v>66045.149999999994</v>
      </c>
      <c r="F312">
        <v>82.5</v>
      </c>
      <c r="G312">
        <v>269</v>
      </c>
      <c r="H312">
        <v>67.599999999999994</v>
      </c>
      <c r="I312">
        <v>5.49</v>
      </c>
      <c r="J312">
        <v>163</v>
      </c>
      <c r="K312">
        <v>665</v>
      </c>
      <c r="L312">
        <v>550</v>
      </c>
      <c r="M312" t="s">
        <v>39</v>
      </c>
      <c r="N312">
        <v>7</v>
      </c>
      <c r="O312" t="s">
        <v>56</v>
      </c>
      <c r="P312">
        <v>26.2</v>
      </c>
      <c r="Q312">
        <v>1571</v>
      </c>
      <c r="R312">
        <v>4</v>
      </c>
      <c r="S312">
        <v>0</v>
      </c>
      <c r="T312" t="s">
        <v>32</v>
      </c>
      <c r="U312" t="s">
        <v>38</v>
      </c>
      <c r="V312">
        <v>228215</v>
      </c>
      <c r="W312">
        <v>3.4</v>
      </c>
      <c r="X312">
        <v>3</v>
      </c>
      <c r="Y312" t="s">
        <v>43</v>
      </c>
      <c r="Z312">
        <v>3.26</v>
      </c>
      <c r="AA312" t="s">
        <v>35</v>
      </c>
    </row>
    <row r="313" spans="1:27" x14ac:dyDescent="0.3">
      <c r="A313" t="s">
        <v>52</v>
      </c>
      <c r="B313" t="s">
        <v>80</v>
      </c>
      <c r="C313">
        <v>2024</v>
      </c>
      <c r="D313" t="s">
        <v>63</v>
      </c>
      <c r="E313">
        <v>37365.06</v>
      </c>
      <c r="F313">
        <v>44.7</v>
      </c>
      <c r="G313">
        <v>150</v>
      </c>
      <c r="H313">
        <v>237.7</v>
      </c>
      <c r="I313">
        <v>5.52</v>
      </c>
      <c r="J313">
        <v>169</v>
      </c>
      <c r="K313">
        <v>223</v>
      </c>
      <c r="L313">
        <v>200</v>
      </c>
      <c r="M313" t="s">
        <v>30</v>
      </c>
      <c r="N313">
        <v>5</v>
      </c>
      <c r="O313" t="s">
        <v>31</v>
      </c>
      <c r="P313">
        <v>50.6</v>
      </c>
      <c r="Q313">
        <v>2555</v>
      </c>
      <c r="R313">
        <v>5</v>
      </c>
      <c r="S313">
        <v>2</v>
      </c>
      <c r="T313" t="s">
        <v>47</v>
      </c>
      <c r="U313" t="s">
        <v>42</v>
      </c>
      <c r="V313">
        <v>220616</v>
      </c>
      <c r="W313">
        <v>3.8</v>
      </c>
      <c r="X313">
        <v>5</v>
      </c>
      <c r="Y313" t="s">
        <v>43</v>
      </c>
      <c r="Z313">
        <v>3.36</v>
      </c>
      <c r="AA313" t="s">
        <v>35</v>
      </c>
    </row>
    <row r="314" spans="1:27" x14ac:dyDescent="0.3">
      <c r="A314" t="s">
        <v>52</v>
      </c>
      <c r="B314" t="s">
        <v>80</v>
      </c>
      <c r="C314">
        <v>2023</v>
      </c>
      <c r="D314" t="s">
        <v>63</v>
      </c>
      <c r="E314">
        <v>38622.29</v>
      </c>
      <c r="F314">
        <v>51.5</v>
      </c>
      <c r="G314">
        <v>186</v>
      </c>
      <c r="H314">
        <v>261.7</v>
      </c>
      <c r="I314">
        <v>7.84</v>
      </c>
      <c r="J314">
        <v>124</v>
      </c>
      <c r="K314">
        <v>276</v>
      </c>
      <c r="L314">
        <v>226</v>
      </c>
      <c r="M314" t="s">
        <v>39</v>
      </c>
      <c r="N314">
        <v>5</v>
      </c>
      <c r="O314" t="s">
        <v>31</v>
      </c>
      <c r="P314">
        <v>75.7</v>
      </c>
      <c r="Q314">
        <v>2714</v>
      </c>
      <c r="R314">
        <v>5</v>
      </c>
      <c r="S314">
        <v>2</v>
      </c>
      <c r="T314" t="s">
        <v>47</v>
      </c>
      <c r="U314" t="s">
        <v>42</v>
      </c>
      <c r="V314">
        <v>174372</v>
      </c>
      <c r="W314">
        <v>3.4</v>
      </c>
      <c r="X314">
        <v>5</v>
      </c>
      <c r="Y314" t="s">
        <v>61</v>
      </c>
      <c r="Z314">
        <v>3.61</v>
      </c>
      <c r="AA314" t="s">
        <v>35</v>
      </c>
    </row>
    <row r="315" spans="1:27" x14ac:dyDescent="0.3">
      <c r="A315" t="s">
        <v>36</v>
      </c>
      <c r="B315" t="s">
        <v>120</v>
      </c>
      <c r="C315">
        <v>2022</v>
      </c>
      <c r="D315" t="s">
        <v>68</v>
      </c>
      <c r="E315">
        <v>69982.490000000005</v>
      </c>
      <c r="F315">
        <v>42.6</v>
      </c>
      <c r="G315">
        <v>156</v>
      </c>
      <c r="H315">
        <v>93.7</v>
      </c>
      <c r="I315">
        <v>6.21</v>
      </c>
      <c r="J315">
        <v>153</v>
      </c>
      <c r="K315">
        <v>850</v>
      </c>
      <c r="L315">
        <v>731</v>
      </c>
      <c r="M315" t="s">
        <v>30</v>
      </c>
      <c r="N315">
        <v>5</v>
      </c>
      <c r="O315" t="s">
        <v>31</v>
      </c>
      <c r="P315">
        <v>64.8</v>
      </c>
      <c r="Q315">
        <v>2317</v>
      </c>
      <c r="R315">
        <v>5</v>
      </c>
      <c r="S315">
        <v>1</v>
      </c>
      <c r="T315" t="s">
        <v>41</v>
      </c>
      <c r="U315" t="s">
        <v>38</v>
      </c>
      <c r="V315">
        <v>8818</v>
      </c>
      <c r="W315">
        <v>3.2</v>
      </c>
      <c r="X315">
        <v>3</v>
      </c>
      <c r="Y315" t="s">
        <v>43</v>
      </c>
      <c r="Z315">
        <v>3.66</v>
      </c>
      <c r="AA315" t="s">
        <v>43</v>
      </c>
    </row>
    <row r="316" spans="1:27" x14ac:dyDescent="0.3">
      <c r="A316" t="s">
        <v>58</v>
      </c>
      <c r="B316" t="s">
        <v>134</v>
      </c>
      <c r="C316">
        <v>2021</v>
      </c>
      <c r="D316" t="s">
        <v>29</v>
      </c>
      <c r="E316">
        <v>165233.4</v>
      </c>
      <c r="F316">
        <v>100.3</v>
      </c>
      <c r="G316">
        <v>329</v>
      </c>
      <c r="H316">
        <v>158.6</v>
      </c>
      <c r="I316">
        <v>4.0199999999999996</v>
      </c>
      <c r="J316">
        <v>194</v>
      </c>
      <c r="K316">
        <v>1000</v>
      </c>
      <c r="L316">
        <v>842</v>
      </c>
      <c r="M316" t="s">
        <v>30</v>
      </c>
      <c r="N316">
        <v>7</v>
      </c>
      <c r="O316" t="s">
        <v>46</v>
      </c>
      <c r="P316">
        <v>62.5</v>
      </c>
      <c r="Q316">
        <v>1751</v>
      </c>
      <c r="R316">
        <v>4</v>
      </c>
      <c r="S316">
        <v>1</v>
      </c>
      <c r="T316" t="s">
        <v>32</v>
      </c>
      <c r="U316" t="s">
        <v>33</v>
      </c>
      <c r="V316">
        <v>35726</v>
      </c>
      <c r="W316">
        <v>3.8</v>
      </c>
      <c r="X316">
        <v>6</v>
      </c>
      <c r="Y316" t="s">
        <v>43</v>
      </c>
      <c r="Z316">
        <v>3.28</v>
      </c>
      <c r="AA316" t="s">
        <v>35</v>
      </c>
    </row>
    <row r="317" spans="1:27" x14ac:dyDescent="0.3">
      <c r="A317" t="s">
        <v>44</v>
      </c>
      <c r="B317" t="s">
        <v>62</v>
      </c>
      <c r="C317">
        <v>2025</v>
      </c>
      <c r="D317" t="s">
        <v>68</v>
      </c>
      <c r="E317">
        <v>70614.100000000006</v>
      </c>
      <c r="F317">
        <v>41.9</v>
      </c>
      <c r="G317">
        <v>187</v>
      </c>
      <c r="H317">
        <v>142</v>
      </c>
      <c r="I317">
        <v>5.15</v>
      </c>
      <c r="J317">
        <v>173</v>
      </c>
      <c r="K317">
        <v>995</v>
      </c>
      <c r="L317">
        <v>902</v>
      </c>
      <c r="M317" t="s">
        <v>30</v>
      </c>
      <c r="N317">
        <v>7</v>
      </c>
      <c r="O317" t="s">
        <v>56</v>
      </c>
      <c r="P317">
        <v>33.299999999999997</v>
      </c>
      <c r="Q317">
        <v>1629</v>
      </c>
      <c r="R317">
        <v>4</v>
      </c>
      <c r="S317">
        <v>0</v>
      </c>
      <c r="T317" t="s">
        <v>47</v>
      </c>
      <c r="U317" t="s">
        <v>38</v>
      </c>
      <c r="V317">
        <v>27643</v>
      </c>
      <c r="W317">
        <v>3.4</v>
      </c>
      <c r="X317">
        <v>4</v>
      </c>
      <c r="Y317" t="s">
        <v>43</v>
      </c>
      <c r="Z317">
        <v>4.46</v>
      </c>
      <c r="AA317" t="s">
        <v>35</v>
      </c>
    </row>
    <row r="318" spans="1:27" x14ac:dyDescent="0.3">
      <c r="A318" t="s">
        <v>27</v>
      </c>
      <c r="B318" t="s">
        <v>78</v>
      </c>
      <c r="C318">
        <v>2025</v>
      </c>
      <c r="D318" t="s">
        <v>29</v>
      </c>
      <c r="E318">
        <v>80549.5</v>
      </c>
      <c r="F318">
        <v>119.7</v>
      </c>
      <c r="G318">
        <v>447</v>
      </c>
      <c r="H318">
        <v>160.5</v>
      </c>
      <c r="I318">
        <v>3.41</v>
      </c>
      <c r="J318">
        <v>192</v>
      </c>
      <c r="K318">
        <v>904</v>
      </c>
      <c r="L318">
        <v>799</v>
      </c>
      <c r="M318" t="s">
        <v>54</v>
      </c>
      <c r="N318">
        <v>7</v>
      </c>
      <c r="O318" t="s">
        <v>31</v>
      </c>
      <c r="P318">
        <v>70.900000000000006</v>
      </c>
      <c r="Q318">
        <v>2812</v>
      </c>
      <c r="R318">
        <v>5</v>
      </c>
      <c r="S318">
        <v>0</v>
      </c>
      <c r="T318" t="s">
        <v>32</v>
      </c>
      <c r="U318" t="s">
        <v>38</v>
      </c>
      <c r="V318">
        <v>291709</v>
      </c>
      <c r="W318">
        <v>3.7</v>
      </c>
      <c r="X318">
        <v>3</v>
      </c>
      <c r="Y318" t="s">
        <v>34</v>
      </c>
      <c r="Z318">
        <v>3.73</v>
      </c>
      <c r="AA318" t="s">
        <v>35</v>
      </c>
    </row>
    <row r="319" spans="1:27" x14ac:dyDescent="0.3">
      <c r="A319" t="s">
        <v>52</v>
      </c>
      <c r="B319" t="s">
        <v>55</v>
      </c>
      <c r="C319">
        <v>2020</v>
      </c>
      <c r="D319" t="s">
        <v>50</v>
      </c>
      <c r="E319">
        <v>96390.76</v>
      </c>
      <c r="F319">
        <v>80.400000000000006</v>
      </c>
      <c r="G319">
        <v>287</v>
      </c>
      <c r="H319">
        <v>340</v>
      </c>
      <c r="I319">
        <v>5.88</v>
      </c>
      <c r="J319">
        <v>160</v>
      </c>
      <c r="K319">
        <v>697</v>
      </c>
      <c r="L319">
        <v>653</v>
      </c>
      <c r="M319" t="s">
        <v>39</v>
      </c>
      <c r="N319">
        <v>5</v>
      </c>
      <c r="O319" t="s">
        <v>46</v>
      </c>
      <c r="P319">
        <v>74</v>
      </c>
      <c r="Q319">
        <v>1505</v>
      </c>
      <c r="R319">
        <v>4</v>
      </c>
      <c r="S319">
        <v>3</v>
      </c>
      <c r="T319" t="s">
        <v>47</v>
      </c>
      <c r="U319" t="s">
        <v>38</v>
      </c>
      <c r="V319">
        <v>498047</v>
      </c>
      <c r="W319">
        <v>3.8</v>
      </c>
      <c r="X319">
        <v>5</v>
      </c>
      <c r="Y319" t="s">
        <v>43</v>
      </c>
      <c r="Z319">
        <v>3.57</v>
      </c>
      <c r="AA319" t="s">
        <v>35</v>
      </c>
    </row>
    <row r="320" spans="1:27" x14ac:dyDescent="0.3">
      <c r="A320" t="s">
        <v>52</v>
      </c>
      <c r="B320" t="s">
        <v>86</v>
      </c>
      <c r="C320">
        <v>2023</v>
      </c>
      <c r="D320" t="s">
        <v>63</v>
      </c>
      <c r="E320">
        <v>27433.3</v>
      </c>
      <c r="F320">
        <v>82.4</v>
      </c>
      <c r="G320">
        <v>258</v>
      </c>
      <c r="H320">
        <v>223.7</v>
      </c>
      <c r="I320">
        <v>6.02</v>
      </c>
      <c r="J320">
        <v>161</v>
      </c>
      <c r="K320">
        <v>168</v>
      </c>
      <c r="L320">
        <v>200</v>
      </c>
      <c r="M320" t="s">
        <v>39</v>
      </c>
      <c r="N320">
        <v>7</v>
      </c>
      <c r="O320" t="s">
        <v>57</v>
      </c>
      <c r="P320">
        <v>30.7</v>
      </c>
      <c r="Q320">
        <v>1644</v>
      </c>
      <c r="R320">
        <v>5</v>
      </c>
      <c r="S320">
        <v>3</v>
      </c>
      <c r="T320" t="s">
        <v>47</v>
      </c>
      <c r="U320" t="s">
        <v>74</v>
      </c>
      <c r="V320">
        <v>230869</v>
      </c>
      <c r="W320">
        <v>3.8</v>
      </c>
      <c r="X320">
        <v>4</v>
      </c>
      <c r="Y320" t="s">
        <v>43</v>
      </c>
      <c r="Z320">
        <v>3.13</v>
      </c>
      <c r="AA320" t="s">
        <v>35</v>
      </c>
    </row>
    <row r="321" spans="1:27" x14ac:dyDescent="0.3">
      <c r="A321" t="s">
        <v>71</v>
      </c>
      <c r="B321" t="s">
        <v>90</v>
      </c>
      <c r="C321">
        <v>2024</v>
      </c>
      <c r="D321" t="s">
        <v>63</v>
      </c>
      <c r="E321">
        <v>76472.570000000007</v>
      </c>
      <c r="F321">
        <v>67.2</v>
      </c>
      <c r="G321">
        <v>227</v>
      </c>
      <c r="H321">
        <v>136.19999999999999</v>
      </c>
      <c r="I321">
        <v>7.52</v>
      </c>
      <c r="J321">
        <v>139</v>
      </c>
      <c r="K321">
        <v>849</v>
      </c>
      <c r="L321">
        <v>830</v>
      </c>
      <c r="M321" t="s">
        <v>54</v>
      </c>
      <c r="N321">
        <v>5</v>
      </c>
      <c r="O321" t="s">
        <v>46</v>
      </c>
      <c r="P321">
        <v>63.3</v>
      </c>
      <c r="Q321">
        <v>1500</v>
      </c>
      <c r="R321">
        <v>4</v>
      </c>
      <c r="S321">
        <v>1</v>
      </c>
      <c r="T321" t="s">
        <v>73</v>
      </c>
      <c r="U321" t="s">
        <v>38</v>
      </c>
      <c r="V321">
        <v>191416</v>
      </c>
      <c r="W321">
        <v>3.3</v>
      </c>
      <c r="X321">
        <v>4</v>
      </c>
      <c r="Y321" t="s">
        <v>61</v>
      </c>
      <c r="Z321">
        <v>3.38</v>
      </c>
      <c r="AA321" t="s">
        <v>35</v>
      </c>
    </row>
    <row r="322" spans="1:27" x14ac:dyDescent="0.3">
      <c r="A322" t="s">
        <v>48</v>
      </c>
      <c r="B322" t="s">
        <v>79</v>
      </c>
      <c r="C322">
        <v>2025</v>
      </c>
      <c r="D322" t="s">
        <v>63</v>
      </c>
      <c r="E322">
        <v>41416.019999999997</v>
      </c>
      <c r="F322">
        <v>60.8</v>
      </c>
      <c r="G322">
        <v>228</v>
      </c>
      <c r="H322">
        <v>142.9</v>
      </c>
      <c r="I322">
        <v>5.91</v>
      </c>
      <c r="J322">
        <v>160</v>
      </c>
      <c r="K322">
        <v>367</v>
      </c>
      <c r="L322">
        <v>344</v>
      </c>
      <c r="M322" t="s">
        <v>54</v>
      </c>
      <c r="N322">
        <v>5</v>
      </c>
      <c r="O322" t="s">
        <v>56</v>
      </c>
      <c r="P322">
        <v>22</v>
      </c>
      <c r="Q322">
        <v>1500</v>
      </c>
      <c r="R322">
        <v>5</v>
      </c>
      <c r="S322">
        <v>1</v>
      </c>
      <c r="T322" t="s">
        <v>51</v>
      </c>
      <c r="U322" t="s">
        <v>42</v>
      </c>
      <c r="V322">
        <v>137512</v>
      </c>
      <c r="W322">
        <v>3.4</v>
      </c>
      <c r="X322">
        <v>3</v>
      </c>
      <c r="Y322" t="s">
        <v>43</v>
      </c>
      <c r="Z322">
        <v>3.75</v>
      </c>
      <c r="AA322" t="s">
        <v>35</v>
      </c>
    </row>
    <row r="323" spans="1:27" x14ac:dyDescent="0.3">
      <c r="A323" t="s">
        <v>44</v>
      </c>
      <c r="B323" t="s">
        <v>126</v>
      </c>
      <c r="C323">
        <v>2023</v>
      </c>
      <c r="D323" t="s">
        <v>68</v>
      </c>
      <c r="E323">
        <v>64132.24</v>
      </c>
      <c r="F323">
        <v>51.9</v>
      </c>
      <c r="G323">
        <v>150</v>
      </c>
      <c r="H323">
        <v>51.2</v>
      </c>
      <c r="I323">
        <v>6.67</v>
      </c>
      <c r="J323">
        <v>155</v>
      </c>
      <c r="K323">
        <v>870</v>
      </c>
      <c r="L323">
        <v>835</v>
      </c>
      <c r="M323" t="s">
        <v>54</v>
      </c>
      <c r="N323">
        <v>5</v>
      </c>
      <c r="O323" t="s">
        <v>31</v>
      </c>
      <c r="P323">
        <v>66.5</v>
      </c>
      <c r="Q323">
        <v>2693</v>
      </c>
      <c r="R323">
        <v>4</v>
      </c>
      <c r="S323">
        <v>0</v>
      </c>
      <c r="T323" t="s">
        <v>47</v>
      </c>
      <c r="U323" t="s">
        <v>42</v>
      </c>
      <c r="V323">
        <v>5462</v>
      </c>
      <c r="W323">
        <v>3.4</v>
      </c>
      <c r="X323">
        <v>4</v>
      </c>
      <c r="Y323" t="s">
        <v>43</v>
      </c>
      <c r="Z323">
        <v>2.89</v>
      </c>
      <c r="AA323" t="s">
        <v>43</v>
      </c>
    </row>
    <row r="324" spans="1:27" x14ac:dyDescent="0.3">
      <c r="A324" t="s">
        <v>91</v>
      </c>
      <c r="B324" t="s">
        <v>97</v>
      </c>
      <c r="C324">
        <v>2025</v>
      </c>
      <c r="D324" t="s">
        <v>29</v>
      </c>
      <c r="E324">
        <v>97630.54</v>
      </c>
      <c r="F324">
        <v>108</v>
      </c>
      <c r="G324">
        <v>374</v>
      </c>
      <c r="H324">
        <v>211.2</v>
      </c>
      <c r="I324">
        <v>3.25</v>
      </c>
      <c r="J324">
        <v>200</v>
      </c>
      <c r="K324">
        <v>810</v>
      </c>
      <c r="L324">
        <v>745</v>
      </c>
      <c r="M324" t="s">
        <v>54</v>
      </c>
      <c r="N324">
        <v>5</v>
      </c>
      <c r="O324" t="s">
        <v>31</v>
      </c>
      <c r="P324">
        <v>57.6</v>
      </c>
      <c r="Q324">
        <v>2381</v>
      </c>
      <c r="R324">
        <v>4</v>
      </c>
      <c r="S324">
        <v>1</v>
      </c>
      <c r="T324" t="s">
        <v>32</v>
      </c>
      <c r="U324" t="s">
        <v>38</v>
      </c>
      <c r="V324">
        <v>50895</v>
      </c>
      <c r="W324">
        <v>3.6</v>
      </c>
      <c r="X324">
        <v>5</v>
      </c>
      <c r="Y324" t="s">
        <v>34</v>
      </c>
      <c r="Z324">
        <v>3.46</v>
      </c>
      <c r="AA324" t="s">
        <v>35</v>
      </c>
    </row>
    <row r="325" spans="1:27" x14ac:dyDescent="0.3">
      <c r="A325" t="s">
        <v>71</v>
      </c>
      <c r="B325" t="s">
        <v>72</v>
      </c>
      <c r="C325">
        <v>2024</v>
      </c>
      <c r="D325" t="s">
        <v>29</v>
      </c>
      <c r="E325">
        <v>117281.9</v>
      </c>
      <c r="F325">
        <v>115.7</v>
      </c>
      <c r="G325">
        <v>431</v>
      </c>
      <c r="H325">
        <v>193.6</v>
      </c>
      <c r="I325">
        <v>3.76</v>
      </c>
      <c r="J325">
        <v>195</v>
      </c>
      <c r="K325">
        <v>1000</v>
      </c>
      <c r="L325">
        <v>869</v>
      </c>
      <c r="M325" t="s">
        <v>39</v>
      </c>
      <c r="N325">
        <v>5</v>
      </c>
      <c r="O325" t="s">
        <v>65</v>
      </c>
      <c r="P325">
        <v>22.2</v>
      </c>
      <c r="Q325">
        <v>1500</v>
      </c>
      <c r="R325">
        <v>3</v>
      </c>
      <c r="S325">
        <v>0</v>
      </c>
      <c r="T325" t="s">
        <v>73</v>
      </c>
      <c r="U325" t="s">
        <v>33</v>
      </c>
      <c r="V325">
        <v>111137</v>
      </c>
      <c r="W325">
        <v>3.9</v>
      </c>
      <c r="X325">
        <v>3</v>
      </c>
      <c r="Y325" t="s">
        <v>34</v>
      </c>
      <c r="Z325">
        <v>3.73</v>
      </c>
      <c r="AA325" t="s">
        <v>35</v>
      </c>
    </row>
    <row r="326" spans="1:27" x14ac:dyDescent="0.3">
      <c r="A326" t="s">
        <v>36</v>
      </c>
      <c r="B326" t="s">
        <v>120</v>
      </c>
      <c r="C326">
        <v>2025</v>
      </c>
      <c r="D326" t="s">
        <v>50</v>
      </c>
      <c r="E326">
        <v>77617.509999999995</v>
      </c>
      <c r="F326">
        <v>84.5</v>
      </c>
      <c r="G326">
        <v>295</v>
      </c>
      <c r="H326">
        <v>80.599999999999994</v>
      </c>
      <c r="I326">
        <v>5.04</v>
      </c>
      <c r="J326">
        <v>180</v>
      </c>
      <c r="K326">
        <v>1000</v>
      </c>
      <c r="L326">
        <v>840</v>
      </c>
      <c r="M326" t="s">
        <v>30</v>
      </c>
      <c r="N326">
        <v>7</v>
      </c>
      <c r="O326" t="s">
        <v>57</v>
      </c>
      <c r="P326">
        <v>16</v>
      </c>
      <c r="Q326">
        <v>1500</v>
      </c>
      <c r="R326">
        <v>5</v>
      </c>
      <c r="S326">
        <v>0</v>
      </c>
      <c r="T326" t="s">
        <v>41</v>
      </c>
      <c r="U326" t="s">
        <v>38</v>
      </c>
      <c r="V326">
        <v>15856</v>
      </c>
      <c r="W326">
        <v>3.5</v>
      </c>
      <c r="X326">
        <v>4</v>
      </c>
      <c r="Y326" t="s">
        <v>43</v>
      </c>
      <c r="Z326">
        <v>3.49</v>
      </c>
      <c r="AA326" t="s">
        <v>43</v>
      </c>
    </row>
    <row r="327" spans="1:27" x14ac:dyDescent="0.3">
      <c r="A327" t="s">
        <v>44</v>
      </c>
      <c r="B327" t="s">
        <v>45</v>
      </c>
      <c r="C327">
        <v>2025</v>
      </c>
      <c r="D327" t="s">
        <v>29</v>
      </c>
      <c r="E327">
        <v>53614.17</v>
      </c>
      <c r="F327">
        <v>77.3</v>
      </c>
      <c r="G327">
        <v>266</v>
      </c>
      <c r="H327">
        <v>153</v>
      </c>
      <c r="I327">
        <v>3.29</v>
      </c>
      <c r="J327">
        <v>192</v>
      </c>
      <c r="K327">
        <v>663</v>
      </c>
      <c r="L327">
        <v>599</v>
      </c>
      <c r="M327" t="s">
        <v>39</v>
      </c>
      <c r="N327">
        <v>7</v>
      </c>
      <c r="O327" t="s">
        <v>31</v>
      </c>
      <c r="P327">
        <v>51.2</v>
      </c>
      <c r="Q327">
        <v>2645</v>
      </c>
      <c r="R327">
        <v>5</v>
      </c>
      <c r="S327">
        <v>2</v>
      </c>
      <c r="T327" t="s">
        <v>47</v>
      </c>
      <c r="U327" t="s">
        <v>42</v>
      </c>
      <c r="V327">
        <v>7236</v>
      </c>
      <c r="W327">
        <v>3.2</v>
      </c>
      <c r="X327">
        <v>3</v>
      </c>
      <c r="Y327" t="s">
        <v>34</v>
      </c>
      <c r="Z327">
        <v>3.44</v>
      </c>
      <c r="AA327" t="s">
        <v>43</v>
      </c>
    </row>
    <row r="328" spans="1:27" x14ac:dyDescent="0.3">
      <c r="A328" t="s">
        <v>48</v>
      </c>
      <c r="B328" t="s">
        <v>60</v>
      </c>
      <c r="C328">
        <v>2026</v>
      </c>
      <c r="D328" t="s">
        <v>38</v>
      </c>
      <c r="E328">
        <v>98299.99</v>
      </c>
      <c r="F328">
        <v>73.400000000000006</v>
      </c>
      <c r="G328">
        <v>245</v>
      </c>
      <c r="H328">
        <v>132.5</v>
      </c>
      <c r="I328">
        <v>5.83</v>
      </c>
      <c r="J328">
        <v>165</v>
      </c>
      <c r="K328">
        <v>1000</v>
      </c>
      <c r="L328">
        <v>918</v>
      </c>
      <c r="M328" t="s">
        <v>54</v>
      </c>
      <c r="N328">
        <v>5</v>
      </c>
      <c r="O328" t="s">
        <v>57</v>
      </c>
      <c r="P328">
        <v>25.6</v>
      </c>
      <c r="Q328">
        <v>1500</v>
      </c>
      <c r="R328">
        <v>5</v>
      </c>
      <c r="S328">
        <v>1</v>
      </c>
      <c r="T328" t="s">
        <v>51</v>
      </c>
      <c r="U328" t="s">
        <v>38</v>
      </c>
      <c r="V328">
        <v>126328</v>
      </c>
      <c r="W328">
        <v>3.5</v>
      </c>
      <c r="X328">
        <v>4</v>
      </c>
      <c r="Y328" t="s">
        <v>43</v>
      </c>
      <c r="Z328">
        <v>3.34</v>
      </c>
      <c r="AA328" t="s">
        <v>35</v>
      </c>
    </row>
    <row r="329" spans="1:27" x14ac:dyDescent="0.3">
      <c r="A329" t="s">
        <v>48</v>
      </c>
      <c r="B329" t="s">
        <v>88</v>
      </c>
      <c r="C329">
        <v>2025</v>
      </c>
      <c r="D329" t="s">
        <v>38</v>
      </c>
      <c r="E329">
        <v>62151.7</v>
      </c>
      <c r="F329">
        <v>74</v>
      </c>
      <c r="G329">
        <v>246</v>
      </c>
      <c r="H329">
        <v>89.9</v>
      </c>
      <c r="I329">
        <v>7.94</v>
      </c>
      <c r="J329">
        <v>129</v>
      </c>
      <c r="K329">
        <v>692</v>
      </c>
      <c r="L329">
        <v>582</v>
      </c>
      <c r="M329" t="s">
        <v>30</v>
      </c>
      <c r="N329">
        <v>5</v>
      </c>
      <c r="O329" t="s">
        <v>40</v>
      </c>
      <c r="P329">
        <v>52.1</v>
      </c>
      <c r="Q329">
        <v>2022</v>
      </c>
      <c r="R329">
        <v>5</v>
      </c>
      <c r="S329">
        <v>0</v>
      </c>
      <c r="T329" t="s">
        <v>51</v>
      </c>
      <c r="U329" t="s">
        <v>42</v>
      </c>
      <c r="V329">
        <v>58624</v>
      </c>
      <c r="W329">
        <v>3.7</v>
      </c>
      <c r="X329">
        <v>5</v>
      </c>
      <c r="Y329" t="s">
        <v>61</v>
      </c>
      <c r="Z329">
        <v>3.32</v>
      </c>
      <c r="AA329" t="s">
        <v>35</v>
      </c>
    </row>
    <row r="330" spans="1:27" x14ac:dyDescent="0.3">
      <c r="A330" t="s">
        <v>27</v>
      </c>
      <c r="B330" t="s">
        <v>28</v>
      </c>
      <c r="C330">
        <v>2025</v>
      </c>
      <c r="D330" t="s">
        <v>29</v>
      </c>
      <c r="E330">
        <v>57462.19</v>
      </c>
      <c r="F330">
        <v>76.2</v>
      </c>
      <c r="G330">
        <v>259</v>
      </c>
      <c r="H330">
        <v>243.1</v>
      </c>
      <c r="I330">
        <v>4.0999999999999996</v>
      </c>
      <c r="J330">
        <v>183</v>
      </c>
      <c r="K330">
        <v>541</v>
      </c>
      <c r="L330">
        <v>402</v>
      </c>
      <c r="M330" t="s">
        <v>30</v>
      </c>
      <c r="N330">
        <v>7</v>
      </c>
      <c r="O330" t="s">
        <v>56</v>
      </c>
      <c r="P330">
        <v>28.5</v>
      </c>
      <c r="Q330">
        <v>1500</v>
      </c>
      <c r="R330">
        <v>4</v>
      </c>
      <c r="S330">
        <v>1</v>
      </c>
      <c r="T330" t="s">
        <v>32</v>
      </c>
      <c r="U330" t="s">
        <v>42</v>
      </c>
      <c r="V330">
        <v>298599</v>
      </c>
      <c r="W330">
        <v>3.4</v>
      </c>
      <c r="X330">
        <v>5</v>
      </c>
      <c r="Y330" t="s">
        <v>43</v>
      </c>
      <c r="Z330">
        <v>3.4</v>
      </c>
      <c r="AA330" t="s">
        <v>35</v>
      </c>
    </row>
    <row r="331" spans="1:27" x14ac:dyDescent="0.3">
      <c r="A331" t="s">
        <v>71</v>
      </c>
      <c r="B331" t="s">
        <v>104</v>
      </c>
      <c r="C331">
        <v>2023</v>
      </c>
      <c r="D331" t="s">
        <v>38</v>
      </c>
      <c r="E331">
        <v>65383.31</v>
      </c>
      <c r="F331">
        <v>69.599999999999994</v>
      </c>
      <c r="G331">
        <v>240</v>
      </c>
      <c r="H331">
        <v>146.19999999999999</v>
      </c>
      <c r="I331">
        <v>6.25</v>
      </c>
      <c r="J331">
        <v>161</v>
      </c>
      <c r="K331">
        <v>763</v>
      </c>
      <c r="L331">
        <v>709</v>
      </c>
      <c r="M331" t="s">
        <v>54</v>
      </c>
      <c r="N331">
        <v>5</v>
      </c>
      <c r="O331" t="s">
        <v>57</v>
      </c>
      <c r="P331">
        <v>32.200000000000003</v>
      </c>
      <c r="Q331">
        <v>1500</v>
      </c>
      <c r="R331">
        <v>5</v>
      </c>
      <c r="S331">
        <v>1</v>
      </c>
      <c r="T331" t="s">
        <v>73</v>
      </c>
      <c r="U331" t="s">
        <v>38</v>
      </c>
      <c r="V331">
        <v>171261</v>
      </c>
      <c r="W331">
        <v>3.6</v>
      </c>
      <c r="X331">
        <v>4</v>
      </c>
      <c r="Y331" t="s">
        <v>43</v>
      </c>
      <c r="Z331">
        <v>3.45</v>
      </c>
      <c r="AA331" t="s">
        <v>35</v>
      </c>
    </row>
    <row r="332" spans="1:27" x14ac:dyDescent="0.3">
      <c r="A332" t="s">
        <v>27</v>
      </c>
      <c r="B332" t="s">
        <v>93</v>
      </c>
      <c r="C332">
        <v>2025</v>
      </c>
      <c r="D332" t="s">
        <v>29</v>
      </c>
      <c r="E332">
        <v>88158.61</v>
      </c>
      <c r="F332">
        <v>99.8</v>
      </c>
      <c r="G332">
        <v>333</v>
      </c>
      <c r="H332">
        <v>200.8</v>
      </c>
      <c r="I332">
        <v>2.63</v>
      </c>
      <c r="J332">
        <v>200</v>
      </c>
      <c r="K332">
        <v>1000</v>
      </c>
      <c r="L332">
        <v>916</v>
      </c>
      <c r="M332" t="s">
        <v>30</v>
      </c>
      <c r="N332">
        <v>7</v>
      </c>
      <c r="O332" t="s">
        <v>56</v>
      </c>
      <c r="P332">
        <v>27.4</v>
      </c>
      <c r="Q332">
        <v>1591</v>
      </c>
      <c r="R332">
        <v>5</v>
      </c>
      <c r="S332">
        <v>1</v>
      </c>
      <c r="T332" t="s">
        <v>32</v>
      </c>
      <c r="U332" t="s">
        <v>38</v>
      </c>
      <c r="V332">
        <v>265949</v>
      </c>
      <c r="W332">
        <v>3.7</v>
      </c>
      <c r="X332">
        <v>4</v>
      </c>
      <c r="Y332" t="s">
        <v>34</v>
      </c>
      <c r="Z332">
        <v>3.34</v>
      </c>
      <c r="AA332" t="s">
        <v>35</v>
      </c>
    </row>
    <row r="333" spans="1:27" x14ac:dyDescent="0.3">
      <c r="A333" t="s">
        <v>44</v>
      </c>
      <c r="B333" t="s">
        <v>45</v>
      </c>
      <c r="C333">
        <v>2022</v>
      </c>
      <c r="D333" t="s">
        <v>50</v>
      </c>
      <c r="E333">
        <v>49443.87</v>
      </c>
      <c r="F333">
        <v>82.7</v>
      </c>
      <c r="G333">
        <v>262</v>
      </c>
      <c r="H333">
        <v>103.5</v>
      </c>
      <c r="I333">
        <v>4.7</v>
      </c>
      <c r="J333">
        <v>179</v>
      </c>
      <c r="K333">
        <v>556</v>
      </c>
      <c r="L333">
        <v>481</v>
      </c>
      <c r="M333" t="s">
        <v>39</v>
      </c>
      <c r="N333">
        <v>5</v>
      </c>
      <c r="O333" t="s">
        <v>46</v>
      </c>
      <c r="P333">
        <v>61.5</v>
      </c>
      <c r="Q333">
        <v>1500</v>
      </c>
      <c r="R333">
        <v>4</v>
      </c>
      <c r="S333">
        <v>1</v>
      </c>
      <c r="T333" t="s">
        <v>47</v>
      </c>
      <c r="U333" t="s">
        <v>42</v>
      </c>
      <c r="V333">
        <v>17112</v>
      </c>
      <c r="W333">
        <v>3.4</v>
      </c>
      <c r="X333">
        <v>3</v>
      </c>
      <c r="Y333" t="s">
        <v>43</v>
      </c>
      <c r="Z333">
        <v>3.17</v>
      </c>
      <c r="AA333" t="s">
        <v>43</v>
      </c>
    </row>
    <row r="334" spans="1:27" x14ac:dyDescent="0.3">
      <c r="A334" t="s">
        <v>52</v>
      </c>
      <c r="B334" t="s">
        <v>53</v>
      </c>
      <c r="C334">
        <v>2023</v>
      </c>
      <c r="D334" t="s">
        <v>63</v>
      </c>
      <c r="E334">
        <v>33304.79</v>
      </c>
      <c r="F334">
        <v>70.400000000000006</v>
      </c>
      <c r="G334">
        <v>262</v>
      </c>
      <c r="H334">
        <v>309.3</v>
      </c>
      <c r="I334">
        <v>5</v>
      </c>
      <c r="J334">
        <v>180</v>
      </c>
      <c r="K334">
        <v>235</v>
      </c>
      <c r="L334">
        <v>266</v>
      </c>
      <c r="M334" t="s">
        <v>54</v>
      </c>
      <c r="N334">
        <v>5</v>
      </c>
      <c r="O334" t="s">
        <v>46</v>
      </c>
      <c r="P334">
        <v>77.5</v>
      </c>
      <c r="Q334">
        <v>1500</v>
      </c>
      <c r="R334">
        <v>4</v>
      </c>
      <c r="S334">
        <v>3</v>
      </c>
      <c r="T334" t="s">
        <v>47</v>
      </c>
      <c r="U334" t="s">
        <v>74</v>
      </c>
      <c r="V334">
        <v>239021</v>
      </c>
      <c r="W334">
        <v>3.9</v>
      </c>
      <c r="X334">
        <v>5</v>
      </c>
      <c r="Y334" t="s">
        <v>43</v>
      </c>
      <c r="Z334">
        <v>3.72</v>
      </c>
      <c r="AA334" t="s">
        <v>35</v>
      </c>
    </row>
    <row r="335" spans="1:27" x14ac:dyDescent="0.3">
      <c r="A335" t="s">
        <v>52</v>
      </c>
      <c r="B335" t="s">
        <v>80</v>
      </c>
      <c r="C335">
        <v>2025</v>
      </c>
      <c r="D335" t="s">
        <v>63</v>
      </c>
      <c r="E335">
        <v>29689.54</v>
      </c>
      <c r="F335">
        <v>58.1</v>
      </c>
      <c r="G335">
        <v>216</v>
      </c>
      <c r="H335">
        <v>327</v>
      </c>
      <c r="I335">
        <v>5.38</v>
      </c>
      <c r="J335">
        <v>170</v>
      </c>
      <c r="K335">
        <v>191</v>
      </c>
      <c r="L335">
        <v>200</v>
      </c>
      <c r="M335" t="s">
        <v>39</v>
      </c>
      <c r="N335">
        <v>5</v>
      </c>
      <c r="O335" t="s">
        <v>31</v>
      </c>
      <c r="P335">
        <v>77</v>
      </c>
      <c r="Q335">
        <v>2468</v>
      </c>
      <c r="R335">
        <v>5</v>
      </c>
      <c r="S335">
        <v>2</v>
      </c>
      <c r="T335" t="s">
        <v>47</v>
      </c>
      <c r="U335" t="s">
        <v>74</v>
      </c>
      <c r="V335">
        <v>210522</v>
      </c>
      <c r="W335">
        <v>3.8</v>
      </c>
      <c r="X335">
        <v>5</v>
      </c>
      <c r="Y335" t="s">
        <v>43</v>
      </c>
      <c r="Z335">
        <v>3.72</v>
      </c>
      <c r="AA335" t="s">
        <v>35</v>
      </c>
    </row>
    <row r="336" spans="1:27" x14ac:dyDescent="0.3">
      <c r="A336" t="s">
        <v>52</v>
      </c>
      <c r="B336" t="s">
        <v>64</v>
      </c>
      <c r="C336">
        <v>2025</v>
      </c>
      <c r="D336" t="s">
        <v>50</v>
      </c>
      <c r="E336">
        <v>129183.24</v>
      </c>
      <c r="F336">
        <v>87.9</v>
      </c>
      <c r="G336">
        <v>337</v>
      </c>
      <c r="H336">
        <v>250.2</v>
      </c>
      <c r="I336">
        <v>5.39</v>
      </c>
      <c r="J336">
        <v>169</v>
      </c>
      <c r="K336">
        <v>976</v>
      </c>
      <c r="L336">
        <v>910</v>
      </c>
      <c r="M336" t="s">
        <v>39</v>
      </c>
      <c r="N336">
        <v>7</v>
      </c>
      <c r="O336" t="s">
        <v>56</v>
      </c>
      <c r="P336">
        <v>19.7</v>
      </c>
      <c r="Q336">
        <v>1638</v>
      </c>
      <c r="R336">
        <v>5</v>
      </c>
      <c r="S336">
        <v>2</v>
      </c>
      <c r="T336" t="s">
        <v>47</v>
      </c>
      <c r="U336" t="s">
        <v>33</v>
      </c>
      <c r="V336">
        <v>207546</v>
      </c>
      <c r="W336">
        <v>3.7</v>
      </c>
      <c r="X336">
        <v>6</v>
      </c>
      <c r="Y336" t="s">
        <v>43</v>
      </c>
      <c r="Z336">
        <v>3.83</v>
      </c>
      <c r="AA336" t="s">
        <v>35</v>
      </c>
    </row>
    <row r="337" spans="1:27" x14ac:dyDescent="0.3">
      <c r="A337" t="s">
        <v>52</v>
      </c>
      <c r="B337" t="s">
        <v>80</v>
      </c>
      <c r="C337">
        <v>2025</v>
      </c>
      <c r="D337" t="s">
        <v>50</v>
      </c>
      <c r="E337">
        <v>132226.95000000001</v>
      </c>
      <c r="F337">
        <v>87.5</v>
      </c>
      <c r="G337">
        <v>319</v>
      </c>
      <c r="H337">
        <v>265.2</v>
      </c>
      <c r="I337">
        <v>4.66</v>
      </c>
      <c r="J337">
        <v>176</v>
      </c>
      <c r="K337">
        <v>983</v>
      </c>
      <c r="L337">
        <v>865</v>
      </c>
      <c r="M337" t="s">
        <v>54</v>
      </c>
      <c r="N337">
        <v>5</v>
      </c>
      <c r="O337" t="s">
        <v>31</v>
      </c>
      <c r="P337">
        <v>78.7</v>
      </c>
      <c r="Q337">
        <v>2287</v>
      </c>
      <c r="R337">
        <v>5</v>
      </c>
      <c r="S337">
        <v>3</v>
      </c>
      <c r="T337" t="s">
        <v>47</v>
      </c>
      <c r="U337" t="s">
        <v>33</v>
      </c>
      <c r="V337">
        <v>133735</v>
      </c>
      <c r="W337">
        <v>3.9</v>
      </c>
      <c r="X337">
        <v>4</v>
      </c>
      <c r="Y337" t="s">
        <v>43</v>
      </c>
      <c r="Z337">
        <v>3.65</v>
      </c>
      <c r="AA337" t="s">
        <v>35</v>
      </c>
    </row>
    <row r="338" spans="1:27" x14ac:dyDescent="0.3">
      <c r="A338" t="s">
        <v>58</v>
      </c>
      <c r="B338" t="s">
        <v>134</v>
      </c>
      <c r="C338">
        <v>2026</v>
      </c>
      <c r="D338" t="s">
        <v>63</v>
      </c>
      <c r="E338">
        <v>59152.02</v>
      </c>
      <c r="F338">
        <v>43.6</v>
      </c>
      <c r="G338">
        <v>162</v>
      </c>
      <c r="H338">
        <v>122.2</v>
      </c>
      <c r="I338">
        <v>5.26</v>
      </c>
      <c r="J338">
        <v>170</v>
      </c>
      <c r="K338">
        <v>157</v>
      </c>
      <c r="L338">
        <v>200</v>
      </c>
      <c r="M338" t="s">
        <v>39</v>
      </c>
      <c r="N338">
        <v>7</v>
      </c>
      <c r="O338" t="s">
        <v>40</v>
      </c>
      <c r="P338">
        <v>56.9</v>
      </c>
      <c r="Q338">
        <v>2444</v>
      </c>
      <c r="R338">
        <v>4</v>
      </c>
      <c r="S338">
        <v>2</v>
      </c>
      <c r="T338" t="s">
        <v>32</v>
      </c>
      <c r="U338" t="s">
        <v>42</v>
      </c>
      <c r="V338">
        <v>57795</v>
      </c>
      <c r="W338">
        <v>3.4</v>
      </c>
      <c r="X338">
        <v>5</v>
      </c>
      <c r="Y338" t="s">
        <v>43</v>
      </c>
      <c r="Z338">
        <v>3.72</v>
      </c>
      <c r="AA338" t="s">
        <v>35</v>
      </c>
    </row>
    <row r="339" spans="1:27" x14ac:dyDescent="0.3">
      <c r="A339" t="s">
        <v>44</v>
      </c>
      <c r="B339" t="s">
        <v>110</v>
      </c>
      <c r="C339">
        <v>2026</v>
      </c>
      <c r="D339" t="s">
        <v>29</v>
      </c>
      <c r="E339">
        <v>42539.360000000001</v>
      </c>
      <c r="F339">
        <v>109.6</v>
      </c>
      <c r="G339">
        <v>371</v>
      </c>
      <c r="H339">
        <v>156.4</v>
      </c>
      <c r="I339">
        <v>2.86</v>
      </c>
      <c r="J339">
        <v>200</v>
      </c>
      <c r="K339">
        <v>438</v>
      </c>
      <c r="L339">
        <v>442</v>
      </c>
      <c r="M339" t="s">
        <v>54</v>
      </c>
      <c r="N339">
        <v>5</v>
      </c>
      <c r="O339" t="s">
        <v>40</v>
      </c>
      <c r="P339">
        <v>44.4</v>
      </c>
      <c r="Q339">
        <v>2235</v>
      </c>
      <c r="R339">
        <v>5</v>
      </c>
      <c r="S339">
        <v>2</v>
      </c>
      <c r="T339" t="s">
        <v>47</v>
      </c>
      <c r="U339" t="s">
        <v>42</v>
      </c>
      <c r="V339">
        <v>18263</v>
      </c>
      <c r="W339">
        <v>3.7</v>
      </c>
      <c r="X339">
        <v>4</v>
      </c>
      <c r="Y339" t="s">
        <v>34</v>
      </c>
      <c r="Z339">
        <v>3.39</v>
      </c>
      <c r="AA339" t="s">
        <v>43</v>
      </c>
    </row>
    <row r="340" spans="1:27" x14ac:dyDescent="0.3">
      <c r="A340" t="s">
        <v>76</v>
      </c>
      <c r="B340" t="s">
        <v>114</v>
      </c>
      <c r="C340">
        <v>2026</v>
      </c>
      <c r="D340" t="s">
        <v>38</v>
      </c>
      <c r="E340">
        <v>86930.64</v>
      </c>
      <c r="F340">
        <v>49.4</v>
      </c>
      <c r="G340">
        <v>177</v>
      </c>
      <c r="H340">
        <v>92.9</v>
      </c>
      <c r="I340">
        <v>5.55</v>
      </c>
      <c r="J340">
        <v>171</v>
      </c>
      <c r="K340">
        <v>1000</v>
      </c>
      <c r="L340">
        <v>867</v>
      </c>
      <c r="M340" t="s">
        <v>54</v>
      </c>
      <c r="N340">
        <v>7</v>
      </c>
      <c r="O340" t="s">
        <v>65</v>
      </c>
      <c r="P340">
        <v>26</v>
      </c>
      <c r="Q340">
        <v>1500</v>
      </c>
      <c r="R340">
        <v>4</v>
      </c>
      <c r="S340">
        <v>1</v>
      </c>
      <c r="T340" t="s">
        <v>51</v>
      </c>
      <c r="U340" t="s">
        <v>38</v>
      </c>
      <c r="V340">
        <v>147601</v>
      </c>
      <c r="W340">
        <v>3.5</v>
      </c>
      <c r="X340">
        <v>4</v>
      </c>
      <c r="Y340" t="s">
        <v>43</v>
      </c>
      <c r="Z340">
        <v>3.58</v>
      </c>
      <c r="AA340" t="s">
        <v>35</v>
      </c>
    </row>
    <row r="341" spans="1:27" x14ac:dyDescent="0.3">
      <c r="A341" t="s">
        <v>52</v>
      </c>
      <c r="B341" t="s">
        <v>64</v>
      </c>
      <c r="C341">
        <v>2025</v>
      </c>
      <c r="D341" t="s">
        <v>38</v>
      </c>
      <c r="E341">
        <v>162032.44</v>
      </c>
      <c r="F341">
        <v>61.2</v>
      </c>
      <c r="G341">
        <v>193</v>
      </c>
      <c r="H341">
        <v>290.60000000000002</v>
      </c>
      <c r="I341">
        <v>7.64</v>
      </c>
      <c r="J341">
        <v>132</v>
      </c>
      <c r="K341">
        <v>1000</v>
      </c>
      <c r="L341">
        <v>851</v>
      </c>
      <c r="M341" t="s">
        <v>30</v>
      </c>
      <c r="N341">
        <v>5</v>
      </c>
      <c r="O341" t="s">
        <v>65</v>
      </c>
      <c r="P341">
        <v>22.4</v>
      </c>
      <c r="Q341">
        <v>1618</v>
      </c>
      <c r="R341">
        <v>5</v>
      </c>
      <c r="S341">
        <v>2</v>
      </c>
      <c r="T341" t="s">
        <v>47</v>
      </c>
      <c r="U341" t="s">
        <v>33</v>
      </c>
      <c r="V341">
        <v>210253</v>
      </c>
      <c r="W341">
        <v>3.9</v>
      </c>
      <c r="X341">
        <v>4</v>
      </c>
      <c r="Y341" t="s">
        <v>61</v>
      </c>
      <c r="Z341">
        <v>3.15</v>
      </c>
      <c r="AA341" t="s">
        <v>35</v>
      </c>
    </row>
    <row r="342" spans="1:27" x14ac:dyDescent="0.3">
      <c r="A342" t="s">
        <v>76</v>
      </c>
      <c r="B342" t="s">
        <v>77</v>
      </c>
      <c r="C342">
        <v>2025</v>
      </c>
      <c r="D342" t="s">
        <v>38</v>
      </c>
      <c r="E342">
        <v>51036.86</v>
      </c>
      <c r="F342">
        <v>52.8</v>
      </c>
      <c r="G342">
        <v>234</v>
      </c>
      <c r="H342">
        <v>130.6</v>
      </c>
      <c r="I342">
        <v>7.37</v>
      </c>
      <c r="J342">
        <v>142</v>
      </c>
      <c r="K342">
        <v>584</v>
      </c>
      <c r="L342">
        <v>538</v>
      </c>
      <c r="M342" t="s">
        <v>30</v>
      </c>
      <c r="N342">
        <v>5</v>
      </c>
      <c r="O342" t="s">
        <v>57</v>
      </c>
      <c r="P342">
        <v>34.4</v>
      </c>
      <c r="Q342">
        <v>2027</v>
      </c>
      <c r="R342">
        <v>5</v>
      </c>
      <c r="S342">
        <v>2</v>
      </c>
      <c r="T342" t="s">
        <v>51</v>
      </c>
      <c r="U342" t="s">
        <v>42</v>
      </c>
      <c r="V342">
        <v>55671</v>
      </c>
      <c r="W342">
        <v>3.4</v>
      </c>
      <c r="X342">
        <v>3</v>
      </c>
      <c r="Y342" t="s">
        <v>61</v>
      </c>
      <c r="Z342">
        <v>4.43</v>
      </c>
      <c r="AA342" t="s">
        <v>35</v>
      </c>
    </row>
    <row r="343" spans="1:27" x14ac:dyDescent="0.3">
      <c r="A343" t="s">
        <v>76</v>
      </c>
      <c r="B343" t="s">
        <v>77</v>
      </c>
      <c r="C343">
        <v>2024</v>
      </c>
      <c r="D343" t="s">
        <v>63</v>
      </c>
      <c r="E343">
        <v>52223.31</v>
      </c>
      <c r="F343">
        <v>42.1</v>
      </c>
      <c r="G343">
        <v>150</v>
      </c>
      <c r="H343">
        <v>116.5</v>
      </c>
      <c r="I343">
        <v>6.02</v>
      </c>
      <c r="J343">
        <v>161</v>
      </c>
      <c r="K343">
        <v>566</v>
      </c>
      <c r="L343">
        <v>488</v>
      </c>
      <c r="M343" t="s">
        <v>54</v>
      </c>
      <c r="N343">
        <v>5</v>
      </c>
      <c r="O343" t="s">
        <v>46</v>
      </c>
      <c r="P343">
        <v>65.7</v>
      </c>
      <c r="Q343">
        <v>1635</v>
      </c>
      <c r="R343">
        <v>4</v>
      </c>
      <c r="S343">
        <v>1</v>
      </c>
      <c r="T343" t="s">
        <v>51</v>
      </c>
      <c r="U343" t="s">
        <v>42</v>
      </c>
      <c r="V343">
        <v>89573</v>
      </c>
      <c r="W343">
        <v>3.4</v>
      </c>
      <c r="X343">
        <v>3</v>
      </c>
      <c r="Y343" t="s">
        <v>43</v>
      </c>
      <c r="Z343">
        <v>3.56</v>
      </c>
      <c r="AA343" t="s">
        <v>35</v>
      </c>
    </row>
    <row r="344" spans="1:27" x14ac:dyDescent="0.3">
      <c r="A344" t="s">
        <v>52</v>
      </c>
      <c r="B344" t="s">
        <v>64</v>
      </c>
      <c r="C344">
        <v>2025</v>
      </c>
      <c r="D344" t="s">
        <v>63</v>
      </c>
      <c r="E344">
        <v>54018.19</v>
      </c>
      <c r="F344">
        <v>40.6</v>
      </c>
      <c r="G344">
        <v>150</v>
      </c>
      <c r="H344">
        <v>208.1</v>
      </c>
      <c r="I344">
        <v>6.79</v>
      </c>
      <c r="J344">
        <v>145</v>
      </c>
      <c r="K344">
        <v>379</v>
      </c>
      <c r="L344">
        <v>325</v>
      </c>
      <c r="M344" t="s">
        <v>30</v>
      </c>
      <c r="N344">
        <v>5</v>
      </c>
      <c r="O344" t="s">
        <v>57</v>
      </c>
      <c r="P344">
        <v>37.4</v>
      </c>
      <c r="Q344">
        <v>1787</v>
      </c>
      <c r="R344">
        <v>4</v>
      </c>
      <c r="S344">
        <v>3</v>
      </c>
      <c r="T344" t="s">
        <v>47</v>
      </c>
      <c r="U344" t="s">
        <v>42</v>
      </c>
      <c r="V344">
        <v>101221</v>
      </c>
      <c r="W344">
        <v>3.6</v>
      </c>
      <c r="X344">
        <v>4</v>
      </c>
      <c r="Y344" t="s">
        <v>43</v>
      </c>
      <c r="Z344">
        <v>3.69</v>
      </c>
      <c r="AA344" t="s">
        <v>35</v>
      </c>
    </row>
    <row r="345" spans="1:27" x14ac:dyDescent="0.3">
      <c r="A345" t="s">
        <v>27</v>
      </c>
      <c r="B345" t="s">
        <v>82</v>
      </c>
      <c r="C345">
        <v>2025</v>
      </c>
      <c r="D345" t="s">
        <v>63</v>
      </c>
      <c r="E345">
        <v>78662.149999999994</v>
      </c>
      <c r="F345">
        <v>41.4</v>
      </c>
      <c r="G345">
        <v>150</v>
      </c>
      <c r="H345">
        <v>77.3</v>
      </c>
      <c r="I345">
        <v>7.77</v>
      </c>
      <c r="J345">
        <v>134</v>
      </c>
      <c r="K345">
        <v>898</v>
      </c>
      <c r="L345">
        <v>772</v>
      </c>
      <c r="M345" t="s">
        <v>54</v>
      </c>
      <c r="N345">
        <v>5</v>
      </c>
      <c r="O345" t="s">
        <v>46</v>
      </c>
      <c r="P345">
        <v>74.5</v>
      </c>
      <c r="Q345">
        <v>1500</v>
      </c>
      <c r="R345">
        <v>4</v>
      </c>
      <c r="S345">
        <v>0</v>
      </c>
      <c r="T345" t="s">
        <v>32</v>
      </c>
      <c r="U345" t="s">
        <v>38</v>
      </c>
      <c r="V345">
        <v>237990</v>
      </c>
      <c r="W345">
        <v>3.3</v>
      </c>
      <c r="X345">
        <v>4</v>
      </c>
      <c r="Y345" t="s">
        <v>61</v>
      </c>
      <c r="Z345">
        <v>3.62</v>
      </c>
      <c r="AA345" t="s">
        <v>35</v>
      </c>
    </row>
    <row r="346" spans="1:27" x14ac:dyDescent="0.3">
      <c r="A346" t="s">
        <v>27</v>
      </c>
      <c r="B346" t="s">
        <v>28</v>
      </c>
      <c r="C346">
        <v>2026</v>
      </c>
      <c r="D346" t="s">
        <v>68</v>
      </c>
      <c r="E346">
        <v>39803.56</v>
      </c>
      <c r="F346">
        <v>46.8</v>
      </c>
      <c r="G346">
        <v>168</v>
      </c>
      <c r="H346">
        <v>78.3</v>
      </c>
      <c r="I346">
        <v>6.31</v>
      </c>
      <c r="J346">
        <v>156</v>
      </c>
      <c r="K346">
        <v>274</v>
      </c>
      <c r="L346">
        <v>241</v>
      </c>
      <c r="M346" t="s">
        <v>39</v>
      </c>
      <c r="N346">
        <v>7</v>
      </c>
      <c r="O346" t="s">
        <v>31</v>
      </c>
      <c r="P346">
        <v>69.900000000000006</v>
      </c>
      <c r="Q346">
        <v>2758</v>
      </c>
      <c r="R346">
        <v>3</v>
      </c>
      <c r="S346">
        <v>1</v>
      </c>
      <c r="T346" t="s">
        <v>32</v>
      </c>
      <c r="U346" t="s">
        <v>42</v>
      </c>
      <c r="V346">
        <v>248701</v>
      </c>
      <c r="W346">
        <v>3.1</v>
      </c>
      <c r="X346">
        <v>5</v>
      </c>
      <c r="Y346" t="s">
        <v>43</v>
      </c>
      <c r="Z346">
        <v>3.59</v>
      </c>
      <c r="AA346" t="s">
        <v>35</v>
      </c>
    </row>
    <row r="347" spans="1:27" x14ac:dyDescent="0.3">
      <c r="A347" t="s">
        <v>48</v>
      </c>
      <c r="B347" t="s">
        <v>88</v>
      </c>
      <c r="C347">
        <v>2025</v>
      </c>
      <c r="D347" t="s">
        <v>38</v>
      </c>
      <c r="E347">
        <v>103512.45</v>
      </c>
      <c r="F347">
        <v>63</v>
      </c>
      <c r="G347">
        <v>213</v>
      </c>
      <c r="H347">
        <v>119</v>
      </c>
      <c r="I347">
        <v>7.65</v>
      </c>
      <c r="J347">
        <v>124</v>
      </c>
      <c r="K347">
        <v>1000</v>
      </c>
      <c r="L347">
        <v>919</v>
      </c>
      <c r="M347" t="s">
        <v>30</v>
      </c>
      <c r="N347">
        <v>5</v>
      </c>
      <c r="O347" t="s">
        <v>40</v>
      </c>
      <c r="P347">
        <v>45.2</v>
      </c>
      <c r="Q347">
        <v>2221</v>
      </c>
      <c r="R347">
        <v>5</v>
      </c>
      <c r="S347">
        <v>1</v>
      </c>
      <c r="T347" t="s">
        <v>51</v>
      </c>
      <c r="U347" t="s">
        <v>33</v>
      </c>
      <c r="V347">
        <v>50563</v>
      </c>
      <c r="W347">
        <v>3.4</v>
      </c>
      <c r="X347">
        <v>3</v>
      </c>
      <c r="Y347" t="s">
        <v>61</v>
      </c>
      <c r="Z347">
        <v>3.38</v>
      </c>
      <c r="AA347" t="s">
        <v>35</v>
      </c>
    </row>
    <row r="348" spans="1:27" x14ac:dyDescent="0.3">
      <c r="A348" t="s">
        <v>91</v>
      </c>
      <c r="B348" t="s">
        <v>122</v>
      </c>
      <c r="C348">
        <v>2024</v>
      </c>
      <c r="D348" t="s">
        <v>29</v>
      </c>
      <c r="E348">
        <v>76696.39</v>
      </c>
      <c r="F348">
        <v>87.4</v>
      </c>
      <c r="G348">
        <v>313</v>
      </c>
      <c r="H348">
        <v>196.4</v>
      </c>
      <c r="I348">
        <v>3.49</v>
      </c>
      <c r="J348">
        <v>192</v>
      </c>
      <c r="K348">
        <v>523</v>
      </c>
      <c r="L348">
        <v>468</v>
      </c>
      <c r="M348" t="s">
        <v>30</v>
      </c>
      <c r="N348">
        <v>5</v>
      </c>
      <c r="O348" t="s">
        <v>40</v>
      </c>
      <c r="P348">
        <v>68.3</v>
      </c>
      <c r="Q348">
        <v>2006</v>
      </c>
      <c r="R348">
        <v>5</v>
      </c>
      <c r="S348">
        <v>1</v>
      </c>
      <c r="T348" t="s">
        <v>32</v>
      </c>
      <c r="U348" t="s">
        <v>38</v>
      </c>
      <c r="V348">
        <v>21525</v>
      </c>
      <c r="W348">
        <v>3.7</v>
      </c>
      <c r="X348">
        <v>5</v>
      </c>
      <c r="Y348" t="s">
        <v>34</v>
      </c>
      <c r="Z348">
        <v>3.58</v>
      </c>
      <c r="AA348" t="s">
        <v>35</v>
      </c>
    </row>
    <row r="349" spans="1:27" x14ac:dyDescent="0.3">
      <c r="A349" t="s">
        <v>52</v>
      </c>
      <c r="B349" t="s">
        <v>64</v>
      </c>
      <c r="C349">
        <v>2023</v>
      </c>
      <c r="D349" t="s">
        <v>50</v>
      </c>
      <c r="E349">
        <v>98608.05</v>
      </c>
      <c r="F349">
        <v>77.7</v>
      </c>
      <c r="G349">
        <v>286</v>
      </c>
      <c r="H349">
        <v>228.4</v>
      </c>
      <c r="I349">
        <v>4.9400000000000004</v>
      </c>
      <c r="J349">
        <v>183</v>
      </c>
      <c r="K349">
        <v>718</v>
      </c>
      <c r="L349">
        <v>700</v>
      </c>
      <c r="M349" t="s">
        <v>39</v>
      </c>
      <c r="N349">
        <v>5</v>
      </c>
      <c r="O349" t="s">
        <v>56</v>
      </c>
      <c r="P349">
        <v>39.200000000000003</v>
      </c>
      <c r="Q349">
        <v>1521</v>
      </c>
      <c r="R349">
        <v>4</v>
      </c>
      <c r="S349">
        <v>2</v>
      </c>
      <c r="T349" t="s">
        <v>47</v>
      </c>
      <c r="U349" t="s">
        <v>38</v>
      </c>
      <c r="V349">
        <v>246839</v>
      </c>
      <c r="W349">
        <v>4</v>
      </c>
      <c r="X349">
        <v>4</v>
      </c>
      <c r="Y349" t="s">
        <v>43</v>
      </c>
      <c r="Z349">
        <v>3.68</v>
      </c>
      <c r="AA349" t="s">
        <v>35</v>
      </c>
    </row>
    <row r="350" spans="1:27" x14ac:dyDescent="0.3">
      <c r="A350" t="s">
        <v>27</v>
      </c>
      <c r="B350" t="s">
        <v>78</v>
      </c>
      <c r="C350">
        <v>2026</v>
      </c>
      <c r="D350" t="s">
        <v>68</v>
      </c>
      <c r="E350">
        <v>86543.35</v>
      </c>
      <c r="F350">
        <v>56.3</v>
      </c>
      <c r="G350">
        <v>193</v>
      </c>
      <c r="H350">
        <v>94.1</v>
      </c>
      <c r="I350">
        <v>6.9</v>
      </c>
      <c r="J350">
        <v>152</v>
      </c>
      <c r="K350">
        <v>935</v>
      </c>
      <c r="L350">
        <v>853</v>
      </c>
      <c r="M350" t="s">
        <v>39</v>
      </c>
      <c r="N350">
        <v>5</v>
      </c>
      <c r="O350" t="s">
        <v>56</v>
      </c>
      <c r="P350">
        <v>19</v>
      </c>
      <c r="Q350">
        <v>1583</v>
      </c>
      <c r="R350">
        <v>4</v>
      </c>
      <c r="S350">
        <v>0</v>
      </c>
      <c r="T350" t="s">
        <v>32</v>
      </c>
      <c r="U350" t="s">
        <v>38</v>
      </c>
      <c r="V350">
        <v>282690</v>
      </c>
      <c r="W350">
        <v>3.2</v>
      </c>
      <c r="X350">
        <v>3</v>
      </c>
      <c r="Y350" t="s">
        <v>43</v>
      </c>
      <c r="Z350">
        <v>3.43</v>
      </c>
      <c r="AA350" t="s">
        <v>35</v>
      </c>
    </row>
    <row r="351" spans="1:27" x14ac:dyDescent="0.3">
      <c r="A351" t="s">
        <v>91</v>
      </c>
      <c r="B351" t="s">
        <v>124</v>
      </c>
      <c r="C351">
        <v>2026</v>
      </c>
      <c r="D351" t="s">
        <v>68</v>
      </c>
      <c r="E351">
        <v>72989.13</v>
      </c>
      <c r="F351">
        <v>82</v>
      </c>
      <c r="G351">
        <v>298</v>
      </c>
      <c r="H351">
        <v>77.5</v>
      </c>
      <c r="I351">
        <v>6.52</v>
      </c>
      <c r="J351">
        <v>146</v>
      </c>
      <c r="K351">
        <v>467</v>
      </c>
      <c r="L351">
        <v>428</v>
      </c>
      <c r="M351" t="s">
        <v>54</v>
      </c>
      <c r="N351">
        <v>5</v>
      </c>
      <c r="O351" t="s">
        <v>56</v>
      </c>
      <c r="P351">
        <v>28.4</v>
      </c>
      <c r="Q351">
        <v>1500</v>
      </c>
      <c r="R351">
        <v>5</v>
      </c>
      <c r="S351">
        <v>2</v>
      </c>
      <c r="T351" t="s">
        <v>32</v>
      </c>
      <c r="U351" t="s">
        <v>38</v>
      </c>
      <c r="V351">
        <v>49770</v>
      </c>
      <c r="W351">
        <v>3.4</v>
      </c>
      <c r="X351">
        <v>8</v>
      </c>
      <c r="Y351" t="s">
        <v>43</v>
      </c>
      <c r="Z351">
        <v>3.63</v>
      </c>
      <c r="AA351" t="s">
        <v>35</v>
      </c>
    </row>
    <row r="352" spans="1:27" x14ac:dyDescent="0.3">
      <c r="A352" t="s">
        <v>76</v>
      </c>
      <c r="B352" t="s">
        <v>87</v>
      </c>
      <c r="C352">
        <v>2025</v>
      </c>
      <c r="D352" t="s">
        <v>68</v>
      </c>
      <c r="E352">
        <v>39399.56</v>
      </c>
      <c r="F352">
        <v>70.900000000000006</v>
      </c>
      <c r="G352">
        <v>268</v>
      </c>
      <c r="H352">
        <v>65.8</v>
      </c>
      <c r="I352">
        <v>5.76</v>
      </c>
      <c r="J352">
        <v>159</v>
      </c>
      <c r="K352">
        <v>293</v>
      </c>
      <c r="L352">
        <v>234</v>
      </c>
      <c r="M352" t="s">
        <v>30</v>
      </c>
      <c r="N352">
        <v>5</v>
      </c>
      <c r="O352" t="s">
        <v>40</v>
      </c>
      <c r="P352">
        <v>63.1</v>
      </c>
      <c r="Q352">
        <v>1935</v>
      </c>
      <c r="R352">
        <v>4</v>
      </c>
      <c r="S352">
        <v>1</v>
      </c>
      <c r="T352" t="s">
        <v>51</v>
      </c>
      <c r="U352" t="s">
        <v>42</v>
      </c>
      <c r="V352">
        <v>101021</v>
      </c>
      <c r="W352">
        <v>3.3</v>
      </c>
      <c r="X352">
        <v>3</v>
      </c>
      <c r="Y352" t="s">
        <v>43</v>
      </c>
      <c r="Z352">
        <v>3.78</v>
      </c>
      <c r="AA352" t="s">
        <v>35</v>
      </c>
    </row>
    <row r="353" spans="1:27" x14ac:dyDescent="0.3">
      <c r="A353" t="s">
        <v>58</v>
      </c>
      <c r="B353" t="s">
        <v>59</v>
      </c>
      <c r="C353">
        <v>2024</v>
      </c>
      <c r="D353" t="s">
        <v>38</v>
      </c>
      <c r="E353">
        <v>99625.48</v>
      </c>
      <c r="F353">
        <v>81.2</v>
      </c>
      <c r="G353">
        <v>306</v>
      </c>
      <c r="H353">
        <v>72.8</v>
      </c>
      <c r="I353">
        <v>6.47</v>
      </c>
      <c r="J353">
        <v>153</v>
      </c>
      <c r="K353">
        <v>534</v>
      </c>
      <c r="L353">
        <v>467</v>
      </c>
      <c r="M353" t="s">
        <v>30</v>
      </c>
      <c r="N353">
        <v>5</v>
      </c>
      <c r="O353" t="s">
        <v>40</v>
      </c>
      <c r="P353">
        <v>65.099999999999994</v>
      </c>
      <c r="Q353">
        <v>1569</v>
      </c>
      <c r="R353">
        <v>4</v>
      </c>
      <c r="S353">
        <v>2</v>
      </c>
      <c r="T353" t="s">
        <v>32</v>
      </c>
      <c r="U353" t="s">
        <v>38</v>
      </c>
      <c r="V353">
        <v>71016</v>
      </c>
      <c r="W353">
        <v>3.8</v>
      </c>
      <c r="X353">
        <v>7</v>
      </c>
      <c r="Y353" t="s">
        <v>43</v>
      </c>
      <c r="Z353">
        <v>3.77</v>
      </c>
      <c r="AA353" t="s">
        <v>35</v>
      </c>
    </row>
    <row r="354" spans="1:27" x14ac:dyDescent="0.3">
      <c r="A354" t="s">
        <v>91</v>
      </c>
      <c r="B354" t="s">
        <v>92</v>
      </c>
      <c r="C354">
        <v>2025</v>
      </c>
      <c r="D354" t="s">
        <v>29</v>
      </c>
      <c r="E354">
        <v>113646.11</v>
      </c>
      <c r="F354">
        <v>73.599999999999994</v>
      </c>
      <c r="G354">
        <v>279</v>
      </c>
      <c r="H354">
        <v>188.6</v>
      </c>
      <c r="I354">
        <v>3.16</v>
      </c>
      <c r="J354">
        <v>199</v>
      </c>
      <c r="K354">
        <v>1000</v>
      </c>
      <c r="L354">
        <v>908</v>
      </c>
      <c r="M354" t="s">
        <v>30</v>
      </c>
      <c r="N354">
        <v>5</v>
      </c>
      <c r="O354" t="s">
        <v>31</v>
      </c>
      <c r="P354">
        <v>75.3</v>
      </c>
      <c r="Q354">
        <v>2275</v>
      </c>
      <c r="R354">
        <v>5</v>
      </c>
      <c r="S354">
        <v>1</v>
      </c>
      <c r="T354" t="s">
        <v>32</v>
      </c>
      <c r="U354" t="s">
        <v>33</v>
      </c>
      <c r="V354">
        <v>68048</v>
      </c>
      <c r="W354">
        <v>3.7</v>
      </c>
      <c r="X354">
        <v>8</v>
      </c>
      <c r="Y354" t="s">
        <v>34</v>
      </c>
      <c r="Z354">
        <v>3.79</v>
      </c>
      <c r="AA354" t="s">
        <v>35</v>
      </c>
    </row>
    <row r="355" spans="1:27" x14ac:dyDescent="0.3">
      <c r="A355" t="s">
        <v>52</v>
      </c>
      <c r="B355" t="s">
        <v>55</v>
      </c>
      <c r="C355">
        <v>2024</v>
      </c>
      <c r="D355" t="s">
        <v>68</v>
      </c>
      <c r="E355">
        <v>110939.31</v>
      </c>
      <c r="F355">
        <v>48.7</v>
      </c>
      <c r="G355">
        <v>160</v>
      </c>
      <c r="H355">
        <v>276.2</v>
      </c>
      <c r="I355">
        <v>5.49</v>
      </c>
      <c r="J355">
        <v>169</v>
      </c>
      <c r="K355">
        <v>840</v>
      </c>
      <c r="L355">
        <v>747</v>
      </c>
      <c r="M355" t="s">
        <v>54</v>
      </c>
      <c r="N355">
        <v>5</v>
      </c>
      <c r="O355" t="s">
        <v>57</v>
      </c>
      <c r="P355">
        <v>22.2</v>
      </c>
      <c r="Q355">
        <v>1526</v>
      </c>
      <c r="R355">
        <v>4</v>
      </c>
      <c r="S355">
        <v>2</v>
      </c>
      <c r="T355" t="s">
        <v>47</v>
      </c>
      <c r="U355" t="s">
        <v>33</v>
      </c>
      <c r="V355">
        <v>456268</v>
      </c>
      <c r="W355">
        <v>3.4</v>
      </c>
      <c r="X355">
        <v>6</v>
      </c>
      <c r="Y355" t="s">
        <v>43</v>
      </c>
      <c r="Z355">
        <v>3.29</v>
      </c>
      <c r="AA355" t="s">
        <v>35</v>
      </c>
    </row>
    <row r="356" spans="1:27" x14ac:dyDescent="0.3">
      <c r="A356" t="s">
        <v>52</v>
      </c>
      <c r="B356" t="s">
        <v>86</v>
      </c>
      <c r="C356">
        <v>2026</v>
      </c>
      <c r="D356" t="s">
        <v>50</v>
      </c>
      <c r="E356">
        <v>142726.14000000001</v>
      </c>
      <c r="F356">
        <v>94.6</v>
      </c>
      <c r="G356">
        <v>318</v>
      </c>
      <c r="H356">
        <v>205.9</v>
      </c>
      <c r="I356">
        <v>4.6100000000000003</v>
      </c>
      <c r="J356">
        <v>176</v>
      </c>
      <c r="K356">
        <v>1000</v>
      </c>
      <c r="L356">
        <v>871</v>
      </c>
      <c r="M356" t="s">
        <v>54</v>
      </c>
      <c r="N356">
        <v>5</v>
      </c>
      <c r="O356" t="s">
        <v>57</v>
      </c>
      <c r="P356">
        <v>32.1</v>
      </c>
      <c r="Q356">
        <v>1500</v>
      </c>
      <c r="R356">
        <v>4</v>
      </c>
      <c r="S356">
        <v>2</v>
      </c>
      <c r="T356" t="s">
        <v>47</v>
      </c>
      <c r="U356" t="s">
        <v>33</v>
      </c>
      <c r="V356">
        <v>176985</v>
      </c>
      <c r="W356">
        <v>4.2</v>
      </c>
      <c r="X356">
        <v>5</v>
      </c>
      <c r="Y356" t="s">
        <v>43</v>
      </c>
      <c r="Z356">
        <v>3.36</v>
      </c>
      <c r="AA356" t="s">
        <v>35</v>
      </c>
    </row>
    <row r="357" spans="1:27" x14ac:dyDescent="0.3">
      <c r="A357" t="s">
        <v>91</v>
      </c>
      <c r="B357" t="s">
        <v>97</v>
      </c>
      <c r="C357">
        <v>2024</v>
      </c>
      <c r="D357" t="s">
        <v>38</v>
      </c>
      <c r="E357">
        <v>69442.009999999995</v>
      </c>
      <c r="F357">
        <v>54.1</v>
      </c>
      <c r="G357">
        <v>193</v>
      </c>
      <c r="H357">
        <v>95.1</v>
      </c>
      <c r="I357">
        <v>5.86</v>
      </c>
      <c r="J357">
        <v>169</v>
      </c>
      <c r="K357">
        <v>383</v>
      </c>
      <c r="L357">
        <v>299</v>
      </c>
      <c r="M357" t="s">
        <v>54</v>
      </c>
      <c r="N357">
        <v>7</v>
      </c>
      <c r="O357" t="s">
        <v>46</v>
      </c>
      <c r="P357">
        <v>73.2</v>
      </c>
      <c r="Q357">
        <v>1764</v>
      </c>
      <c r="R357">
        <v>4</v>
      </c>
      <c r="S357">
        <v>2</v>
      </c>
      <c r="T357" t="s">
        <v>32</v>
      </c>
      <c r="U357" t="s">
        <v>38</v>
      </c>
      <c r="V357">
        <v>51378</v>
      </c>
      <c r="W357">
        <v>3.2</v>
      </c>
      <c r="X357">
        <v>5</v>
      </c>
      <c r="Y357" t="s">
        <v>43</v>
      </c>
      <c r="Z357">
        <v>3.57</v>
      </c>
      <c r="AA357" t="s">
        <v>35</v>
      </c>
    </row>
    <row r="358" spans="1:27" x14ac:dyDescent="0.3">
      <c r="A358" t="s">
        <v>52</v>
      </c>
      <c r="B358" t="s">
        <v>53</v>
      </c>
      <c r="C358">
        <v>2025</v>
      </c>
      <c r="D358" t="s">
        <v>63</v>
      </c>
      <c r="E358">
        <v>42979.12</v>
      </c>
      <c r="F358">
        <v>62.8</v>
      </c>
      <c r="G358">
        <v>229</v>
      </c>
      <c r="H358">
        <v>275.3</v>
      </c>
      <c r="I358">
        <v>7.9</v>
      </c>
      <c r="J358">
        <v>133</v>
      </c>
      <c r="K358">
        <v>252</v>
      </c>
      <c r="L358">
        <v>227</v>
      </c>
      <c r="M358" t="s">
        <v>30</v>
      </c>
      <c r="N358">
        <v>7</v>
      </c>
      <c r="O358" t="s">
        <v>40</v>
      </c>
      <c r="P358">
        <v>51.8</v>
      </c>
      <c r="Q358">
        <v>1730</v>
      </c>
      <c r="R358">
        <v>4</v>
      </c>
      <c r="S358">
        <v>2</v>
      </c>
      <c r="T358" t="s">
        <v>47</v>
      </c>
      <c r="U358" t="s">
        <v>42</v>
      </c>
      <c r="V358">
        <v>207769</v>
      </c>
      <c r="W358">
        <v>3.7</v>
      </c>
      <c r="X358">
        <v>5</v>
      </c>
      <c r="Y358" t="s">
        <v>61</v>
      </c>
      <c r="Z358">
        <v>3.65</v>
      </c>
      <c r="AA358" t="s">
        <v>35</v>
      </c>
    </row>
    <row r="359" spans="1:27" x14ac:dyDescent="0.3">
      <c r="A359" t="s">
        <v>48</v>
      </c>
      <c r="B359" t="s">
        <v>79</v>
      </c>
      <c r="C359">
        <v>2024</v>
      </c>
      <c r="D359" t="s">
        <v>38</v>
      </c>
      <c r="E359">
        <v>56096.47</v>
      </c>
      <c r="F359">
        <v>47.3</v>
      </c>
      <c r="G359">
        <v>176</v>
      </c>
      <c r="H359">
        <v>107.5</v>
      </c>
      <c r="I359">
        <v>5.39</v>
      </c>
      <c r="J359">
        <v>159</v>
      </c>
      <c r="K359">
        <v>531</v>
      </c>
      <c r="L359">
        <v>469</v>
      </c>
      <c r="M359" t="s">
        <v>54</v>
      </c>
      <c r="N359">
        <v>5</v>
      </c>
      <c r="O359" t="s">
        <v>57</v>
      </c>
      <c r="P359">
        <v>33.700000000000003</v>
      </c>
      <c r="Q359">
        <v>1841</v>
      </c>
      <c r="R359">
        <v>3</v>
      </c>
      <c r="S359">
        <v>0</v>
      </c>
      <c r="T359" t="s">
        <v>51</v>
      </c>
      <c r="U359" t="s">
        <v>42</v>
      </c>
      <c r="V359">
        <v>113782</v>
      </c>
      <c r="W359">
        <v>3.4</v>
      </c>
      <c r="X359">
        <v>3</v>
      </c>
      <c r="Y359" t="s">
        <v>43</v>
      </c>
      <c r="Z359">
        <v>3.72</v>
      </c>
      <c r="AA359" t="s">
        <v>35</v>
      </c>
    </row>
    <row r="360" spans="1:27" x14ac:dyDescent="0.3">
      <c r="A360" t="s">
        <v>100</v>
      </c>
      <c r="B360" t="s">
        <v>118</v>
      </c>
      <c r="C360">
        <v>2024</v>
      </c>
      <c r="D360" t="s">
        <v>63</v>
      </c>
      <c r="E360">
        <v>82536.87</v>
      </c>
      <c r="F360">
        <v>69.7</v>
      </c>
      <c r="G360">
        <v>264</v>
      </c>
      <c r="H360">
        <v>114.2</v>
      </c>
      <c r="I360">
        <v>7.79</v>
      </c>
      <c r="J360">
        <v>127</v>
      </c>
      <c r="K360">
        <v>730</v>
      </c>
      <c r="L360">
        <v>687</v>
      </c>
      <c r="M360" t="s">
        <v>39</v>
      </c>
      <c r="N360">
        <v>7</v>
      </c>
      <c r="O360" t="s">
        <v>31</v>
      </c>
      <c r="P360">
        <v>56.6</v>
      </c>
      <c r="Q360">
        <v>2319</v>
      </c>
      <c r="R360">
        <v>5</v>
      </c>
      <c r="S360">
        <v>0</v>
      </c>
      <c r="T360" t="s">
        <v>73</v>
      </c>
      <c r="U360" t="s">
        <v>38</v>
      </c>
      <c r="V360">
        <v>17477</v>
      </c>
      <c r="W360">
        <v>3.4</v>
      </c>
      <c r="X360">
        <v>5</v>
      </c>
      <c r="Y360" t="s">
        <v>61</v>
      </c>
      <c r="Z360">
        <v>3.79</v>
      </c>
      <c r="AA360" t="s">
        <v>43</v>
      </c>
    </row>
    <row r="361" spans="1:27" x14ac:dyDescent="0.3">
      <c r="A361" t="s">
        <v>48</v>
      </c>
      <c r="B361" t="s">
        <v>88</v>
      </c>
      <c r="C361">
        <v>2026</v>
      </c>
      <c r="D361" t="s">
        <v>63</v>
      </c>
      <c r="E361">
        <v>62907.99</v>
      </c>
      <c r="F361">
        <v>56</v>
      </c>
      <c r="G361">
        <v>184</v>
      </c>
      <c r="H361">
        <v>97.7</v>
      </c>
      <c r="I361">
        <v>7.47</v>
      </c>
      <c r="J361">
        <v>142</v>
      </c>
      <c r="K361">
        <v>663</v>
      </c>
      <c r="L361">
        <v>579</v>
      </c>
      <c r="M361" t="s">
        <v>39</v>
      </c>
      <c r="N361">
        <v>5</v>
      </c>
      <c r="O361" t="s">
        <v>40</v>
      </c>
      <c r="P361">
        <v>53</v>
      </c>
      <c r="Q361">
        <v>1838</v>
      </c>
      <c r="R361">
        <v>5</v>
      </c>
      <c r="S361">
        <v>0</v>
      </c>
      <c r="T361" t="s">
        <v>51</v>
      </c>
      <c r="U361" t="s">
        <v>42</v>
      </c>
      <c r="V361">
        <v>93165</v>
      </c>
      <c r="W361">
        <v>3.3</v>
      </c>
      <c r="X361">
        <v>3</v>
      </c>
      <c r="Y361" t="s">
        <v>61</v>
      </c>
      <c r="Z361">
        <v>3.29</v>
      </c>
      <c r="AA361" t="s">
        <v>35</v>
      </c>
    </row>
    <row r="362" spans="1:27" x14ac:dyDescent="0.3">
      <c r="A362" t="s">
        <v>27</v>
      </c>
      <c r="B362" t="s">
        <v>82</v>
      </c>
      <c r="C362">
        <v>2025</v>
      </c>
      <c r="D362" t="s">
        <v>29</v>
      </c>
      <c r="E362">
        <v>97402.81</v>
      </c>
      <c r="F362">
        <v>71.7</v>
      </c>
      <c r="G362">
        <v>258</v>
      </c>
      <c r="H362">
        <v>153.80000000000001</v>
      </c>
      <c r="I362">
        <v>3.48</v>
      </c>
      <c r="J362">
        <v>200</v>
      </c>
      <c r="K362">
        <v>1000</v>
      </c>
      <c r="L362">
        <v>912</v>
      </c>
      <c r="M362" t="s">
        <v>54</v>
      </c>
      <c r="N362">
        <v>5</v>
      </c>
      <c r="O362" t="s">
        <v>31</v>
      </c>
      <c r="P362">
        <v>77.900000000000006</v>
      </c>
      <c r="Q362">
        <v>2374</v>
      </c>
      <c r="R362">
        <v>4</v>
      </c>
      <c r="S362">
        <v>1</v>
      </c>
      <c r="T362" t="s">
        <v>32</v>
      </c>
      <c r="U362" t="s">
        <v>38</v>
      </c>
      <c r="V362">
        <v>255988</v>
      </c>
      <c r="W362">
        <v>3.6</v>
      </c>
      <c r="X362">
        <v>4</v>
      </c>
      <c r="Y362" t="s">
        <v>34</v>
      </c>
      <c r="Z362">
        <v>3.6</v>
      </c>
      <c r="AA362" t="s">
        <v>35</v>
      </c>
    </row>
    <row r="363" spans="1:27" x14ac:dyDescent="0.3">
      <c r="A363" t="s">
        <v>91</v>
      </c>
      <c r="B363" t="s">
        <v>92</v>
      </c>
      <c r="C363">
        <v>2025</v>
      </c>
      <c r="D363" t="s">
        <v>68</v>
      </c>
      <c r="E363">
        <v>85706.08</v>
      </c>
      <c r="F363">
        <v>45.1</v>
      </c>
      <c r="G363">
        <v>150</v>
      </c>
      <c r="H363">
        <v>127.7</v>
      </c>
      <c r="I363">
        <v>7.87</v>
      </c>
      <c r="J363">
        <v>135</v>
      </c>
      <c r="K363">
        <v>650</v>
      </c>
      <c r="L363">
        <v>634</v>
      </c>
      <c r="M363" t="s">
        <v>39</v>
      </c>
      <c r="N363">
        <v>5</v>
      </c>
      <c r="O363" t="s">
        <v>56</v>
      </c>
      <c r="P363">
        <v>31.2</v>
      </c>
      <c r="Q363">
        <v>1703</v>
      </c>
      <c r="R363">
        <v>4</v>
      </c>
      <c r="S363">
        <v>2</v>
      </c>
      <c r="T363" t="s">
        <v>32</v>
      </c>
      <c r="U363" t="s">
        <v>38</v>
      </c>
      <c r="V363">
        <v>78799</v>
      </c>
      <c r="W363">
        <v>3.3</v>
      </c>
      <c r="X363">
        <v>8</v>
      </c>
      <c r="Y363" t="s">
        <v>61</v>
      </c>
      <c r="Z363">
        <v>3.33</v>
      </c>
      <c r="AA363" t="s">
        <v>35</v>
      </c>
    </row>
    <row r="364" spans="1:27" x14ac:dyDescent="0.3">
      <c r="A364" t="s">
        <v>76</v>
      </c>
      <c r="B364" t="s">
        <v>87</v>
      </c>
      <c r="C364">
        <v>2024</v>
      </c>
      <c r="D364" t="s">
        <v>63</v>
      </c>
      <c r="E364">
        <v>54234.95</v>
      </c>
      <c r="F364">
        <v>58.4</v>
      </c>
      <c r="G364">
        <v>217</v>
      </c>
      <c r="H364">
        <v>131.1</v>
      </c>
      <c r="I364">
        <v>7.58</v>
      </c>
      <c r="J364">
        <v>132</v>
      </c>
      <c r="K364">
        <v>577</v>
      </c>
      <c r="L364">
        <v>530</v>
      </c>
      <c r="M364" t="s">
        <v>39</v>
      </c>
      <c r="N364">
        <v>7</v>
      </c>
      <c r="O364" t="s">
        <v>31</v>
      </c>
      <c r="P364">
        <v>50.2</v>
      </c>
      <c r="Q364">
        <v>2843</v>
      </c>
      <c r="R364">
        <v>5</v>
      </c>
      <c r="S364">
        <v>2</v>
      </c>
      <c r="T364" t="s">
        <v>51</v>
      </c>
      <c r="U364" t="s">
        <v>42</v>
      </c>
      <c r="V364">
        <v>136935</v>
      </c>
      <c r="W364">
        <v>3.4</v>
      </c>
      <c r="X364">
        <v>4</v>
      </c>
      <c r="Y364" t="s">
        <v>61</v>
      </c>
      <c r="Z364">
        <v>3.72</v>
      </c>
      <c r="AA364" t="s">
        <v>35</v>
      </c>
    </row>
    <row r="365" spans="1:27" x14ac:dyDescent="0.3">
      <c r="A365" t="s">
        <v>48</v>
      </c>
      <c r="B365" t="s">
        <v>79</v>
      </c>
      <c r="C365">
        <v>2023</v>
      </c>
      <c r="D365" t="s">
        <v>38</v>
      </c>
      <c r="E365">
        <v>95598.48</v>
      </c>
      <c r="F365">
        <v>63.5</v>
      </c>
      <c r="G365">
        <v>202</v>
      </c>
      <c r="H365">
        <v>141.1</v>
      </c>
      <c r="I365">
        <v>5.52</v>
      </c>
      <c r="J365">
        <v>166</v>
      </c>
      <c r="K365">
        <v>1000</v>
      </c>
      <c r="L365">
        <v>845</v>
      </c>
      <c r="M365" t="s">
        <v>30</v>
      </c>
      <c r="N365">
        <v>5</v>
      </c>
      <c r="O365" t="s">
        <v>40</v>
      </c>
      <c r="P365">
        <v>44.2</v>
      </c>
      <c r="Q365">
        <v>1516</v>
      </c>
      <c r="R365">
        <v>5</v>
      </c>
      <c r="S365">
        <v>1</v>
      </c>
      <c r="T365" t="s">
        <v>51</v>
      </c>
      <c r="U365" t="s">
        <v>38</v>
      </c>
      <c r="V365">
        <v>107457</v>
      </c>
      <c r="W365">
        <v>3.3</v>
      </c>
      <c r="X365">
        <v>5</v>
      </c>
      <c r="Y365" t="s">
        <v>43</v>
      </c>
      <c r="Z365">
        <v>3.18</v>
      </c>
      <c r="AA365" t="s">
        <v>35</v>
      </c>
    </row>
    <row r="366" spans="1:27" x14ac:dyDescent="0.3">
      <c r="A366" t="s">
        <v>100</v>
      </c>
      <c r="B366" t="s">
        <v>135</v>
      </c>
      <c r="C366">
        <v>2023</v>
      </c>
      <c r="D366" t="s">
        <v>50</v>
      </c>
      <c r="E366">
        <v>98011.85</v>
      </c>
      <c r="F366">
        <v>106.2</v>
      </c>
      <c r="G366">
        <v>364</v>
      </c>
      <c r="H366">
        <v>79.599999999999994</v>
      </c>
      <c r="I366">
        <v>5.43</v>
      </c>
      <c r="J366">
        <v>171</v>
      </c>
      <c r="K366">
        <v>953</v>
      </c>
      <c r="L366">
        <v>885</v>
      </c>
      <c r="M366" t="s">
        <v>30</v>
      </c>
      <c r="N366">
        <v>7</v>
      </c>
      <c r="O366" t="s">
        <v>65</v>
      </c>
      <c r="P366">
        <v>20.5</v>
      </c>
      <c r="Q366">
        <v>1662</v>
      </c>
      <c r="R366">
        <v>4</v>
      </c>
      <c r="S366">
        <v>0</v>
      </c>
      <c r="T366" t="s">
        <v>73</v>
      </c>
      <c r="U366" t="s">
        <v>38</v>
      </c>
      <c r="V366">
        <v>12631</v>
      </c>
      <c r="W366">
        <v>3.9</v>
      </c>
      <c r="X366">
        <v>5</v>
      </c>
      <c r="Y366" t="s">
        <v>43</v>
      </c>
      <c r="Z366">
        <v>3.43</v>
      </c>
      <c r="AA366" t="s">
        <v>43</v>
      </c>
    </row>
    <row r="367" spans="1:27" x14ac:dyDescent="0.3">
      <c r="A367" t="s">
        <v>27</v>
      </c>
      <c r="B367" t="s">
        <v>93</v>
      </c>
      <c r="C367">
        <v>2025</v>
      </c>
      <c r="D367" t="s">
        <v>29</v>
      </c>
      <c r="E367">
        <v>58313.43</v>
      </c>
      <c r="F367">
        <v>71.5</v>
      </c>
      <c r="G367">
        <v>260</v>
      </c>
      <c r="H367">
        <v>159.69999999999999</v>
      </c>
      <c r="I367">
        <v>3.71</v>
      </c>
      <c r="J367">
        <v>193</v>
      </c>
      <c r="K367">
        <v>583</v>
      </c>
      <c r="L367">
        <v>522</v>
      </c>
      <c r="M367" t="s">
        <v>30</v>
      </c>
      <c r="N367">
        <v>5</v>
      </c>
      <c r="O367" t="s">
        <v>31</v>
      </c>
      <c r="P367">
        <v>77.2</v>
      </c>
      <c r="Q367">
        <v>2583</v>
      </c>
      <c r="R367">
        <v>3</v>
      </c>
      <c r="S367">
        <v>1</v>
      </c>
      <c r="T367" t="s">
        <v>32</v>
      </c>
      <c r="U367" t="s">
        <v>42</v>
      </c>
      <c r="V367">
        <v>263694</v>
      </c>
      <c r="W367">
        <v>3.2</v>
      </c>
      <c r="X367">
        <v>3</v>
      </c>
      <c r="Y367" t="s">
        <v>34</v>
      </c>
      <c r="Z367">
        <v>3.64</v>
      </c>
      <c r="AA367" t="s">
        <v>35</v>
      </c>
    </row>
    <row r="368" spans="1:27" x14ac:dyDescent="0.3">
      <c r="A368" t="s">
        <v>36</v>
      </c>
      <c r="B368" t="s">
        <v>37</v>
      </c>
      <c r="C368">
        <v>2024</v>
      </c>
      <c r="D368" t="s">
        <v>63</v>
      </c>
      <c r="E368">
        <v>62799.62</v>
      </c>
      <c r="F368">
        <v>80.2</v>
      </c>
      <c r="G368">
        <v>271</v>
      </c>
      <c r="H368">
        <v>97.3</v>
      </c>
      <c r="I368">
        <v>7.03</v>
      </c>
      <c r="J368">
        <v>143</v>
      </c>
      <c r="K368">
        <v>717</v>
      </c>
      <c r="L368">
        <v>661</v>
      </c>
      <c r="M368" t="s">
        <v>54</v>
      </c>
      <c r="N368">
        <v>5</v>
      </c>
      <c r="O368" t="s">
        <v>40</v>
      </c>
      <c r="P368">
        <v>35.4</v>
      </c>
      <c r="Q368">
        <v>1773</v>
      </c>
      <c r="R368">
        <v>4</v>
      </c>
      <c r="S368">
        <v>0</v>
      </c>
      <c r="T368" t="s">
        <v>41</v>
      </c>
      <c r="U368" t="s">
        <v>42</v>
      </c>
      <c r="V368">
        <v>8458</v>
      </c>
      <c r="W368">
        <v>3.7</v>
      </c>
      <c r="X368">
        <v>4</v>
      </c>
      <c r="Y368" t="s">
        <v>61</v>
      </c>
      <c r="Z368">
        <v>3.38</v>
      </c>
      <c r="AA368" t="s">
        <v>43</v>
      </c>
    </row>
    <row r="369" spans="1:27" x14ac:dyDescent="0.3">
      <c r="A369" t="s">
        <v>94</v>
      </c>
      <c r="B369" t="s">
        <v>116</v>
      </c>
      <c r="C369">
        <v>2025</v>
      </c>
      <c r="D369" t="s">
        <v>68</v>
      </c>
      <c r="E369">
        <v>91038.75</v>
      </c>
      <c r="F369">
        <v>55.9</v>
      </c>
      <c r="G369">
        <v>192</v>
      </c>
      <c r="H369">
        <v>81.8</v>
      </c>
      <c r="I369">
        <v>7.17</v>
      </c>
      <c r="J369">
        <v>149</v>
      </c>
      <c r="K369">
        <v>636</v>
      </c>
      <c r="L369">
        <v>591</v>
      </c>
      <c r="M369" t="s">
        <v>54</v>
      </c>
      <c r="N369">
        <v>7</v>
      </c>
      <c r="O369" t="s">
        <v>31</v>
      </c>
      <c r="P369">
        <v>64.5</v>
      </c>
      <c r="Q369">
        <v>2402</v>
      </c>
      <c r="R369">
        <v>5</v>
      </c>
      <c r="S369">
        <v>2</v>
      </c>
      <c r="T369" t="s">
        <v>32</v>
      </c>
      <c r="U369" t="s">
        <v>38</v>
      </c>
      <c r="V369">
        <v>26577</v>
      </c>
      <c r="W369">
        <v>3.8</v>
      </c>
      <c r="X369">
        <v>7</v>
      </c>
      <c r="Y369" t="s">
        <v>61</v>
      </c>
      <c r="Z369">
        <v>3.43</v>
      </c>
      <c r="AA369" t="s">
        <v>35</v>
      </c>
    </row>
    <row r="370" spans="1:27" x14ac:dyDescent="0.3">
      <c r="A370" t="s">
        <v>52</v>
      </c>
      <c r="B370" t="s">
        <v>80</v>
      </c>
      <c r="C370">
        <v>2024</v>
      </c>
      <c r="D370" t="s">
        <v>68</v>
      </c>
      <c r="E370">
        <v>130803.06</v>
      </c>
      <c r="F370">
        <v>83.1</v>
      </c>
      <c r="G370">
        <v>289</v>
      </c>
      <c r="H370">
        <v>227.9</v>
      </c>
      <c r="I370">
        <v>6.46</v>
      </c>
      <c r="J370">
        <v>150</v>
      </c>
      <c r="K370">
        <v>914</v>
      </c>
      <c r="L370">
        <v>861</v>
      </c>
      <c r="M370" t="s">
        <v>39</v>
      </c>
      <c r="N370">
        <v>5</v>
      </c>
      <c r="O370" t="s">
        <v>31</v>
      </c>
      <c r="P370">
        <v>77.3</v>
      </c>
      <c r="Q370">
        <v>2533</v>
      </c>
      <c r="R370">
        <v>4</v>
      </c>
      <c r="S370">
        <v>2</v>
      </c>
      <c r="T370" t="s">
        <v>47</v>
      </c>
      <c r="U370" t="s">
        <v>33</v>
      </c>
      <c r="V370">
        <v>105012</v>
      </c>
      <c r="W370">
        <v>4</v>
      </c>
      <c r="X370">
        <v>6</v>
      </c>
      <c r="Y370" t="s">
        <v>43</v>
      </c>
      <c r="Z370">
        <v>3.48</v>
      </c>
      <c r="AA370" t="s">
        <v>35</v>
      </c>
    </row>
    <row r="371" spans="1:27" x14ac:dyDescent="0.3">
      <c r="A371" t="s">
        <v>52</v>
      </c>
      <c r="B371" t="s">
        <v>53</v>
      </c>
      <c r="C371">
        <v>2025</v>
      </c>
      <c r="D371" t="s">
        <v>63</v>
      </c>
      <c r="E371">
        <v>69626.259999999995</v>
      </c>
      <c r="F371">
        <v>76.8</v>
      </c>
      <c r="G371">
        <v>249</v>
      </c>
      <c r="H371">
        <v>256</v>
      </c>
      <c r="I371">
        <v>6</v>
      </c>
      <c r="J371">
        <v>158</v>
      </c>
      <c r="K371">
        <v>502</v>
      </c>
      <c r="L371">
        <v>416</v>
      </c>
      <c r="M371" t="s">
        <v>39</v>
      </c>
      <c r="N371">
        <v>7</v>
      </c>
      <c r="O371" t="s">
        <v>65</v>
      </c>
      <c r="P371">
        <v>38.5</v>
      </c>
      <c r="Q371">
        <v>1522</v>
      </c>
      <c r="R371">
        <v>5</v>
      </c>
      <c r="S371">
        <v>3</v>
      </c>
      <c r="T371" t="s">
        <v>47</v>
      </c>
      <c r="U371" t="s">
        <v>38</v>
      </c>
      <c r="V371">
        <v>189686</v>
      </c>
      <c r="W371">
        <v>3.7</v>
      </c>
      <c r="X371">
        <v>5</v>
      </c>
      <c r="Y371" t="s">
        <v>43</v>
      </c>
      <c r="Z371">
        <v>3.24</v>
      </c>
      <c r="AA371" t="s">
        <v>35</v>
      </c>
    </row>
    <row r="372" spans="1:27" x14ac:dyDescent="0.3">
      <c r="A372" t="s">
        <v>52</v>
      </c>
      <c r="B372" t="s">
        <v>55</v>
      </c>
      <c r="C372">
        <v>2024</v>
      </c>
      <c r="D372" t="s">
        <v>50</v>
      </c>
      <c r="E372">
        <v>85409.4</v>
      </c>
      <c r="F372">
        <v>94.6</v>
      </c>
      <c r="G372">
        <v>338</v>
      </c>
      <c r="H372">
        <v>290.60000000000002</v>
      </c>
      <c r="I372">
        <v>5.5</v>
      </c>
      <c r="J372">
        <v>167</v>
      </c>
      <c r="K372">
        <v>614</v>
      </c>
      <c r="L372">
        <v>573</v>
      </c>
      <c r="M372" t="s">
        <v>30</v>
      </c>
      <c r="N372">
        <v>5</v>
      </c>
      <c r="O372" t="s">
        <v>65</v>
      </c>
      <c r="P372">
        <v>22</v>
      </c>
      <c r="Q372">
        <v>1500</v>
      </c>
      <c r="R372">
        <v>4</v>
      </c>
      <c r="S372">
        <v>2</v>
      </c>
      <c r="T372" t="s">
        <v>47</v>
      </c>
      <c r="U372" t="s">
        <v>38</v>
      </c>
      <c r="V372">
        <v>497556</v>
      </c>
      <c r="W372">
        <v>4.0999999999999996</v>
      </c>
      <c r="X372">
        <v>5</v>
      </c>
      <c r="Y372" t="s">
        <v>43</v>
      </c>
      <c r="Z372">
        <v>3.57</v>
      </c>
      <c r="AA372" t="s">
        <v>35</v>
      </c>
    </row>
    <row r="373" spans="1:27" x14ac:dyDescent="0.3">
      <c r="A373" t="s">
        <v>52</v>
      </c>
      <c r="B373" t="s">
        <v>53</v>
      </c>
      <c r="C373">
        <v>2026</v>
      </c>
      <c r="D373" t="s">
        <v>50</v>
      </c>
      <c r="E373">
        <v>153057.04</v>
      </c>
      <c r="F373">
        <v>85.2</v>
      </c>
      <c r="G373">
        <v>285</v>
      </c>
      <c r="H373">
        <v>338.3</v>
      </c>
      <c r="I373">
        <v>4.28</v>
      </c>
      <c r="J373">
        <v>186</v>
      </c>
      <c r="K373">
        <v>1000</v>
      </c>
      <c r="L373">
        <v>855</v>
      </c>
      <c r="M373" t="s">
        <v>54</v>
      </c>
      <c r="N373">
        <v>7</v>
      </c>
      <c r="O373" t="s">
        <v>57</v>
      </c>
      <c r="P373">
        <v>15</v>
      </c>
      <c r="Q373">
        <v>1574</v>
      </c>
      <c r="R373">
        <v>5</v>
      </c>
      <c r="S373">
        <v>2</v>
      </c>
      <c r="T373" t="s">
        <v>47</v>
      </c>
      <c r="U373" t="s">
        <v>33</v>
      </c>
      <c r="V373">
        <v>178740</v>
      </c>
      <c r="W373">
        <v>4.0999999999999996</v>
      </c>
      <c r="X373">
        <v>5</v>
      </c>
      <c r="Y373" t="s">
        <v>43</v>
      </c>
      <c r="Z373">
        <v>3.35</v>
      </c>
      <c r="AA373" t="s">
        <v>35</v>
      </c>
    </row>
    <row r="374" spans="1:27" x14ac:dyDescent="0.3">
      <c r="A374" t="s">
        <v>52</v>
      </c>
      <c r="B374" t="s">
        <v>80</v>
      </c>
      <c r="C374">
        <v>2023</v>
      </c>
      <c r="D374" t="s">
        <v>68</v>
      </c>
      <c r="E374">
        <v>121896.5</v>
      </c>
      <c r="F374">
        <v>64.2</v>
      </c>
      <c r="G374">
        <v>216</v>
      </c>
      <c r="H374">
        <v>291.3</v>
      </c>
      <c r="I374">
        <v>7.11</v>
      </c>
      <c r="J374">
        <v>145</v>
      </c>
      <c r="K374">
        <v>841</v>
      </c>
      <c r="L374">
        <v>748</v>
      </c>
      <c r="M374" t="s">
        <v>54</v>
      </c>
      <c r="N374">
        <v>7</v>
      </c>
      <c r="O374" t="s">
        <v>31</v>
      </c>
      <c r="P374">
        <v>77</v>
      </c>
      <c r="Q374">
        <v>2332</v>
      </c>
      <c r="R374">
        <v>5</v>
      </c>
      <c r="S374">
        <v>2</v>
      </c>
      <c r="T374" t="s">
        <v>47</v>
      </c>
      <c r="U374" t="s">
        <v>33</v>
      </c>
      <c r="V374">
        <v>186743</v>
      </c>
      <c r="W374">
        <v>3.6</v>
      </c>
      <c r="X374">
        <v>4</v>
      </c>
      <c r="Y374" t="s">
        <v>61</v>
      </c>
      <c r="Z374">
        <v>3.36</v>
      </c>
      <c r="AA374" t="s">
        <v>35</v>
      </c>
    </row>
    <row r="375" spans="1:27" x14ac:dyDescent="0.3">
      <c r="A375" t="s">
        <v>91</v>
      </c>
      <c r="B375" t="s">
        <v>92</v>
      </c>
      <c r="C375">
        <v>2025</v>
      </c>
      <c r="D375" t="s">
        <v>63</v>
      </c>
      <c r="E375">
        <v>66273.55</v>
      </c>
      <c r="F375">
        <v>72.400000000000006</v>
      </c>
      <c r="G375">
        <v>246</v>
      </c>
      <c r="H375">
        <v>51.7</v>
      </c>
      <c r="I375">
        <v>6.85</v>
      </c>
      <c r="J375">
        <v>154</v>
      </c>
      <c r="K375">
        <v>327</v>
      </c>
      <c r="L375">
        <v>326</v>
      </c>
      <c r="M375" t="s">
        <v>39</v>
      </c>
      <c r="N375">
        <v>5</v>
      </c>
      <c r="O375" t="s">
        <v>31</v>
      </c>
      <c r="P375">
        <v>74.8</v>
      </c>
      <c r="Q375">
        <v>2768</v>
      </c>
      <c r="R375">
        <v>5</v>
      </c>
      <c r="S375">
        <v>1</v>
      </c>
      <c r="T375" t="s">
        <v>32</v>
      </c>
      <c r="U375" t="s">
        <v>38</v>
      </c>
      <c r="V375">
        <v>30088</v>
      </c>
      <c r="W375">
        <v>3.2</v>
      </c>
      <c r="X375">
        <v>8</v>
      </c>
      <c r="Y375" t="s">
        <v>43</v>
      </c>
      <c r="Z375">
        <v>3.4</v>
      </c>
      <c r="AA375" t="s">
        <v>35</v>
      </c>
    </row>
    <row r="376" spans="1:27" x14ac:dyDescent="0.3">
      <c r="A376" t="s">
        <v>52</v>
      </c>
      <c r="B376" t="s">
        <v>55</v>
      </c>
      <c r="C376">
        <v>2024</v>
      </c>
      <c r="D376" t="s">
        <v>63</v>
      </c>
      <c r="E376">
        <v>43315.76</v>
      </c>
      <c r="F376">
        <v>61.7</v>
      </c>
      <c r="G376">
        <v>224</v>
      </c>
      <c r="H376">
        <v>301.3</v>
      </c>
      <c r="I376">
        <v>6.9</v>
      </c>
      <c r="J376">
        <v>136</v>
      </c>
      <c r="K376">
        <v>360</v>
      </c>
      <c r="L376">
        <v>277</v>
      </c>
      <c r="M376" t="s">
        <v>30</v>
      </c>
      <c r="N376">
        <v>5</v>
      </c>
      <c r="O376" t="s">
        <v>65</v>
      </c>
      <c r="P376">
        <v>17.399999999999999</v>
      </c>
      <c r="Q376">
        <v>1500</v>
      </c>
      <c r="R376">
        <v>5</v>
      </c>
      <c r="S376">
        <v>2</v>
      </c>
      <c r="T376" t="s">
        <v>47</v>
      </c>
      <c r="U376" t="s">
        <v>42</v>
      </c>
      <c r="V376">
        <v>424937</v>
      </c>
      <c r="W376">
        <v>3.7</v>
      </c>
      <c r="X376">
        <v>6</v>
      </c>
      <c r="Y376" t="s">
        <v>43</v>
      </c>
      <c r="Z376">
        <v>3.63</v>
      </c>
      <c r="AA376" t="s">
        <v>35</v>
      </c>
    </row>
    <row r="377" spans="1:27" x14ac:dyDescent="0.3">
      <c r="A377" t="s">
        <v>71</v>
      </c>
      <c r="B377" t="s">
        <v>75</v>
      </c>
      <c r="C377">
        <v>2022</v>
      </c>
      <c r="D377" t="s">
        <v>38</v>
      </c>
      <c r="E377">
        <v>36072.31</v>
      </c>
      <c r="F377">
        <v>77.7</v>
      </c>
      <c r="G377">
        <v>251</v>
      </c>
      <c r="H377">
        <v>60.8</v>
      </c>
      <c r="I377">
        <v>6.32</v>
      </c>
      <c r="J377">
        <v>154</v>
      </c>
      <c r="K377">
        <v>365</v>
      </c>
      <c r="L377">
        <v>296</v>
      </c>
      <c r="M377" t="s">
        <v>54</v>
      </c>
      <c r="N377">
        <v>7</v>
      </c>
      <c r="O377" t="s">
        <v>46</v>
      </c>
      <c r="P377">
        <v>71.3</v>
      </c>
      <c r="Q377">
        <v>1527</v>
      </c>
      <c r="R377">
        <v>4</v>
      </c>
      <c r="S377">
        <v>2</v>
      </c>
      <c r="T377" t="s">
        <v>73</v>
      </c>
      <c r="U377" t="s">
        <v>42</v>
      </c>
      <c r="V377">
        <v>159638</v>
      </c>
      <c r="W377">
        <v>3.5</v>
      </c>
      <c r="X377">
        <v>4</v>
      </c>
      <c r="Y377" t="s">
        <v>43</v>
      </c>
      <c r="Z377">
        <v>3.23</v>
      </c>
      <c r="AA377" t="s">
        <v>35</v>
      </c>
    </row>
    <row r="378" spans="1:27" x14ac:dyDescent="0.3">
      <c r="A378" t="s">
        <v>58</v>
      </c>
      <c r="B378" t="s">
        <v>111</v>
      </c>
      <c r="C378">
        <v>2025</v>
      </c>
      <c r="D378" t="s">
        <v>63</v>
      </c>
      <c r="E378">
        <v>127213.62</v>
      </c>
      <c r="F378">
        <v>61.6</v>
      </c>
      <c r="G378">
        <v>214</v>
      </c>
      <c r="H378">
        <v>99.5</v>
      </c>
      <c r="I378">
        <v>6.47</v>
      </c>
      <c r="J378">
        <v>146</v>
      </c>
      <c r="K378">
        <v>697</v>
      </c>
      <c r="L378">
        <v>636</v>
      </c>
      <c r="M378" t="s">
        <v>39</v>
      </c>
      <c r="N378">
        <v>5</v>
      </c>
      <c r="O378" t="s">
        <v>65</v>
      </c>
      <c r="P378">
        <v>35.799999999999997</v>
      </c>
      <c r="Q378">
        <v>1918</v>
      </c>
      <c r="R378">
        <v>4</v>
      </c>
      <c r="S378">
        <v>1</v>
      </c>
      <c r="T378" t="s">
        <v>32</v>
      </c>
      <c r="U378" t="s">
        <v>33</v>
      </c>
      <c r="V378">
        <v>74928</v>
      </c>
      <c r="W378">
        <v>3.8</v>
      </c>
      <c r="X378">
        <v>5</v>
      </c>
      <c r="Y378" t="s">
        <v>43</v>
      </c>
      <c r="Z378">
        <v>3.47</v>
      </c>
      <c r="AA378" t="s">
        <v>35</v>
      </c>
    </row>
    <row r="379" spans="1:27" x14ac:dyDescent="0.3">
      <c r="A379" t="s">
        <v>52</v>
      </c>
      <c r="B379" t="s">
        <v>86</v>
      </c>
      <c r="C379">
        <v>2024</v>
      </c>
      <c r="D379" t="s">
        <v>68</v>
      </c>
      <c r="E379">
        <v>79315.78</v>
      </c>
      <c r="F379">
        <v>60.6</v>
      </c>
      <c r="G379">
        <v>195</v>
      </c>
      <c r="H379">
        <v>277</v>
      </c>
      <c r="I379">
        <v>5.73</v>
      </c>
      <c r="J379">
        <v>164</v>
      </c>
      <c r="K379">
        <v>551</v>
      </c>
      <c r="L379">
        <v>541</v>
      </c>
      <c r="M379" t="s">
        <v>39</v>
      </c>
      <c r="N379">
        <v>7</v>
      </c>
      <c r="O379" t="s">
        <v>31</v>
      </c>
      <c r="P379">
        <v>62.3</v>
      </c>
      <c r="Q379">
        <v>2173</v>
      </c>
      <c r="R379">
        <v>5</v>
      </c>
      <c r="S379">
        <v>2</v>
      </c>
      <c r="T379" t="s">
        <v>47</v>
      </c>
      <c r="U379" t="s">
        <v>38</v>
      </c>
      <c r="V379">
        <v>122128</v>
      </c>
      <c r="W379">
        <v>3.7</v>
      </c>
      <c r="X379">
        <v>4</v>
      </c>
      <c r="Y379" t="s">
        <v>43</v>
      </c>
      <c r="Z379">
        <v>3.22</v>
      </c>
      <c r="AA379" t="s">
        <v>35</v>
      </c>
    </row>
    <row r="380" spans="1:27" x14ac:dyDescent="0.3">
      <c r="A380" t="s">
        <v>84</v>
      </c>
      <c r="B380" t="s">
        <v>106</v>
      </c>
      <c r="C380">
        <v>2023</v>
      </c>
      <c r="D380" t="s">
        <v>63</v>
      </c>
      <c r="E380">
        <v>35481.879999999997</v>
      </c>
      <c r="F380">
        <v>41</v>
      </c>
      <c r="G380">
        <v>173</v>
      </c>
      <c r="H380">
        <v>58.6</v>
      </c>
      <c r="I380">
        <v>6.38</v>
      </c>
      <c r="J380">
        <v>155</v>
      </c>
      <c r="K380">
        <v>202</v>
      </c>
      <c r="L380">
        <v>205</v>
      </c>
      <c r="M380" t="s">
        <v>54</v>
      </c>
      <c r="N380">
        <v>5</v>
      </c>
      <c r="O380" t="s">
        <v>56</v>
      </c>
      <c r="P380">
        <v>36.299999999999997</v>
      </c>
      <c r="Q380">
        <v>1677</v>
      </c>
      <c r="R380">
        <v>5</v>
      </c>
      <c r="S380">
        <v>1</v>
      </c>
      <c r="T380" t="s">
        <v>47</v>
      </c>
      <c r="U380" t="s">
        <v>42</v>
      </c>
      <c r="V380">
        <v>63701</v>
      </c>
      <c r="W380">
        <v>3.3</v>
      </c>
      <c r="X380">
        <v>4</v>
      </c>
      <c r="Y380" t="s">
        <v>43</v>
      </c>
      <c r="Z380">
        <v>4.22</v>
      </c>
      <c r="AA380" t="s">
        <v>35</v>
      </c>
    </row>
    <row r="381" spans="1:27" x14ac:dyDescent="0.3">
      <c r="A381" t="s">
        <v>71</v>
      </c>
      <c r="B381" t="s">
        <v>104</v>
      </c>
      <c r="C381">
        <v>2026</v>
      </c>
      <c r="D381" t="s">
        <v>68</v>
      </c>
      <c r="E381">
        <v>82657.259999999995</v>
      </c>
      <c r="F381">
        <v>83.9</v>
      </c>
      <c r="G381">
        <v>294</v>
      </c>
      <c r="H381">
        <v>66.599999999999994</v>
      </c>
      <c r="I381">
        <v>7.12</v>
      </c>
      <c r="J381">
        <v>153</v>
      </c>
      <c r="K381">
        <v>891</v>
      </c>
      <c r="L381">
        <v>772</v>
      </c>
      <c r="M381" t="s">
        <v>30</v>
      </c>
      <c r="N381">
        <v>7</v>
      </c>
      <c r="O381" t="s">
        <v>46</v>
      </c>
      <c r="P381">
        <v>72.599999999999994</v>
      </c>
      <c r="Q381">
        <v>1904</v>
      </c>
      <c r="R381">
        <v>5</v>
      </c>
      <c r="S381">
        <v>0</v>
      </c>
      <c r="T381" t="s">
        <v>73</v>
      </c>
      <c r="U381" t="s">
        <v>38</v>
      </c>
      <c r="V381">
        <v>156944</v>
      </c>
      <c r="W381">
        <v>3.5</v>
      </c>
      <c r="X381">
        <v>4</v>
      </c>
      <c r="Y381" t="s">
        <v>61</v>
      </c>
      <c r="Z381">
        <v>3.5</v>
      </c>
      <c r="AA381" t="s">
        <v>35</v>
      </c>
    </row>
    <row r="382" spans="1:27" x14ac:dyDescent="0.3">
      <c r="A382" t="s">
        <v>52</v>
      </c>
      <c r="B382" t="s">
        <v>64</v>
      </c>
      <c r="C382">
        <v>2025</v>
      </c>
      <c r="D382" t="s">
        <v>50</v>
      </c>
      <c r="E382">
        <v>137829.03</v>
      </c>
      <c r="F382">
        <v>95.3</v>
      </c>
      <c r="G382">
        <v>323</v>
      </c>
      <c r="H382">
        <v>324.7</v>
      </c>
      <c r="I382">
        <v>4.55</v>
      </c>
      <c r="J382">
        <v>187</v>
      </c>
      <c r="K382">
        <v>966</v>
      </c>
      <c r="L382">
        <v>876</v>
      </c>
      <c r="M382" t="s">
        <v>39</v>
      </c>
      <c r="N382">
        <v>5</v>
      </c>
      <c r="O382" t="s">
        <v>46</v>
      </c>
      <c r="P382">
        <v>70.2</v>
      </c>
      <c r="Q382">
        <v>1656</v>
      </c>
      <c r="R382">
        <v>3</v>
      </c>
      <c r="S382">
        <v>3</v>
      </c>
      <c r="T382" t="s">
        <v>47</v>
      </c>
      <c r="U382" t="s">
        <v>33</v>
      </c>
      <c r="V382">
        <v>239713</v>
      </c>
      <c r="W382">
        <v>3.9</v>
      </c>
      <c r="X382">
        <v>5</v>
      </c>
      <c r="Y382" t="s">
        <v>43</v>
      </c>
      <c r="Z382">
        <v>3.39</v>
      </c>
      <c r="AA382" t="s">
        <v>35</v>
      </c>
    </row>
    <row r="383" spans="1:27" x14ac:dyDescent="0.3">
      <c r="A383" t="s">
        <v>44</v>
      </c>
      <c r="B383" t="s">
        <v>126</v>
      </c>
      <c r="C383">
        <v>2025</v>
      </c>
      <c r="D383" t="s">
        <v>68</v>
      </c>
      <c r="E383">
        <v>70239.009999999995</v>
      </c>
      <c r="F383">
        <v>40.5</v>
      </c>
      <c r="G383">
        <v>150</v>
      </c>
      <c r="H383">
        <v>137.30000000000001</v>
      </c>
      <c r="I383">
        <v>5.25</v>
      </c>
      <c r="J383">
        <v>184</v>
      </c>
      <c r="K383">
        <v>989</v>
      </c>
      <c r="L383">
        <v>925</v>
      </c>
      <c r="M383" t="s">
        <v>39</v>
      </c>
      <c r="N383">
        <v>7</v>
      </c>
      <c r="O383" t="s">
        <v>46</v>
      </c>
      <c r="P383">
        <v>61.8</v>
      </c>
      <c r="Q383">
        <v>1577</v>
      </c>
      <c r="R383">
        <v>5</v>
      </c>
      <c r="S383">
        <v>1</v>
      </c>
      <c r="T383" t="s">
        <v>47</v>
      </c>
      <c r="U383" t="s">
        <v>38</v>
      </c>
      <c r="V383">
        <v>23483</v>
      </c>
      <c r="W383">
        <v>3.1</v>
      </c>
      <c r="X383">
        <v>4</v>
      </c>
      <c r="Y383" t="s">
        <v>43</v>
      </c>
      <c r="Z383">
        <v>3.7</v>
      </c>
      <c r="AA383" t="s">
        <v>35</v>
      </c>
    </row>
    <row r="384" spans="1:27" x14ac:dyDescent="0.3">
      <c r="A384" t="s">
        <v>91</v>
      </c>
      <c r="B384" t="s">
        <v>124</v>
      </c>
      <c r="C384">
        <v>2026</v>
      </c>
      <c r="D384" t="s">
        <v>68</v>
      </c>
      <c r="E384">
        <v>90499.68</v>
      </c>
      <c r="F384">
        <v>42.2</v>
      </c>
      <c r="G384">
        <v>167</v>
      </c>
      <c r="H384">
        <v>108.5</v>
      </c>
      <c r="I384">
        <v>7.99</v>
      </c>
      <c r="J384">
        <v>132</v>
      </c>
      <c r="K384">
        <v>739</v>
      </c>
      <c r="L384">
        <v>656</v>
      </c>
      <c r="M384" t="s">
        <v>39</v>
      </c>
      <c r="N384">
        <v>7</v>
      </c>
      <c r="O384" t="s">
        <v>57</v>
      </c>
      <c r="P384">
        <v>19.100000000000001</v>
      </c>
      <c r="Q384">
        <v>1618</v>
      </c>
      <c r="R384">
        <v>3</v>
      </c>
      <c r="S384">
        <v>2</v>
      </c>
      <c r="T384" t="s">
        <v>32</v>
      </c>
      <c r="U384" t="s">
        <v>38</v>
      </c>
      <c r="V384">
        <v>72987</v>
      </c>
      <c r="W384">
        <v>3.3</v>
      </c>
      <c r="X384">
        <v>7</v>
      </c>
      <c r="Y384" t="s">
        <v>61</v>
      </c>
      <c r="Z384">
        <v>3.96</v>
      </c>
      <c r="AA384" t="s">
        <v>35</v>
      </c>
    </row>
    <row r="385" spans="1:27" x14ac:dyDescent="0.3">
      <c r="A385" t="s">
        <v>94</v>
      </c>
      <c r="B385" t="s">
        <v>116</v>
      </c>
      <c r="C385">
        <v>2024</v>
      </c>
      <c r="D385" t="s">
        <v>50</v>
      </c>
      <c r="E385">
        <v>130131.59</v>
      </c>
      <c r="F385">
        <v>94</v>
      </c>
      <c r="G385">
        <v>322</v>
      </c>
      <c r="H385">
        <v>123.8</v>
      </c>
      <c r="I385">
        <v>5.61</v>
      </c>
      <c r="J385">
        <v>163</v>
      </c>
      <c r="K385">
        <v>1000</v>
      </c>
      <c r="L385">
        <v>858</v>
      </c>
      <c r="M385" t="s">
        <v>30</v>
      </c>
      <c r="N385">
        <v>7</v>
      </c>
      <c r="O385" t="s">
        <v>65</v>
      </c>
      <c r="P385">
        <v>37.700000000000003</v>
      </c>
      <c r="Q385">
        <v>1642</v>
      </c>
      <c r="R385">
        <v>4</v>
      </c>
      <c r="S385">
        <v>2</v>
      </c>
      <c r="T385" t="s">
        <v>32</v>
      </c>
      <c r="U385" t="s">
        <v>33</v>
      </c>
      <c r="V385">
        <v>36875</v>
      </c>
      <c r="W385">
        <v>3.6</v>
      </c>
      <c r="X385">
        <v>8</v>
      </c>
      <c r="Y385" t="s">
        <v>43</v>
      </c>
      <c r="Z385">
        <v>3.43</v>
      </c>
      <c r="AA385" t="s">
        <v>35</v>
      </c>
    </row>
    <row r="386" spans="1:27" x14ac:dyDescent="0.3">
      <c r="A386" t="s">
        <v>44</v>
      </c>
      <c r="B386" t="s">
        <v>45</v>
      </c>
      <c r="C386">
        <v>2024</v>
      </c>
      <c r="D386" t="s">
        <v>50</v>
      </c>
      <c r="E386">
        <v>56344.05</v>
      </c>
      <c r="F386">
        <v>94.4</v>
      </c>
      <c r="G386">
        <v>351</v>
      </c>
      <c r="H386">
        <v>75.400000000000006</v>
      </c>
      <c r="I386">
        <v>4.84</v>
      </c>
      <c r="J386">
        <v>176</v>
      </c>
      <c r="K386">
        <v>710</v>
      </c>
      <c r="L386">
        <v>584</v>
      </c>
      <c r="M386" t="s">
        <v>30</v>
      </c>
      <c r="N386">
        <v>7</v>
      </c>
      <c r="O386" t="s">
        <v>57</v>
      </c>
      <c r="P386">
        <v>17.2</v>
      </c>
      <c r="Q386">
        <v>1500</v>
      </c>
      <c r="R386">
        <v>5</v>
      </c>
      <c r="S386">
        <v>0</v>
      </c>
      <c r="T386" t="s">
        <v>47</v>
      </c>
      <c r="U386" t="s">
        <v>42</v>
      </c>
      <c r="V386">
        <v>12802</v>
      </c>
      <c r="W386">
        <v>3.8</v>
      </c>
      <c r="X386">
        <v>4</v>
      </c>
      <c r="Y386" t="s">
        <v>43</v>
      </c>
      <c r="Z386">
        <v>3.72</v>
      </c>
      <c r="AA386" t="s">
        <v>43</v>
      </c>
    </row>
    <row r="387" spans="1:27" x14ac:dyDescent="0.3">
      <c r="A387" t="s">
        <v>84</v>
      </c>
      <c r="B387" t="s">
        <v>99</v>
      </c>
      <c r="C387">
        <v>2024</v>
      </c>
      <c r="D387" t="s">
        <v>68</v>
      </c>
      <c r="E387">
        <v>59797.58</v>
      </c>
      <c r="F387">
        <v>46.4</v>
      </c>
      <c r="G387">
        <v>171</v>
      </c>
      <c r="H387">
        <v>93.5</v>
      </c>
      <c r="I387">
        <v>6.46</v>
      </c>
      <c r="J387">
        <v>154</v>
      </c>
      <c r="K387">
        <v>628</v>
      </c>
      <c r="L387">
        <v>589</v>
      </c>
      <c r="M387" t="s">
        <v>39</v>
      </c>
      <c r="N387">
        <v>4</v>
      </c>
      <c r="O387" t="s">
        <v>31</v>
      </c>
      <c r="P387">
        <v>56</v>
      </c>
      <c r="Q387">
        <v>2692</v>
      </c>
      <c r="R387">
        <v>4</v>
      </c>
      <c r="S387">
        <v>0</v>
      </c>
      <c r="T387" t="s">
        <v>47</v>
      </c>
      <c r="U387" t="s">
        <v>42</v>
      </c>
      <c r="V387">
        <v>57357</v>
      </c>
      <c r="W387">
        <v>3.1</v>
      </c>
      <c r="X387">
        <v>4</v>
      </c>
      <c r="Y387" t="s">
        <v>43</v>
      </c>
      <c r="Z387">
        <v>3.69</v>
      </c>
      <c r="AA387" t="s">
        <v>35</v>
      </c>
    </row>
    <row r="388" spans="1:27" x14ac:dyDescent="0.3">
      <c r="A388" t="s">
        <v>71</v>
      </c>
      <c r="B388" t="s">
        <v>90</v>
      </c>
      <c r="C388">
        <v>2023</v>
      </c>
      <c r="D388" t="s">
        <v>50</v>
      </c>
      <c r="E388">
        <v>100157.25</v>
      </c>
      <c r="F388">
        <v>105.4</v>
      </c>
      <c r="G388">
        <v>362</v>
      </c>
      <c r="H388">
        <v>110.2</v>
      </c>
      <c r="I388">
        <v>5.21</v>
      </c>
      <c r="J388">
        <v>177</v>
      </c>
      <c r="K388">
        <v>1000</v>
      </c>
      <c r="L388">
        <v>892</v>
      </c>
      <c r="M388" t="s">
        <v>39</v>
      </c>
      <c r="N388">
        <v>5</v>
      </c>
      <c r="O388" t="s">
        <v>31</v>
      </c>
      <c r="P388">
        <v>67.7</v>
      </c>
      <c r="Q388">
        <v>2399</v>
      </c>
      <c r="R388">
        <v>4</v>
      </c>
      <c r="S388">
        <v>1</v>
      </c>
      <c r="T388" t="s">
        <v>73</v>
      </c>
      <c r="U388" t="s">
        <v>33</v>
      </c>
      <c r="V388">
        <v>107443</v>
      </c>
      <c r="W388">
        <v>3.8</v>
      </c>
      <c r="X388">
        <v>5</v>
      </c>
      <c r="Y388" t="s">
        <v>43</v>
      </c>
      <c r="Z388">
        <v>3.43</v>
      </c>
      <c r="AA388" t="s">
        <v>35</v>
      </c>
    </row>
    <row r="389" spans="1:27" x14ac:dyDescent="0.3">
      <c r="A389" t="s">
        <v>52</v>
      </c>
      <c r="B389" t="s">
        <v>55</v>
      </c>
      <c r="C389">
        <v>2023</v>
      </c>
      <c r="D389" t="s">
        <v>63</v>
      </c>
      <c r="E389">
        <v>55299.28</v>
      </c>
      <c r="F389">
        <v>40.9</v>
      </c>
      <c r="G389">
        <v>150</v>
      </c>
      <c r="H389">
        <v>246.4</v>
      </c>
      <c r="I389">
        <v>6.71</v>
      </c>
      <c r="J389">
        <v>151</v>
      </c>
      <c r="K389">
        <v>380</v>
      </c>
      <c r="L389">
        <v>293</v>
      </c>
      <c r="M389" t="s">
        <v>54</v>
      </c>
      <c r="N389">
        <v>5</v>
      </c>
      <c r="O389" t="s">
        <v>56</v>
      </c>
      <c r="P389">
        <v>16.3</v>
      </c>
      <c r="Q389">
        <v>1605</v>
      </c>
      <c r="R389">
        <v>5</v>
      </c>
      <c r="S389">
        <v>2</v>
      </c>
      <c r="T389" t="s">
        <v>47</v>
      </c>
      <c r="U389" t="s">
        <v>42</v>
      </c>
      <c r="V389">
        <v>449181</v>
      </c>
      <c r="W389">
        <v>3.8</v>
      </c>
      <c r="X389">
        <v>4</v>
      </c>
      <c r="Y389" t="s">
        <v>43</v>
      </c>
      <c r="Z389">
        <v>3.67</v>
      </c>
      <c r="AA389" t="s">
        <v>35</v>
      </c>
    </row>
    <row r="390" spans="1:27" x14ac:dyDescent="0.3">
      <c r="A390" t="s">
        <v>44</v>
      </c>
      <c r="B390" t="s">
        <v>62</v>
      </c>
      <c r="C390">
        <v>2025</v>
      </c>
      <c r="D390" t="s">
        <v>50</v>
      </c>
      <c r="E390">
        <v>44798.27</v>
      </c>
      <c r="F390">
        <v>109.1</v>
      </c>
      <c r="G390">
        <v>375</v>
      </c>
      <c r="H390">
        <v>109.1</v>
      </c>
      <c r="I390">
        <v>5.22</v>
      </c>
      <c r="J390">
        <v>168</v>
      </c>
      <c r="K390">
        <v>493</v>
      </c>
      <c r="L390">
        <v>430</v>
      </c>
      <c r="M390" t="s">
        <v>54</v>
      </c>
      <c r="N390">
        <v>5</v>
      </c>
      <c r="O390" t="s">
        <v>56</v>
      </c>
      <c r="P390">
        <v>22.4</v>
      </c>
      <c r="Q390">
        <v>1636</v>
      </c>
      <c r="R390">
        <v>4</v>
      </c>
      <c r="S390">
        <v>0</v>
      </c>
      <c r="T390" t="s">
        <v>47</v>
      </c>
      <c r="U390" t="s">
        <v>42</v>
      </c>
      <c r="V390">
        <v>19461</v>
      </c>
      <c r="W390">
        <v>3.6</v>
      </c>
      <c r="X390">
        <v>4</v>
      </c>
      <c r="Y390" t="s">
        <v>43</v>
      </c>
      <c r="Z390">
        <v>3.44</v>
      </c>
      <c r="AA390" t="s">
        <v>43</v>
      </c>
    </row>
    <row r="391" spans="1:27" x14ac:dyDescent="0.3">
      <c r="A391" t="s">
        <v>84</v>
      </c>
      <c r="B391" t="s">
        <v>89</v>
      </c>
      <c r="C391">
        <v>2024</v>
      </c>
      <c r="D391" t="s">
        <v>29</v>
      </c>
      <c r="E391">
        <v>98104.320000000007</v>
      </c>
      <c r="F391">
        <v>80.3</v>
      </c>
      <c r="G391">
        <v>266</v>
      </c>
      <c r="H391">
        <v>224.7</v>
      </c>
      <c r="I391">
        <v>4.1900000000000004</v>
      </c>
      <c r="J391">
        <v>181</v>
      </c>
      <c r="K391">
        <v>1000</v>
      </c>
      <c r="L391">
        <v>873</v>
      </c>
      <c r="M391" t="s">
        <v>54</v>
      </c>
      <c r="N391">
        <v>7</v>
      </c>
      <c r="O391" t="s">
        <v>46</v>
      </c>
      <c r="P391">
        <v>69.400000000000006</v>
      </c>
      <c r="Q391">
        <v>1563</v>
      </c>
      <c r="R391">
        <v>4</v>
      </c>
      <c r="S391">
        <v>1</v>
      </c>
      <c r="T391" t="s">
        <v>47</v>
      </c>
      <c r="U391" t="s">
        <v>38</v>
      </c>
      <c r="V391">
        <v>47356</v>
      </c>
      <c r="W391">
        <v>3.6</v>
      </c>
      <c r="X391">
        <v>4</v>
      </c>
      <c r="Y391" t="s">
        <v>43</v>
      </c>
      <c r="Z391">
        <v>3.31</v>
      </c>
      <c r="AA391" t="s">
        <v>35</v>
      </c>
    </row>
    <row r="392" spans="1:27" x14ac:dyDescent="0.3">
      <c r="A392" t="s">
        <v>129</v>
      </c>
      <c r="B392" t="s">
        <v>130</v>
      </c>
      <c r="C392">
        <v>2025</v>
      </c>
      <c r="D392" t="s">
        <v>68</v>
      </c>
      <c r="E392">
        <v>55877.09</v>
      </c>
      <c r="F392">
        <v>51.9</v>
      </c>
      <c r="G392">
        <v>192</v>
      </c>
      <c r="H392">
        <v>144.5</v>
      </c>
      <c r="I392">
        <v>5.14</v>
      </c>
      <c r="J392">
        <v>166</v>
      </c>
      <c r="K392">
        <v>327</v>
      </c>
      <c r="L392">
        <v>284</v>
      </c>
      <c r="M392" t="s">
        <v>39</v>
      </c>
      <c r="N392">
        <v>5</v>
      </c>
      <c r="O392" t="s">
        <v>46</v>
      </c>
      <c r="P392">
        <v>65</v>
      </c>
      <c r="Q392">
        <v>1577</v>
      </c>
      <c r="R392">
        <v>5</v>
      </c>
      <c r="S392">
        <v>1</v>
      </c>
      <c r="T392" t="s">
        <v>131</v>
      </c>
      <c r="U392" t="s">
        <v>42</v>
      </c>
      <c r="V392">
        <v>15994</v>
      </c>
      <c r="W392">
        <v>3.3</v>
      </c>
      <c r="X392">
        <v>5</v>
      </c>
      <c r="Y392" t="s">
        <v>43</v>
      </c>
      <c r="Z392">
        <v>3.7</v>
      </c>
      <c r="AA392" t="s">
        <v>43</v>
      </c>
    </row>
    <row r="393" spans="1:27" x14ac:dyDescent="0.3">
      <c r="A393" t="s">
        <v>27</v>
      </c>
      <c r="B393" t="s">
        <v>93</v>
      </c>
      <c r="C393">
        <v>2024</v>
      </c>
      <c r="D393" t="s">
        <v>63</v>
      </c>
      <c r="E393">
        <v>32753.54</v>
      </c>
      <c r="F393">
        <v>42.3</v>
      </c>
      <c r="G393">
        <v>178</v>
      </c>
      <c r="H393">
        <v>134.1</v>
      </c>
      <c r="I393">
        <v>7.05</v>
      </c>
      <c r="J393">
        <v>139</v>
      </c>
      <c r="K393">
        <v>184</v>
      </c>
      <c r="L393">
        <v>200</v>
      </c>
      <c r="M393" t="s">
        <v>54</v>
      </c>
      <c r="N393">
        <v>5</v>
      </c>
      <c r="O393" t="s">
        <v>31</v>
      </c>
      <c r="P393">
        <v>64.599999999999994</v>
      </c>
      <c r="Q393">
        <v>2243</v>
      </c>
      <c r="R393">
        <v>5</v>
      </c>
      <c r="S393">
        <v>1</v>
      </c>
      <c r="T393" t="s">
        <v>32</v>
      </c>
      <c r="U393" t="s">
        <v>74</v>
      </c>
      <c r="V393">
        <v>224478</v>
      </c>
      <c r="W393">
        <v>3.2</v>
      </c>
      <c r="X393">
        <v>3</v>
      </c>
      <c r="Y393" t="s">
        <v>61</v>
      </c>
      <c r="Z393">
        <v>4.21</v>
      </c>
      <c r="AA393" t="s">
        <v>35</v>
      </c>
    </row>
    <row r="394" spans="1:27" x14ac:dyDescent="0.3">
      <c r="A394" t="s">
        <v>27</v>
      </c>
      <c r="B394" t="s">
        <v>93</v>
      </c>
      <c r="C394">
        <v>2022</v>
      </c>
      <c r="D394" t="s">
        <v>68</v>
      </c>
      <c r="E394">
        <v>73902.850000000006</v>
      </c>
      <c r="F394">
        <v>64</v>
      </c>
      <c r="G394">
        <v>231</v>
      </c>
      <c r="H394">
        <v>121.1</v>
      </c>
      <c r="I394">
        <v>5.91</v>
      </c>
      <c r="J394">
        <v>168</v>
      </c>
      <c r="K394">
        <v>839</v>
      </c>
      <c r="L394">
        <v>757</v>
      </c>
      <c r="M394" t="s">
        <v>39</v>
      </c>
      <c r="N394">
        <v>7</v>
      </c>
      <c r="O394" t="s">
        <v>46</v>
      </c>
      <c r="P394">
        <v>60.7</v>
      </c>
      <c r="Q394">
        <v>1754</v>
      </c>
      <c r="R394">
        <v>4</v>
      </c>
      <c r="S394">
        <v>0</v>
      </c>
      <c r="T394" t="s">
        <v>32</v>
      </c>
      <c r="U394" t="s">
        <v>38</v>
      </c>
      <c r="V394">
        <v>251288</v>
      </c>
      <c r="W394">
        <v>3.3</v>
      </c>
      <c r="X394">
        <v>4</v>
      </c>
      <c r="Y394" t="s">
        <v>43</v>
      </c>
      <c r="Z394">
        <v>3.61</v>
      </c>
      <c r="AA394" t="s">
        <v>35</v>
      </c>
    </row>
    <row r="395" spans="1:27" x14ac:dyDescent="0.3">
      <c r="A395" t="s">
        <v>84</v>
      </c>
      <c r="B395" t="s">
        <v>106</v>
      </c>
      <c r="C395">
        <v>2023</v>
      </c>
      <c r="D395" t="s">
        <v>63</v>
      </c>
      <c r="E395">
        <v>52080.38</v>
      </c>
      <c r="F395">
        <v>54.7</v>
      </c>
      <c r="G395">
        <v>222</v>
      </c>
      <c r="H395">
        <v>99.4</v>
      </c>
      <c r="I395">
        <v>6.86</v>
      </c>
      <c r="J395">
        <v>143</v>
      </c>
      <c r="K395">
        <v>553</v>
      </c>
      <c r="L395">
        <v>507</v>
      </c>
      <c r="M395" t="s">
        <v>54</v>
      </c>
      <c r="N395">
        <v>5</v>
      </c>
      <c r="O395" t="s">
        <v>46</v>
      </c>
      <c r="P395">
        <v>79.8</v>
      </c>
      <c r="Q395">
        <v>1632</v>
      </c>
      <c r="R395">
        <v>4</v>
      </c>
      <c r="S395">
        <v>1</v>
      </c>
      <c r="T395" t="s">
        <v>47</v>
      </c>
      <c r="U395" t="s">
        <v>42</v>
      </c>
      <c r="V395">
        <v>72053</v>
      </c>
      <c r="W395">
        <v>3.4</v>
      </c>
      <c r="X395">
        <v>3</v>
      </c>
      <c r="Y395" t="s">
        <v>43</v>
      </c>
      <c r="Z395">
        <v>4.0599999999999996</v>
      </c>
      <c r="AA395" t="s">
        <v>35</v>
      </c>
    </row>
    <row r="396" spans="1:27" x14ac:dyDescent="0.3">
      <c r="A396" t="s">
        <v>71</v>
      </c>
      <c r="B396" t="s">
        <v>104</v>
      </c>
      <c r="C396">
        <v>2025</v>
      </c>
      <c r="D396" t="s">
        <v>68</v>
      </c>
      <c r="E396">
        <v>22600.22</v>
      </c>
      <c r="F396">
        <v>66.900000000000006</v>
      </c>
      <c r="G396">
        <v>206</v>
      </c>
      <c r="H396">
        <v>59</v>
      </c>
      <c r="I396">
        <v>6.69</v>
      </c>
      <c r="J396">
        <v>146</v>
      </c>
      <c r="K396">
        <v>176</v>
      </c>
      <c r="L396">
        <v>200</v>
      </c>
      <c r="M396" t="s">
        <v>39</v>
      </c>
      <c r="N396">
        <v>7</v>
      </c>
      <c r="O396" t="s">
        <v>56</v>
      </c>
      <c r="P396">
        <v>22.8</v>
      </c>
      <c r="Q396">
        <v>1771</v>
      </c>
      <c r="R396">
        <v>5</v>
      </c>
      <c r="S396">
        <v>0</v>
      </c>
      <c r="T396" t="s">
        <v>73</v>
      </c>
      <c r="U396" t="s">
        <v>74</v>
      </c>
      <c r="V396">
        <v>131689</v>
      </c>
      <c r="W396">
        <v>3.2</v>
      </c>
      <c r="X396">
        <v>4</v>
      </c>
      <c r="Y396" t="s">
        <v>43</v>
      </c>
      <c r="Z396">
        <v>3.08</v>
      </c>
      <c r="AA396" t="s">
        <v>35</v>
      </c>
    </row>
    <row r="397" spans="1:27" x14ac:dyDescent="0.3">
      <c r="A397" t="s">
        <v>102</v>
      </c>
      <c r="B397" t="s">
        <v>136</v>
      </c>
      <c r="C397">
        <v>2024</v>
      </c>
      <c r="D397" t="s">
        <v>50</v>
      </c>
      <c r="E397">
        <v>99040.38</v>
      </c>
      <c r="F397">
        <v>77.599999999999994</v>
      </c>
      <c r="G397">
        <v>294</v>
      </c>
      <c r="H397">
        <v>52</v>
      </c>
      <c r="I397">
        <v>5.14</v>
      </c>
      <c r="J397">
        <v>169</v>
      </c>
      <c r="K397">
        <v>1000</v>
      </c>
      <c r="L397">
        <v>900</v>
      </c>
      <c r="M397" t="s">
        <v>39</v>
      </c>
      <c r="N397">
        <v>5</v>
      </c>
      <c r="O397" t="s">
        <v>57</v>
      </c>
      <c r="P397">
        <v>38.200000000000003</v>
      </c>
      <c r="Q397">
        <v>1864</v>
      </c>
      <c r="R397">
        <v>5</v>
      </c>
      <c r="S397">
        <v>0</v>
      </c>
      <c r="T397" t="s">
        <v>47</v>
      </c>
      <c r="U397" t="s">
        <v>38</v>
      </c>
      <c r="V397">
        <v>10950</v>
      </c>
      <c r="W397">
        <v>3.8</v>
      </c>
      <c r="X397">
        <v>6</v>
      </c>
      <c r="Y397" t="s">
        <v>43</v>
      </c>
      <c r="Z397">
        <v>3.79</v>
      </c>
      <c r="AA397" t="s">
        <v>43</v>
      </c>
    </row>
    <row r="398" spans="1:27" x14ac:dyDescent="0.3">
      <c r="A398" t="s">
        <v>58</v>
      </c>
      <c r="B398" t="s">
        <v>105</v>
      </c>
      <c r="C398">
        <v>2026</v>
      </c>
      <c r="D398" t="s">
        <v>29</v>
      </c>
      <c r="E398">
        <v>108052.79</v>
      </c>
      <c r="F398">
        <v>111.2</v>
      </c>
      <c r="G398">
        <v>390</v>
      </c>
      <c r="H398">
        <v>197.2</v>
      </c>
      <c r="I398">
        <v>3.61</v>
      </c>
      <c r="J398">
        <v>196</v>
      </c>
      <c r="K398">
        <v>517</v>
      </c>
      <c r="L398">
        <v>476</v>
      </c>
      <c r="M398" t="s">
        <v>30</v>
      </c>
      <c r="N398">
        <v>7</v>
      </c>
      <c r="O398" t="s">
        <v>56</v>
      </c>
      <c r="P398">
        <v>36.9</v>
      </c>
      <c r="Q398">
        <v>2011</v>
      </c>
      <c r="R398">
        <v>5</v>
      </c>
      <c r="S398">
        <v>2</v>
      </c>
      <c r="T398" t="s">
        <v>32</v>
      </c>
      <c r="U398" t="s">
        <v>33</v>
      </c>
      <c r="V398">
        <v>49733</v>
      </c>
      <c r="W398">
        <v>4</v>
      </c>
      <c r="X398">
        <v>5</v>
      </c>
      <c r="Y398" t="s">
        <v>34</v>
      </c>
      <c r="Z398">
        <v>3.51</v>
      </c>
      <c r="AA398" t="s">
        <v>35</v>
      </c>
    </row>
    <row r="399" spans="1:27" x14ac:dyDescent="0.3">
      <c r="A399" t="s">
        <v>27</v>
      </c>
      <c r="B399" t="s">
        <v>28</v>
      </c>
      <c r="C399">
        <v>2023</v>
      </c>
      <c r="D399" t="s">
        <v>29</v>
      </c>
      <c r="E399">
        <v>50097.36</v>
      </c>
      <c r="F399">
        <v>93.7</v>
      </c>
      <c r="G399">
        <v>319</v>
      </c>
      <c r="H399">
        <v>216.1</v>
      </c>
      <c r="I399">
        <v>4.32</v>
      </c>
      <c r="J399">
        <v>182</v>
      </c>
      <c r="K399">
        <v>403</v>
      </c>
      <c r="L399">
        <v>349</v>
      </c>
      <c r="M399" t="s">
        <v>54</v>
      </c>
      <c r="N399">
        <v>7</v>
      </c>
      <c r="O399" t="s">
        <v>46</v>
      </c>
      <c r="P399">
        <v>77.400000000000006</v>
      </c>
      <c r="Q399">
        <v>1844</v>
      </c>
      <c r="R399">
        <v>4</v>
      </c>
      <c r="S399">
        <v>0</v>
      </c>
      <c r="T399" t="s">
        <v>32</v>
      </c>
      <c r="U399" t="s">
        <v>42</v>
      </c>
      <c r="V399">
        <v>238954</v>
      </c>
      <c r="W399">
        <v>3.7</v>
      </c>
      <c r="X399">
        <v>4</v>
      </c>
      <c r="Y399" t="s">
        <v>43</v>
      </c>
      <c r="Z399">
        <v>3.4</v>
      </c>
      <c r="AA399" t="s">
        <v>35</v>
      </c>
    </row>
    <row r="400" spans="1:27" x14ac:dyDescent="0.3">
      <c r="A400" t="s">
        <v>44</v>
      </c>
      <c r="B400" t="s">
        <v>62</v>
      </c>
      <c r="C400">
        <v>2025</v>
      </c>
      <c r="D400" t="s">
        <v>68</v>
      </c>
      <c r="E400">
        <v>35979.300000000003</v>
      </c>
      <c r="F400">
        <v>56.1</v>
      </c>
      <c r="G400">
        <v>209</v>
      </c>
      <c r="H400">
        <v>140.30000000000001</v>
      </c>
      <c r="I400">
        <v>7.89</v>
      </c>
      <c r="J400">
        <v>124</v>
      </c>
      <c r="K400">
        <v>347</v>
      </c>
      <c r="L400">
        <v>326</v>
      </c>
      <c r="M400" t="s">
        <v>39</v>
      </c>
      <c r="N400">
        <v>5</v>
      </c>
      <c r="O400" t="s">
        <v>40</v>
      </c>
      <c r="P400">
        <v>55.3</v>
      </c>
      <c r="Q400">
        <v>1752</v>
      </c>
      <c r="R400">
        <v>4</v>
      </c>
      <c r="S400">
        <v>1</v>
      </c>
      <c r="T400" t="s">
        <v>47</v>
      </c>
      <c r="U400" t="s">
        <v>42</v>
      </c>
      <c r="V400">
        <v>25503</v>
      </c>
      <c r="W400">
        <v>3.6</v>
      </c>
      <c r="X400">
        <v>4</v>
      </c>
      <c r="Y400" t="s">
        <v>61</v>
      </c>
      <c r="Z400">
        <v>3.73</v>
      </c>
      <c r="AA400" t="s">
        <v>35</v>
      </c>
    </row>
    <row r="401" spans="1:27" x14ac:dyDescent="0.3">
      <c r="A401" t="s">
        <v>44</v>
      </c>
      <c r="B401" t="s">
        <v>110</v>
      </c>
      <c r="C401">
        <v>2025</v>
      </c>
      <c r="D401" t="s">
        <v>29</v>
      </c>
      <c r="E401">
        <v>57051.32</v>
      </c>
      <c r="F401">
        <v>98.6</v>
      </c>
      <c r="G401">
        <v>344</v>
      </c>
      <c r="H401">
        <v>244.5</v>
      </c>
      <c r="I401">
        <v>2.93</v>
      </c>
      <c r="J401">
        <v>200</v>
      </c>
      <c r="K401">
        <v>722</v>
      </c>
      <c r="L401">
        <v>656</v>
      </c>
      <c r="M401" t="s">
        <v>54</v>
      </c>
      <c r="N401">
        <v>7</v>
      </c>
      <c r="O401" t="s">
        <v>40</v>
      </c>
      <c r="P401">
        <v>54.9</v>
      </c>
      <c r="Q401">
        <v>2113</v>
      </c>
      <c r="R401">
        <v>4</v>
      </c>
      <c r="S401">
        <v>1</v>
      </c>
      <c r="T401" t="s">
        <v>47</v>
      </c>
      <c r="U401" t="s">
        <v>42</v>
      </c>
      <c r="V401">
        <v>13660</v>
      </c>
      <c r="W401">
        <v>3.7</v>
      </c>
      <c r="X401">
        <v>4</v>
      </c>
      <c r="Y401" t="s">
        <v>34</v>
      </c>
      <c r="Z401">
        <v>3.49</v>
      </c>
      <c r="AA401" t="s">
        <v>43</v>
      </c>
    </row>
    <row r="402" spans="1:27" x14ac:dyDescent="0.3">
      <c r="A402" t="s">
        <v>52</v>
      </c>
      <c r="B402" t="s">
        <v>55</v>
      </c>
      <c r="C402">
        <v>2025</v>
      </c>
      <c r="D402" t="s">
        <v>63</v>
      </c>
      <c r="E402">
        <v>109970.08</v>
      </c>
      <c r="F402">
        <v>60</v>
      </c>
      <c r="G402">
        <v>194</v>
      </c>
      <c r="H402">
        <v>200.5</v>
      </c>
      <c r="I402">
        <v>5.74</v>
      </c>
      <c r="J402">
        <v>165</v>
      </c>
      <c r="K402">
        <v>780</v>
      </c>
      <c r="L402">
        <v>711</v>
      </c>
      <c r="M402" t="s">
        <v>54</v>
      </c>
      <c r="N402">
        <v>5</v>
      </c>
      <c r="O402" t="s">
        <v>57</v>
      </c>
      <c r="P402">
        <v>16.8</v>
      </c>
      <c r="Q402">
        <v>1709</v>
      </c>
      <c r="R402">
        <v>4</v>
      </c>
      <c r="S402">
        <v>3</v>
      </c>
      <c r="T402" t="s">
        <v>47</v>
      </c>
      <c r="U402" t="s">
        <v>33</v>
      </c>
      <c r="V402">
        <v>456748</v>
      </c>
      <c r="W402">
        <v>3.5</v>
      </c>
      <c r="X402">
        <v>6</v>
      </c>
      <c r="Y402" t="s">
        <v>43</v>
      </c>
      <c r="Z402">
        <v>3.23</v>
      </c>
      <c r="AA402" t="s">
        <v>35</v>
      </c>
    </row>
    <row r="403" spans="1:27" x14ac:dyDescent="0.3">
      <c r="A403" t="s">
        <v>94</v>
      </c>
      <c r="B403" t="s">
        <v>116</v>
      </c>
      <c r="C403">
        <v>2024</v>
      </c>
      <c r="D403" t="s">
        <v>50</v>
      </c>
      <c r="E403">
        <v>92779.16</v>
      </c>
      <c r="F403">
        <v>80</v>
      </c>
      <c r="G403">
        <v>260</v>
      </c>
      <c r="H403">
        <v>134.69999999999999</v>
      </c>
      <c r="I403">
        <v>4.62</v>
      </c>
      <c r="J403">
        <v>178</v>
      </c>
      <c r="K403">
        <v>629</v>
      </c>
      <c r="L403">
        <v>553</v>
      </c>
      <c r="M403" t="s">
        <v>54</v>
      </c>
      <c r="N403">
        <v>7</v>
      </c>
      <c r="O403" t="s">
        <v>56</v>
      </c>
      <c r="P403">
        <v>15.8</v>
      </c>
      <c r="Q403">
        <v>1511</v>
      </c>
      <c r="R403">
        <v>4</v>
      </c>
      <c r="S403">
        <v>1</v>
      </c>
      <c r="T403" t="s">
        <v>32</v>
      </c>
      <c r="U403" t="s">
        <v>38</v>
      </c>
      <c r="V403">
        <v>22988</v>
      </c>
      <c r="W403">
        <v>3.6</v>
      </c>
      <c r="X403">
        <v>6</v>
      </c>
      <c r="Y403" t="s">
        <v>43</v>
      </c>
      <c r="Z403">
        <v>3.25</v>
      </c>
      <c r="AA403" t="s">
        <v>35</v>
      </c>
    </row>
    <row r="404" spans="1:27" x14ac:dyDescent="0.3">
      <c r="A404" t="s">
        <v>76</v>
      </c>
      <c r="B404" t="s">
        <v>117</v>
      </c>
      <c r="C404">
        <v>2025</v>
      </c>
      <c r="D404" t="s">
        <v>68</v>
      </c>
      <c r="E404">
        <v>65007.57</v>
      </c>
      <c r="F404">
        <v>44.2</v>
      </c>
      <c r="G404">
        <v>150</v>
      </c>
      <c r="H404">
        <v>125</v>
      </c>
      <c r="I404">
        <v>5.41</v>
      </c>
      <c r="J404">
        <v>174</v>
      </c>
      <c r="K404">
        <v>772</v>
      </c>
      <c r="L404">
        <v>707</v>
      </c>
      <c r="M404" t="s">
        <v>39</v>
      </c>
      <c r="N404">
        <v>7</v>
      </c>
      <c r="O404" t="s">
        <v>56</v>
      </c>
      <c r="P404">
        <v>15.3</v>
      </c>
      <c r="Q404">
        <v>1717</v>
      </c>
      <c r="R404">
        <v>4</v>
      </c>
      <c r="S404">
        <v>1</v>
      </c>
      <c r="T404" t="s">
        <v>51</v>
      </c>
      <c r="U404" t="s">
        <v>38</v>
      </c>
      <c r="V404">
        <v>138781</v>
      </c>
      <c r="W404">
        <v>3</v>
      </c>
      <c r="X404">
        <v>4</v>
      </c>
      <c r="Y404" t="s">
        <v>43</v>
      </c>
      <c r="Z404">
        <v>3.39</v>
      </c>
      <c r="AA404" t="s">
        <v>35</v>
      </c>
    </row>
    <row r="405" spans="1:27" x14ac:dyDescent="0.3">
      <c r="A405" t="s">
        <v>58</v>
      </c>
      <c r="B405" t="s">
        <v>59</v>
      </c>
      <c r="C405">
        <v>2023</v>
      </c>
      <c r="D405" t="s">
        <v>50</v>
      </c>
      <c r="E405">
        <v>123138.78</v>
      </c>
      <c r="F405">
        <v>81.2</v>
      </c>
      <c r="G405">
        <v>263</v>
      </c>
      <c r="H405">
        <v>135.19999999999999</v>
      </c>
      <c r="I405">
        <v>5.51</v>
      </c>
      <c r="J405">
        <v>174</v>
      </c>
      <c r="K405">
        <v>664</v>
      </c>
      <c r="L405">
        <v>636</v>
      </c>
      <c r="M405" t="s">
        <v>30</v>
      </c>
      <c r="N405">
        <v>7</v>
      </c>
      <c r="O405" t="s">
        <v>31</v>
      </c>
      <c r="P405">
        <v>54.4</v>
      </c>
      <c r="Q405">
        <v>2004</v>
      </c>
      <c r="R405">
        <v>5</v>
      </c>
      <c r="S405">
        <v>1</v>
      </c>
      <c r="T405" t="s">
        <v>32</v>
      </c>
      <c r="U405" t="s">
        <v>33</v>
      </c>
      <c r="V405">
        <v>65127</v>
      </c>
      <c r="W405">
        <v>3.8</v>
      </c>
      <c r="X405">
        <v>5</v>
      </c>
      <c r="Y405" t="s">
        <v>43</v>
      </c>
      <c r="Z405">
        <v>3.24</v>
      </c>
      <c r="AA405" t="s">
        <v>35</v>
      </c>
    </row>
    <row r="406" spans="1:27" x14ac:dyDescent="0.3">
      <c r="A406" t="s">
        <v>71</v>
      </c>
      <c r="B406" t="s">
        <v>75</v>
      </c>
      <c r="C406">
        <v>2020</v>
      </c>
      <c r="D406" t="s">
        <v>29</v>
      </c>
      <c r="E406">
        <v>102787.75</v>
      </c>
      <c r="F406">
        <v>92.6</v>
      </c>
      <c r="G406">
        <v>323</v>
      </c>
      <c r="H406">
        <v>210.6</v>
      </c>
      <c r="I406">
        <v>3.62</v>
      </c>
      <c r="J406">
        <v>194</v>
      </c>
      <c r="K406">
        <v>1000</v>
      </c>
      <c r="L406">
        <v>913</v>
      </c>
      <c r="M406" t="s">
        <v>54</v>
      </c>
      <c r="N406">
        <v>5</v>
      </c>
      <c r="O406" t="s">
        <v>46</v>
      </c>
      <c r="P406">
        <v>70</v>
      </c>
      <c r="Q406">
        <v>1500</v>
      </c>
      <c r="R406">
        <v>4</v>
      </c>
      <c r="S406">
        <v>1</v>
      </c>
      <c r="T406" t="s">
        <v>73</v>
      </c>
      <c r="U406" t="s">
        <v>33</v>
      </c>
      <c r="V406">
        <v>117639</v>
      </c>
      <c r="W406">
        <v>3.8</v>
      </c>
      <c r="X406">
        <v>5</v>
      </c>
      <c r="Y406" t="s">
        <v>34</v>
      </c>
      <c r="Z406">
        <v>3.49</v>
      </c>
      <c r="AA406" t="s">
        <v>35</v>
      </c>
    </row>
    <row r="407" spans="1:27" x14ac:dyDescent="0.3">
      <c r="A407" t="s">
        <v>94</v>
      </c>
      <c r="B407" t="s">
        <v>116</v>
      </c>
      <c r="C407">
        <v>2025</v>
      </c>
      <c r="D407" t="s">
        <v>63</v>
      </c>
      <c r="E407">
        <v>79195.78</v>
      </c>
      <c r="F407">
        <v>74.7</v>
      </c>
      <c r="G407">
        <v>275</v>
      </c>
      <c r="H407">
        <v>130.6</v>
      </c>
      <c r="I407">
        <v>5.49</v>
      </c>
      <c r="J407">
        <v>162</v>
      </c>
      <c r="K407">
        <v>474</v>
      </c>
      <c r="L407">
        <v>339</v>
      </c>
      <c r="M407" t="s">
        <v>39</v>
      </c>
      <c r="N407">
        <v>5</v>
      </c>
      <c r="O407" t="s">
        <v>65</v>
      </c>
      <c r="P407">
        <v>32.700000000000003</v>
      </c>
      <c r="Q407">
        <v>1535</v>
      </c>
      <c r="R407">
        <v>4</v>
      </c>
      <c r="S407">
        <v>1</v>
      </c>
      <c r="T407" t="s">
        <v>32</v>
      </c>
      <c r="U407" t="s">
        <v>38</v>
      </c>
      <c r="V407">
        <v>62967</v>
      </c>
      <c r="W407">
        <v>3.6</v>
      </c>
      <c r="X407">
        <v>6</v>
      </c>
      <c r="Y407" t="s">
        <v>43</v>
      </c>
      <c r="Z407">
        <v>3.68</v>
      </c>
      <c r="AA407" t="s">
        <v>35</v>
      </c>
    </row>
    <row r="408" spans="1:27" x14ac:dyDescent="0.3">
      <c r="A408" t="s">
        <v>27</v>
      </c>
      <c r="B408" t="s">
        <v>78</v>
      </c>
      <c r="C408">
        <v>2024</v>
      </c>
      <c r="D408" t="s">
        <v>38</v>
      </c>
      <c r="E408">
        <v>93014.64</v>
      </c>
      <c r="F408">
        <v>70.2</v>
      </c>
      <c r="G408">
        <v>255</v>
      </c>
      <c r="H408">
        <v>75.2</v>
      </c>
      <c r="I408">
        <v>5.0599999999999996</v>
      </c>
      <c r="J408">
        <v>169</v>
      </c>
      <c r="K408">
        <v>1000</v>
      </c>
      <c r="L408">
        <v>941</v>
      </c>
      <c r="M408" t="s">
        <v>30</v>
      </c>
      <c r="N408">
        <v>5</v>
      </c>
      <c r="O408" t="s">
        <v>31</v>
      </c>
      <c r="P408">
        <v>78.3</v>
      </c>
      <c r="Q408">
        <v>2324</v>
      </c>
      <c r="R408">
        <v>5</v>
      </c>
      <c r="S408">
        <v>1</v>
      </c>
      <c r="T408" t="s">
        <v>32</v>
      </c>
      <c r="U408" t="s">
        <v>38</v>
      </c>
      <c r="V408">
        <v>264436</v>
      </c>
      <c r="W408">
        <v>3.3</v>
      </c>
      <c r="X408">
        <v>4</v>
      </c>
      <c r="Y408" t="s">
        <v>43</v>
      </c>
      <c r="Z408">
        <v>3.63</v>
      </c>
      <c r="AA408" t="s">
        <v>35</v>
      </c>
    </row>
    <row r="409" spans="1:27" x14ac:dyDescent="0.3">
      <c r="A409" t="s">
        <v>52</v>
      </c>
      <c r="B409" t="s">
        <v>64</v>
      </c>
      <c r="C409">
        <v>2023</v>
      </c>
      <c r="D409" t="s">
        <v>38</v>
      </c>
      <c r="E409">
        <v>131294.35999999999</v>
      </c>
      <c r="F409">
        <v>66</v>
      </c>
      <c r="G409">
        <v>236</v>
      </c>
      <c r="H409">
        <v>230.3</v>
      </c>
      <c r="I409">
        <v>6.29</v>
      </c>
      <c r="J409">
        <v>159</v>
      </c>
      <c r="K409">
        <v>939</v>
      </c>
      <c r="L409">
        <v>845</v>
      </c>
      <c r="M409" t="s">
        <v>54</v>
      </c>
      <c r="N409">
        <v>5</v>
      </c>
      <c r="O409" t="s">
        <v>40</v>
      </c>
      <c r="P409">
        <v>52.7</v>
      </c>
      <c r="Q409">
        <v>2015</v>
      </c>
      <c r="R409">
        <v>4</v>
      </c>
      <c r="S409">
        <v>2</v>
      </c>
      <c r="T409" t="s">
        <v>47</v>
      </c>
      <c r="U409" t="s">
        <v>33</v>
      </c>
      <c r="V409">
        <v>154508</v>
      </c>
      <c r="W409">
        <v>3.9</v>
      </c>
      <c r="X409">
        <v>4</v>
      </c>
      <c r="Y409" t="s">
        <v>43</v>
      </c>
      <c r="Z409">
        <v>3.58</v>
      </c>
      <c r="AA409" t="s">
        <v>35</v>
      </c>
    </row>
    <row r="410" spans="1:27" x14ac:dyDescent="0.3">
      <c r="A410" t="s">
        <v>94</v>
      </c>
      <c r="B410" t="s">
        <v>116</v>
      </c>
      <c r="C410">
        <v>2025</v>
      </c>
      <c r="D410" t="s">
        <v>63</v>
      </c>
      <c r="E410">
        <v>84380.71</v>
      </c>
      <c r="F410">
        <v>80</v>
      </c>
      <c r="G410">
        <v>275</v>
      </c>
      <c r="H410">
        <v>135.5</v>
      </c>
      <c r="I410">
        <v>6.41</v>
      </c>
      <c r="J410">
        <v>165</v>
      </c>
      <c r="K410">
        <v>531</v>
      </c>
      <c r="L410">
        <v>499</v>
      </c>
      <c r="M410" t="s">
        <v>30</v>
      </c>
      <c r="N410">
        <v>7</v>
      </c>
      <c r="O410" t="s">
        <v>40</v>
      </c>
      <c r="P410">
        <v>58.6</v>
      </c>
      <c r="Q410">
        <v>2209</v>
      </c>
      <c r="R410">
        <v>4</v>
      </c>
      <c r="S410">
        <v>1</v>
      </c>
      <c r="T410" t="s">
        <v>32</v>
      </c>
      <c r="U410" t="s">
        <v>38</v>
      </c>
      <c r="V410">
        <v>37226</v>
      </c>
      <c r="W410">
        <v>3.5</v>
      </c>
      <c r="X410">
        <v>5</v>
      </c>
      <c r="Y410" t="s">
        <v>43</v>
      </c>
      <c r="Z410">
        <v>3.44</v>
      </c>
      <c r="AA410" t="s">
        <v>35</v>
      </c>
    </row>
    <row r="411" spans="1:27" x14ac:dyDescent="0.3">
      <c r="A411" t="s">
        <v>52</v>
      </c>
      <c r="B411" t="s">
        <v>86</v>
      </c>
      <c r="C411">
        <v>2025</v>
      </c>
      <c r="D411" t="s">
        <v>68</v>
      </c>
      <c r="E411">
        <v>76635.5</v>
      </c>
      <c r="F411">
        <v>45.2</v>
      </c>
      <c r="G411">
        <v>150</v>
      </c>
      <c r="H411">
        <v>322.5</v>
      </c>
      <c r="I411">
        <v>5.59</v>
      </c>
      <c r="J411">
        <v>175</v>
      </c>
      <c r="K411">
        <v>561</v>
      </c>
      <c r="L411">
        <v>470</v>
      </c>
      <c r="M411" t="s">
        <v>54</v>
      </c>
      <c r="N411">
        <v>5</v>
      </c>
      <c r="O411" t="s">
        <v>40</v>
      </c>
      <c r="P411">
        <v>56.8</v>
      </c>
      <c r="Q411">
        <v>1709</v>
      </c>
      <c r="R411">
        <v>5</v>
      </c>
      <c r="S411">
        <v>2</v>
      </c>
      <c r="T411" t="s">
        <v>47</v>
      </c>
      <c r="U411" t="s">
        <v>38</v>
      </c>
      <c r="V411">
        <v>167458</v>
      </c>
      <c r="W411">
        <v>3.6</v>
      </c>
      <c r="X411">
        <v>5</v>
      </c>
      <c r="Y411" t="s">
        <v>43</v>
      </c>
      <c r="Z411">
        <v>3.32</v>
      </c>
      <c r="AA411" t="s">
        <v>35</v>
      </c>
    </row>
    <row r="412" spans="1:27" x14ac:dyDescent="0.3">
      <c r="A412" t="s">
        <v>71</v>
      </c>
      <c r="B412" t="s">
        <v>90</v>
      </c>
      <c r="C412">
        <v>2026</v>
      </c>
      <c r="D412" t="s">
        <v>38</v>
      </c>
      <c r="E412">
        <v>60331.49</v>
      </c>
      <c r="F412">
        <v>43.6</v>
      </c>
      <c r="G412">
        <v>175</v>
      </c>
      <c r="H412">
        <v>101.4</v>
      </c>
      <c r="I412">
        <v>7.08</v>
      </c>
      <c r="J412">
        <v>136</v>
      </c>
      <c r="K412">
        <v>653</v>
      </c>
      <c r="L412">
        <v>581</v>
      </c>
      <c r="M412" t="s">
        <v>54</v>
      </c>
      <c r="N412">
        <v>5</v>
      </c>
      <c r="O412" t="s">
        <v>57</v>
      </c>
      <c r="P412">
        <v>19.399999999999999</v>
      </c>
      <c r="Q412">
        <v>1729</v>
      </c>
      <c r="R412">
        <v>4</v>
      </c>
      <c r="S412">
        <v>1</v>
      </c>
      <c r="T412" t="s">
        <v>73</v>
      </c>
      <c r="U412" t="s">
        <v>42</v>
      </c>
      <c r="V412">
        <v>145412</v>
      </c>
      <c r="W412">
        <v>3.3</v>
      </c>
      <c r="X412">
        <v>4</v>
      </c>
      <c r="Y412" t="s">
        <v>61</v>
      </c>
      <c r="Z412">
        <v>4.01</v>
      </c>
      <c r="AA412" t="s">
        <v>35</v>
      </c>
    </row>
    <row r="413" spans="1:27" x14ac:dyDescent="0.3">
      <c r="A413" t="s">
        <v>36</v>
      </c>
      <c r="B413" t="s">
        <v>37</v>
      </c>
      <c r="C413">
        <v>2022</v>
      </c>
      <c r="D413" t="s">
        <v>63</v>
      </c>
      <c r="E413">
        <v>59240.75</v>
      </c>
      <c r="F413">
        <v>70.099999999999994</v>
      </c>
      <c r="G413">
        <v>267</v>
      </c>
      <c r="H413">
        <v>99.5</v>
      </c>
      <c r="I413">
        <v>5.9</v>
      </c>
      <c r="J413">
        <v>162</v>
      </c>
      <c r="K413">
        <v>648</v>
      </c>
      <c r="L413">
        <v>553</v>
      </c>
      <c r="M413" t="s">
        <v>54</v>
      </c>
      <c r="N413">
        <v>5</v>
      </c>
      <c r="O413" t="s">
        <v>40</v>
      </c>
      <c r="P413">
        <v>41.3</v>
      </c>
      <c r="Q413">
        <v>2240</v>
      </c>
      <c r="R413">
        <v>4</v>
      </c>
      <c r="S413">
        <v>0</v>
      </c>
      <c r="T413" t="s">
        <v>41</v>
      </c>
      <c r="U413" t="s">
        <v>42</v>
      </c>
      <c r="V413">
        <v>18789</v>
      </c>
      <c r="W413">
        <v>3.5</v>
      </c>
      <c r="X413">
        <v>4</v>
      </c>
      <c r="Y413" t="s">
        <v>43</v>
      </c>
      <c r="Z413">
        <v>3.81</v>
      </c>
      <c r="AA413" t="s">
        <v>43</v>
      </c>
    </row>
    <row r="414" spans="1:27" x14ac:dyDescent="0.3">
      <c r="A414" t="s">
        <v>36</v>
      </c>
      <c r="B414" t="s">
        <v>37</v>
      </c>
      <c r="C414">
        <v>2024</v>
      </c>
      <c r="D414" t="s">
        <v>68</v>
      </c>
      <c r="E414">
        <v>62299.25</v>
      </c>
      <c r="F414">
        <v>60.9</v>
      </c>
      <c r="G414">
        <v>213</v>
      </c>
      <c r="H414">
        <v>91.4</v>
      </c>
      <c r="I414">
        <v>5.32</v>
      </c>
      <c r="J414">
        <v>169</v>
      </c>
      <c r="K414">
        <v>673</v>
      </c>
      <c r="L414">
        <v>581</v>
      </c>
      <c r="M414" t="s">
        <v>30</v>
      </c>
      <c r="N414">
        <v>5</v>
      </c>
      <c r="O414" t="s">
        <v>40</v>
      </c>
      <c r="P414">
        <v>55.5</v>
      </c>
      <c r="Q414">
        <v>2079</v>
      </c>
      <c r="R414">
        <v>3</v>
      </c>
      <c r="S414">
        <v>1</v>
      </c>
      <c r="T414" t="s">
        <v>41</v>
      </c>
      <c r="U414" t="s">
        <v>42</v>
      </c>
      <c r="V414">
        <v>25820</v>
      </c>
      <c r="W414">
        <v>3.4</v>
      </c>
      <c r="X414">
        <v>4</v>
      </c>
      <c r="Y414" t="s">
        <v>43</v>
      </c>
      <c r="Z414">
        <v>3.5</v>
      </c>
      <c r="AA414" t="s">
        <v>35</v>
      </c>
    </row>
    <row r="415" spans="1:27" x14ac:dyDescent="0.3">
      <c r="A415" t="s">
        <v>48</v>
      </c>
      <c r="B415" t="s">
        <v>79</v>
      </c>
      <c r="C415">
        <v>2025</v>
      </c>
      <c r="D415" t="s">
        <v>63</v>
      </c>
      <c r="E415">
        <v>41302.85</v>
      </c>
      <c r="F415">
        <v>54.4</v>
      </c>
      <c r="G415">
        <v>210</v>
      </c>
      <c r="H415">
        <v>55.8</v>
      </c>
      <c r="I415">
        <v>7.79</v>
      </c>
      <c r="J415">
        <v>128</v>
      </c>
      <c r="K415">
        <v>370</v>
      </c>
      <c r="L415">
        <v>314</v>
      </c>
      <c r="M415" t="s">
        <v>30</v>
      </c>
      <c r="N415">
        <v>5</v>
      </c>
      <c r="O415" t="s">
        <v>31</v>
      </c>
      <c r="P415">
        <v>78.400000000000006</v>
      </c>
      <c r="Q415">
        <v>2736</v>
      </c>
      <c r="R415">
        <v>5</v>
      </c>
      <c r="S415">
        <v>0</v>
      </c>
      <c r="T415" t="s">
        <v>51</v>
      </c>
      <c r="U415" t="s">
        <v>42</v>
      </c>
      <c r="V415">
        <v>124417</v>
      </c>
      <c r="W415">
        <v>3.3</v>
      </c>
      <c r="X415">
        <v>5</v>
      </c>
      <c r="Y415" t="s">
        <v>61</v>
      </c>
      <c r="Z415">
        <v>3.86</v>
      </c>
      <c r="AA415" t="s">
        <v>35</v>
      </c>
    </row>
    <row r="416" spans="1:27" x14ac:dyDescent="0.3">
      <c r="A416" t="s">
        <v>91</v>
      </c>
      <c r="B416" t="s">
        <v>112</v>
      </c>
      <c r="C416">
        <v>2026</v>
      </c>
      <c r="D416" t="s">
        <v>68</v>
      </c>
      <c r="E416">
        <v>111475.63</v>
      </c>
      <c r="F416">
        <v>44.2</v>
      </c>
      <c r="G416">
        <v>150</v>
      </c>
      <c r="H416">
        <v>88.9</v>
      </c>
      <c r="I416">
        <v>6.23</v>
      </c>
      <c r="J416">
        <v>159</v>
      </c>
      <c r="K416">
        <v>959</v>
      </c>
      <c r="L416">
        <v>885</v>
      </c>
      <c r="M416" t="s">
        <v>54</v>
      </c>
      <c r="N416">
        <v>5</v>
      </c>
      <c r="O416" t="s">
        <v>46</v>
      </c>
      <c r="P416">
        <v>71.8</v>
      </c>
      <c r="Q416">
        <v>1551</v>
      </c>
      <c r="R416">
        <v>4</v>
      </c>
      <c r="S416">
        <v>1</v>
      </c>
      <c r="T416" t="s">
        <v>32</v>
      </c>
      <c r="U416" t="s">
        <v>33</v>
      </c>
      <c r="V416">
        <v>22266</v>
      </c>
      <c r="W416">
        <v>3.3</v>
      </c>
      <c r="X416">
        <v>5</v>
      </c>
      <c r="Y416" t="s">
        <v>43</v>
      </c>
      <c r="Z416">
        <v>3.39</v>
      </c>
      <c r="AA416" t="s">
        <v>35</v>
      </c>
    </row>
    <row r="417" spans="1:27" x14ac:dyDescent="0.3">
      <c r="A417" t="s">
        <v>27</v>
      </c>
      <c r="B417" t="s">
        <v>78</v>
      </c>
      <c r="C417">
        <v>2023</v>
      </c>
      <c r="D417" t="s">
        <v>38</v>
      </c>
      <c r="E417">
        <v>44868.54</v>
      </c>
      <c r="F417">
        <v>71</v>
      </c>
      <c r="G417">
        <v>254</v>
      </c>
      <c r="H417">
        <v>133.6</v>
      </c>
      <c r="I417">
        <v>7.27</v>
      </c>
      <c r="J417">
        <v>135</v>
      </c>
      <c r="K417">
        <v>370</v>
      </c>
      <c r="L417">
        <v>382</v>
      </c>
      <c r="M417" t="s">
        <v>54</v>
      </c>
      <c r="N417">
        <v>5</v>
      </c>
      <c r="O417" t="s">
        <v>65</v>
      </c>
      <c r="P417">
        <v>18.399999999999999</v>
      </c>
      <c r="Q417">
        <v>1500</v>
      </c>
      <c r="R417">
        <v>3</v>
      </c>
      <c r="S417">
        <v>2</v>
      </c>
      <c r="T417" t="s">
        <v>32</v>
      </c>
      <c r="U417" t="s">
        <v>42</v>
      </c>
      <c r="V417">
        <v>264149</v>
      </c>
      <c r="W417">
        <v>3.6</v>
      </c>
      <c r="X417">
        <v>5</v>
      </c>
      <c r="Y417" t="s">
        <v>61</v>
      </c>
      <c r="Z417">
        <v>3.58</v>
      </c>
      <c r="AA417" t="s">
        <v>35</v>
      </c>
    </row>
    <row r="418" spans="1:27" x14ac:dyDescent="0.3">
      <c r="A418" t="s">
        <v>71</v>
      </c>
      <c r="B418" t="s">
        <v>75</v>
      </c>
      <c r="C418">
        <v>2026</v>
      </c>
      <c r="D418" t="s">
        <v>50</v>
      </c>
      <c r="E418">
        <v>67426.929999999993</v>
      </c>
      <c r="F418">
        <v>98.7</v>
      </c>
      <c r="G418">
        <v>353</v>
      </c>
      <c r="H418">
        <v>89.8</v>
      </c>
      <c r="I418">
        <v>5.91</v>
      </c>
      <c r="J418">
        <v>162</v>
      </c>
      <c r="K418">
        <v>739</v>
      </c>
      <c r="L418">
        <v>692</v>
      </c>
      <c r="M418" t="s">
        <v>39</v>
      </c>
      <c r="N418">
        <v>5</v>
      </c>
      <c r="O418" t="s">
        <v>65</v>
      </c>
      <c r="P418">
        <v>26.6</v>
      </c>
      <c r="Q418">
        <v>1641</v>
      </c>
      <c r="R418">
        <v>4</v>
      </c>
      <c r="S418">
        <v>0</v>
      </c>
      <c r="T418" t="s">
        <v>73</v>
      </c>
      <c r="U418" t="s">
        <v>38</v>
      </c>
      <c r="V418">
        <v>102350</v>
      </c>
      <c r="W418">
        <v>3.7</v>
      </c>
      <c r="X418">
        <v>4</v>
      </c>
      <c r="Y418" t="s">
        <v>43</v>
      </c>
      <c r="Z418">
        <v>3.58</v>
      </c>
      <c r="AA418" t="s">
        <v>35</v>
      </c>
    </row>
    <row r="419" spans="1:27" x14ac:dyDescent="0.3">
      <c r="A419" t="s">
        <v>71</v>
      </c>
      <c r="B419" t="s">
        <v>104</v>
      </c>
      <c r="C419">
        <v>2025</v>
      </c>
      <c r="D419" t="s">
        <v>29</v>
      </c>
      <c r="E419">
        <v>53327.95</v>
      </c>
      <c r="F419">
        <v>101.5</v>
      </c>
      <c r="G419">
        <v>344</v>
      </c>
      <c r="H419">
        <v>246.8</v>
      </c>
      <c r="I419">
        <v>4.2699999999999996</v>
      </c>
      <c r="J419">
        <v>186</v>
      </c>
      <c r="K419">
        <v>555</v>
      </c>
      <c r="L419">
        <v>489</v>
      </c>
      <c r="M419" t="s">
        <v>54</v>
      </c>
      <c r="N419">
        <v>5</v>
      </c>
      <c r="O419" t="s">
        <v>65</v>
      </c>
      <c r="P419">
        <v>16</v>
      </c>
      <c r="Q419">
        <v>1500</v>
      </c>
      <c r="R419">
        <v>4</v>
      </c>
      <c r="S419">
        <v>0</v>
      </c>
      <c r="T419" t="s">
        <v>73</v>
      </c>
      <c r="U419" t="s">
        <v>42</v>
      </c>
      <c r="V419">
        <v>120007</v>
      </c>
      <c r="W419">
        <v>3.5</v>
      </c>
      <c r="X419">
        <v>4</v>
      </c>
      <c r="Y419" t="s">
        <v>43</v>
      </c>
      <c r="Z419">
        <v>3.39</v>
      </c>
      <c r="AA419" t="s">
        <v>35</v>
      </c>
    </row>
    <row r="420" spans="1:27" x14ac:dyDescent="0.3">
      <c r="A420" t="s">
        <v>91</v>
      </c>
      <c r="B420" t="s">
        <v>92</v>
      </c>
      <c r="C420">
        <v>2022</v>
      </c>
      <c r="D420" t="s">
        <v>68</v>
      </c>
      <c r="E420">
        <v>69932.429999999993</v>
      </c>
      <c r="F420">
        <v>67</v>
      </c>
      <c r="G420">
        <v>249</v>
      </c>
      <c r="H420">
        <v>58.9</v>
      </c>
      <c r="I420">
        <v>7.58</v>
      </c>
      <c r="J420">
        <v>140</v>
      </c>
      <c r="K420">
        <v>419</v>
      </c>
      <c r="L420">
        <v>314</v>
      </c>
      <c r="M420" t="s">
        <v>39</v>
      </c>
      <c r="N420">
        <v>5</v>
      </c>
      <c r="O420" t="s">
        <v>56</v>
      </c>
      <c r="P420">
        <v>39.1</v>
      </c>
      <c r="Q420">
        <v>1591</v>
      </c>
      <c r="R420">
        <v>5</v>
      </c>
      <c r="S420">
        <v>1</v>
      </c>
      <c r="T420" t="s">
        <v>32</v>
      </c>
      <c r="U420" t="s">
        <v>38</v>
      </c>
      <c r="V420">
        <v>52868</v>
      </c>
      <c r="W420">
        <v>3.5</v>
      </c>
      <c r="X420">
        <v>7</v>
      </c>
      <c r="Y420" t="s">
        <v>61</v>
      </c>
      <c r="Z420">
        <v>3.72</v>
      </c>
      <c r="AA420" t="s">
        <v>35</v>
      </c>
    </row>
    <row r="421" spans="1:27" x14ac:dyDescent="0.3">
      <c r="A421" t="s">
        <v>44</v>
      </c>
      <c r="B421" t="s">
        <v>126</v>
      </c>
      <c r="C421">
        <v>2025</v>
      </c>
      <c r="D421" t="s">
        <v>29</v>
      </c>
      <c r="E421">
        <v>50051.199999999997</v>
      </c>
      <c r="F421">
        <v>92.1</v>
      </c>
      <c r="G421">
        <v>286</v>
      </c>
      <c r="H421">
        <v>194</v>
      </c>
      <c r="I421">
        <v>3.44</v>
      </c>
      <c r="J421">
        <v>199</v>
      </c>
      <c r="K421">
        <v>568</v>
      </c>
      <c r="L421">
        <v>519</v>
      </c>
      <c r="M421" t="s">
        <v>54</v>
      </c>
      <c r="N421">
        <v>7</v>
      </c>
      <c r="O421" t="s">
        <v>65</v>
      </c>
      <c r="P421">
        <v>33.4</v>
      </c>
      <c r="Q421">
        <v>1500</v>
      </c>
      <c r="R421">
        <v>5</v>
      </c>
      <c r="S421">
        <v>2</v>
      </c>
      <c r="T421" t="s">
        <v>47</v>
      </c>
      <c r="U421" t="s">
        <v>42</v>
      </c>
      <c r="V421">
        <v>17861</v>
      </c>
      <c r="W421">
        <v>3.5</v>
      </c>
      <c r="X421">
        <v>3</v>
      </c>
      <c r="Y421" t="s">
        <v>34</v>
      </c>
      <c r="Z421">
        <v>3.11</v>
      </c>
      <c r="AA421" t="s">
        <v>43</v>
      </c>
    </row>
    <row r="422" spans="1:27" x14ac:dyDescent="0.3">
      <c r="A422" t="s">
        <v>84</v>
      </c>
      <c r="B422" t="s">
        <v>89</v>
      </c>
      <c r="C422">
        <v>2026</v>
      </c>
      <c r="D422" t="s">
        <v>29</v>
      </c>
      <c r="E422">
        <v>48841.01</v>
      </c>
      <c r="F422">
        <v>87.7</v>
      </c>
      <c r="G422">
        <v>333</v>
      </c>
      <c r="H422">
        <v>152.4</v>
      </c>
      <c r="I422">
        <v>4.3</v>
      </c>
      <c r="J422">
        <v>180</v>
      </c>
      <c r="K422">
        <v>369</v>
      </c>
      <c r="L422">
        <v>380</v>
      </c>
      <c r="M422" t="s">
        <v>54</v>
      </c>
      <c r="N422">
        <v>7</v>
      </c>
      <c r="O422" t="s">
        <v>56</v>
      </c>
      <c r="P422">
        <v>29.2</v>
      </c>
      <c r="Q422">
        <v>1844</v>
      </c>
      <c r="R422">
        <v>4</v>
      </c>
      <c r="S422">
        <v>1</v>
      </c>
      <c r="T422" t="s">
        <v>47</v>
      </c>
      <c r="U422" t="s">
        <v>42</v>
      </c>
      <c r="V422">
        <v>32288</v>
      </c>
      <c r="W422">
        <v>3.7</v>
      </c>
      <c r="X422">
        <v>4</v>
      </c>
      <c r="Y422" t="s">
        <v>43</v>
      </c>
      <c r="Z422">
        <v>3.8</v>
      </c>
      <c r="AA422" t="s">
        <v>35</v>
      </c>
    </row>
    <row r="423" spans="1:27" x14ac:dyDescent="0.3">
      <c r="A423" t="s">
        <v>84</v>
      </c>
      <c r="B423" t="s">
        <v>106</v>
      </c>
      <c r="C423">
        <v>2021</v>
      </c>
      <c r="D423" t="s">
        <v>50</v>
      </c>
      <c r="E423">
        <v>77562.36</v>
      </c>
      <c r="F423">
        <v>104.2</v>
      </c>
      <c r="G423">
        <v>348</v>
      </c>
      <c r="H423">
        <v>135.1</v>
      </c>
      <c r="I423">
        <v>5.55</v>
      </c>
      <c r="J423">
        <v>156</v>
      </c>
      <c r="K423">
        <v>881</v>
      </c>
      <c r="L423">
        <v>758</v>
      </c>
      <c r="M423" t="s">
        <v>39</v>
      </c>
      <c r="N423">
        <v>5</v>
      </c>
      <c r="O423" t="s">
        <v>56</v>
      </c>
      <c r="P423">
        <v>26.2</v>
      </c>
      <c r="Q423">
        <v>1721</v>
      </c>
      <c r="R423">
        <v>4</v>
      </c>
      <c r="S423">
        <v>1</v>
      </c>
      <c r="T423" t="s">
        <v>47</v>
      </c>
      <c r="U423" t="s">
        <v>38</v>
      </c>
      <c r="V423">
        <v>27293</v>
      </c>
      <c r="W423">
        <v>3.5</v>
      </c>
      <c r="X423">
        <v>3</v>
      </c>
      <c r="Y423" t="s">
        <v>43</v>
      </c>
      <c r="Z423">
        <v>3.34</v>
      </c>
      <c r="AA423" t="s">
        <v>35</v>
      </c>
    </row>
    <row r="424" spans="1:27" x14ac:dyDescent="0.3">
      <c r="A424" t="s">
        <v>52</v>
      </c>
      <c r="B424" t="s">
        <v>80</v>
      </c>
      <c r="C424">
        <v>2025</v>
      </c>
      <c r="D424" t="s">
        <v>63</v>
      </c>
      <c r="E424">
        <v>69446.789999999994</v>
      </c>
      <c r="F424">
        <v>55.6</v>
      </c>
      <c r="G424">
        <v>196</v>
      </c>
      <c r="H424">
        <v>255.2</v>
      </c>
      <c r="I424">
        <v>6.25</v>
      </c>
      <c r="J424">
        <v>155</v>
      </c>
      <c r="K424">
        <v>473</v>
      </c>
      <c r="L424">
        <v>453</v>
      </c>
      <c r="M424" t="s">
        <v>54</v>
      </c>
      <c r="N424">
        <v>5</v>
      </c>
      <c r="O424" t="s">
        <v>31</v>
      </c>
      <c r="P424">
        <v>69.900000000000006</v>
      </c>
      <c r="Q424">
        <v>2266</v>
      </c>
      <c r="R424">
        <v>4</v>
      </c>
      <c r="S424">
        <v>3</v>
      </c>
      <c r="T424" t="s">
        <v>47</v>
      </c>
      <c r="U424" t="s">
        <v>38</v>
      </c>
      <c r="V424">
        <v>214270</v>
      </c>
      <c r="W424">
        <v>3.7</v>
      </c>
      <c r="X424">
        <v>5</v>
      </c>
      <c r="Y424" t="s">
        <v>43</v>
      </c>
      <c r="Z424">
        <v>3.53</v>
      </c>
      <c r="AA424" t="s">
        <v>35</v>
      </c>
    </row>
    <row r="425" spans="1:27" x14ac:dyDescent="0.3">
      <c r="A425" t="s">
        <v>76</v>
      </c>
      <c r="B425" t="s">
        <v>114</v>
      </c>
      <c r="C425">
        <v>2023</v>
      </c>
      <c r="D425" t="s">
        <v>68</v>
      </c>
      <c r="E425">
        <v>68110.080000000002</v>
      </c>
      <c r="F425">
        <v>72.3</v>
      </c>
      <c r="G425">
        <v>255</v>
      </c>
      <c r="H425">
        <v>144</v>
      </c>
      <c r="I425">
        <v>6.66</v>
      </c>
      <c r="J425">
        <v>152</v>
      </c>
      <c r="K425">
        <v>842</v>
      </c>
      <c r="L425">
        <v>760</v>
      </c>
      <c r="M425" t="s">
        <v>39</v>
      </c>
      <c r="N425">
        <v>5</v>
      </c>
      <c r="O425" t="s">
        <v>31</v>
      </c>
      <c r="P425">
        <v>56</v>
      </c>
      <c r="Q425">
        <v>2701</v>
      </c>
      <c r="R425">
        <v>4</v>
      </c>
      <c r="S425">
        <v>0</v>
      </c>
      <c r="T425" t="s">
        <v>51</v>
      </c>
      <c r="U425" t="s">
        <v>38</v>
      </c>
      <c r="V425">
        <v>73761</v>
      </c>
      <c r="W425">
        <v>3.8</v>
      </c>
      <c r="X425">
        <v>4</v>
      </c>
      <c r="Y425" t="s">
        <v>43</v>
      </c>
      <c r="Z425">
        <v>3.53</v>
      </c>
      <c r="AA425" t="s">
        <v>35</v>
      </c>
    </row>
    <row r="426" spans="1:27" x14ac:dyDescent="0.3">
      <c r="A426" t="s">
        <v>52</v>
      </c>
      <c r="B426" t="s">
        <v>55</v>
      </c>
      <c r="C426">
        <v>2023</v>
      </c>
      <c r="D426" t="s">
        <v>63</v>
      </c>
      <c r="E426">
        <v>92950.35</v>
      </c>
      <c r="F426">
        <v>77.5</v>
      </c>
      <c r="G426">
        <v>263</v>
      </c>
      <c r="H426">
        <v>293.39999999999998</v>
      </c>
      <c r="I426">
        <v>5.57</v>
      </c>
      <c r="J426">
        <v>166</v>
      </c>
      <c r="K426">
        <v>716</v>
      </c>
      <c r="L426">
        <v>658</v>
      </c>
      <c r="M426" t="s">
        <v>54</v>
      </c>
      <c r="N426">
        <v>5</v>
      </c>
      <c r="O426" t="s">
        <v>40</v>
      </c>
      <c r="P426">
        <v>43</v>
      </c>
      <c r="Q426">
        <v>2272</v>
      </c>
      <c r="R426">
        <v>5</v>
      </c>
      <c r="S426">
        <v>3</v>
      </c>
      <c r="T426" t="s">
        <v>47</v>
      </c>
      <c r="U426" t="s">
        <v>38</v>
      </c>
      <c r="V426">
        <v>491547</v>
      </c>
      <c r="W426">
        <v>3.6</v>
      </c>
      <c r="X426">
        <v>5</v>
      </c>
      <c r="Y426" t="s">
        <v>43</v>
      </c>
      <c r="Z426">
        <v>3.39</v>
      </c>
      <c r="AA426" t="s">
        <v>35</v>
      </c>
    </row>
    <row r="427" spans="1:27" x14ac:dyDescent="0.3">
      <c r="A427" t="s">
        <v>48</v>
      </c>
      <c r="B427" t="s">
        <v>88</v>
      </c>
      <c r="C427">
        <v>2022</v>
      </c>
      <c r="D427" t="s">
        <v>29</v>
      </c>
      <c r="E427">
        <v>67330.570000000007</v>
      </c>
      <c r="F427">
        <v>77.099999999999994</v>
      </c>
      <c r="G427">
        <v>284</v>
      </c>
      <c r="H427">
        <v>154.4</v>
      </c>
      <c r="I427">
        <v>4.17</v>
      </c>
      <c r="J427">
        <v>194</v>
      </c>
      <c r="K427">
        <v>742</v>
      </c>
      <c r="L427">
        <v>621</v>
      </c>
      <c r="M427" t="s">
        <v>54</v>
      </c>
      <c r="N427">
        <v>5</v>
      </c>
      <c r="O427" t="s">
        <v>40</v>
      </c>
      <c r="P427">
        <v>50.4</v>
      </c>
      <c r="Q427">
        <v>1973</v>
      </c>
      <c r="R427">
        <v>5</v>
      </c>
      <c r="S427">
        <v>2</v>
      </c>
      <c r="T427" t="s">
        <v>51</v>
      </c>
      <c r="U427" t="s">
        <v>38</v>
      </c>
      <c r="V427">
        <v>91349</v>
      </c>
      <c r="W427">
        <v>3.5</v>
      </c>
      <c r="X427">
        <v>4</v>
      </c>
      <c r="Y427" t="s">
        <v>43</v>
      </c>
      <c r="Z427">
        <v>3.68</v>
      </c>
      <c r="AA427" t="s">
        <v>35</v>
      </c>
    </row>
    <row r="428" spans="1:27" x14ac:dyDescent="0.3">
      <c r="A428" t="s">
        <v>27</v>
      </c>
      <c r="B428" t="s">
        <v>83</v>
      </c>
      <c r="C428">
        <v>2025</v>
      </c>
      <c r="D428" t="s">
        <v>38</v>
      </c>
      <c r="E428">
        <v>89383.1</v>
      </c>
      <c r="F428">
        <v>57.7</v>
      </c>
      <c r="G428">
        <v>217</v>
      </c>
      <c r="H428">
        <v>133.5</v>
      </c>
      <c r="I428">
        <v>6.68</v>
      </c>
      <c r="J428">
        <v>143</v>
      </c>
      <c r="K428">
        <v>1000</v>
      </c>
      <c r="L428">
        <v>885</v>
      </c>
      <c r="M428" t="s">
        <v>30</v>
      </c>
      <c r="N428">
        <v>5</v>
      </c>
      <c r="O428" t="s">
        <v>31</v>
      </c>
      <c r="P428">
        <v>50.6</v>
      </c>
      <c r="Q428">
        <v>3000</v>
      </c>
      <c r="R428">
        <v>4</v>
      </c>
      <c r="S428">
        <v>1</v>
      </c>
      <c r="T428" t="s">
        <v>32</v>
      </c>
      <c r="U428" t="s">
        <v>38</v>
      </c>
      <c r="V428">
        <v>222817</v>
      </c>
      <c r="W428">
        <v>3.4</v>
      </c>
      <c r="X428">
        <v>4</v>
      </c>
      <c r="Y428" t="s">
        <v>43</v>
      </c>
      <c r="Z428">
        <v>3.76</v>
      </c>
      <c r="AA428" t="s">
        <v>35</v>
      </c>
    </row>
    <row r="429" spans="1:27" x14ac:dyDescent="0.3">
      <c r="A429" t="s">
        <v>94</v>
      </c>
      <c r="B429" t="s">
        <v>125</v>
      </c>
      <c r="C429">
        <v>2024</v>
      </c>
      <c r="D429" t="s">
        <v>63</v>
      </c>
      <c r="E429">
        <v>108294.87</v>
      </c>
      <c r="F429">
        <v>84.2</v>
      </c>
      <c r="G429">
        <v>297</v>
      </c>
      <c r="H429">
        <v>86.6</v>
      </c>
      <c r="I429">
        <v>7.49</v>
      </c>
      <c r="J429">
        <v>142</v>
      </c>
      <c r="K429">
        <v>803</v>
      </c>
      <c r="L429">
        <v>720</v>
      </c>
      <c r="M429" t="s">
        <v>54</v>
      </c>
      <c r="N429">
        <v>5</v>
      </c>
      <c r="O429" t="s">
        <v>31</v>
      </c>
      <c r="P429">
        <v>63.1</v>
      </c>
      <c r="Q429">
        <v>2606</v>
      </c>
      <c r="R429">
        <v>5</v>
      </c>
      <c r="S429">
        <v>1</v>
      </c>
      <c r="T429" t="s">
        <v>32</v>
      </c>
      <c r="U429" t="s">
        <v>33</v>
      </c>
      <c r="V429">
        <v>75960</v>
      </c>
      <c r="W429">
        <v>3.6</v>
      </c>
      <c r="X429">
        <v>6</v>
      </c>
      <c r="Y429" t="s">
        <v>61</v>
      </c>
      <c r="Z429">
        <v>3.53</v>
      </c>
      <c r="AA429" t="s">
        <v>35</v>
      </c>
    </row>
    <row r="430" spans="1:27" x14ac:dyDescent="0.3">
      <c r="A430" t="s">
        <v>71</v>
      </c>
      <c r="B430" t="s">
        <v>96</v>
      </c>
      <c r="C430">
        <v>2025</v>
      </c>
      <c r="D430" t="s">
        <v>29</v>
      </c>
      <c r="E430">
        <v>92829.9</v>
      </c>
      <c r="F430">
        <v>82.3</v>
      </c>
      <c r="G430">
        <v>285</v>
      </c>
      <c r="H430">
        <v>154.4</v>
      </c>
      <c r="I430">
        <v>2.99</v>
      </c>
      <c r="J430">
        <v>200</v>
      </c>
      <c r="K430">
        <v>1000</v>
      </c>
      <c r="L430">
        <v>876</v>
      </c>
      <c r="M430" t="s">
        <v>54</v>
      </c>
      <c r="N430">
        <v>7</v>
      </c>
      <c r="O430" t="s">
        <v>40</v>
      </c>
      <c r="P430">
        <v>36.9</v>
      </c>
      <c r="Q430">
        <v>1909</v>
      </c>
      <c r="R430">
        <v>5</v>
      </c>
      <c r="S430">
        <v>0</v>
      </c>
      <c r="T430" t="s">
        <v>73</v>
      </c>
      <c r="U430" t="s">
        <v>38</v>
      </c>
      <c r="V430">
        <v>235698</v>
      </c>
      <c r="W430">
        <v>3.6</v>
      </c>
      <c r="X430">
        <v>4</v>
      </c>
      <c r="Y430" t="s">
        <v>34</v>
      </c>
      <c r="Z430">
        <v>3.46</v>
      </c>
      <c r="AA430" t="s">
        <v>35</v>
      </c>
    </row>
    <row r="431" spans="1:27" x14ac:dyDescent="0.3">
      <c r="A431" t="s">
        <v>52</v>
      </c>
      <c r="B431" t="s">
        <v>80</v>
      </c>
      <c r="C431">
        <v>2025</v>
      </c>
      <c r="D431" t="s">
        <v>38</v>
      </c>
      <c r="E431">
        <v>35991.9</v>
      </c>
      <c r="F431">
        <v>60.6</v>
      </c>
      <c r="G431">
        <v>218</v>
      </c>
      <c r="H431">
        <v>232.1</v>
      </c>
      <c r="I431">
        <v>6.3</v>
      </c>
      <c r="J431">
        <v>151</v>
      </c>
      <c r="K431">
        <v>240</v>
      </c>
      <c r="L431">
        <v>200</v>
      </c>
      <c r="M431" t="s">
        <v>30</v>
      </c>
      <c r="N431">
        <v>5</v>
      </c>
      <c r="O431" t="s">
        <v>31</v>
      </c>
      <c r="P431">
        <v>51.5</v>
      </c>
      <c r="Q431">
        <v>2427</v>
      </c>
      <c r="R431">
        <v>4</v>
      </c>
      <c r="S431">
        <v>2</v>
      </c>
      <c r="T431" t="s">
        <v>47</v>
      </c>
      <c r="U431" t="s">
        <v>42</v>
      </c>
      <c r="V431">
        <v>169730</v>
      </c>
      <c r="W431">
        <v>3.7</v>
      </c>
      <c r="X431">
        <v>6</v>
      </c>
      <c r="Y431" t="s">
        <v>43</v>
      </c>
      <c r="Z431">
        <v>3.6</v>
      </c>
      <c r="AA431" t="s">
        <v>35</v>
      </c>
    </row>
    <row r="432" spans="1:27" x14ac:dyDescent="0.3">
      <c r="A432" t="s">
        <v>52</v>
      </c>
      <c r="B432" t="s">
        <v>53</v>
      </c>
      <c r="C432">
        <v>2025</v>
      </c>
      <c r="D432" t="s">
        <v>63</v>
      </c>
      <c r="E432">
        <v>88596.07</v>
      </c>
      <c r="F432">
        <v>45.9</v>
      </c>
      <c r="G432">
        <v>179</v>
      </c>
      <c r="H432">
        <v>329.1</v>
      </c>
      <c r="I432">
        <v>5.04</v>
      </c>
      <c r="J432">
        <v>178</v>
      </c>
      <c r="K432">
        <v>662</v>
      </c>
      <c r="L432">
        <v>638</v>
      </c>
      <c r="M432" t="s">
        <v>30</v>
      </c>
      <c r="N432">
        <v>7</v>
      </c>
      <c r="O432" t="s">
        <v>46</v>
      </c>
      <c r="P432">
        <v>60.6</v>
      </c>
      <c r="Q432">
        <v>1570</v>
      </c>
      <c r="R432">
        <v>5</v>
      </c>
      <c r="S432">
        <v>3</v>
      </c>
      <c r="T432" t="s">
        <v>47</v>
      </c>
      <c r="U432" t="s">
        <v>38</v>
      </c>
      <c r="V432">
        <v>124700</v>
      </c>
      <c r="W432">
        <v>3.6</v>
      </c>
      <c r="X432">
        <v>5</v>
      </c>
      <c r="Y432" t="s">
        <v>43</v>
      </c>
      <c r="Z432">
        <v>3.9</v>
      </c>
      <c r="AA432" t="s">
        <v>35</v>
      </c>
    </row>
    <row r="433" spans="1:27" x14ac:dyDescent="0.3">
      <c r="A433" t="s">
        <v>84</v>
      </c>
      <c r="B433" t="s">
        <v>106</v>
      </c>
      <c r="C433">
        <v>2023</v>
      </c>
      <c r="D433" t="s">
        <v>68</v>
      </c>
      <c r="E433">
        <v>73469.820000000007</v>
      </c>
      <c r="F433">
        <v>58.2</v>
      </c>
      <c r="G433">
        <v>186</v>
      </c>
      <c r="H433">
        <v>88.3</v>
      </c>
      <c r="I433">
        <v>7.61</v>
      </c>
      <c r="J433">
        <v>134</v>
      </c>
      <c r="K433">
        <v>859</v>
      </c>
      <c r="L433">
        <v>769</v>
      </c>
      <c r="M433" t="s">
        <v>54</v>
      </c>
      <c r="N433">
        <v>5</v>
      </c>
      <c r="O433" t="s">
        <v>57</v>
      </c>
      <c r="P433">
        <v>29.9</v>
      </c>
      <c r="Q433">
        <v>1500</v>
      </c>
      <c r="R433">
        <v>5</v>
      </c>
      <c r="S433">
        <v>0</v>
      </c>
      <c r="T433" t="s">
        <v>47</v>
      </c>
      <c r="U433" t="s">
        <v>38</v>
      </c>
      <c r="V433">
        <v>59218</v>
      </c>
      <c r="W433">
        <v>3.4</v>
      </c>
      <c r="X433">
        <v>3</v>
      </c>
      <c r="Y433" t="s">
        <v>61</v>
      </c>
      <c r="Z433">
        <v>3.2</v>
      </c>
      <c r="AA433" t="s">
        <v>35</v>
      </c>
    </row>
    <row r="434" spans="1:27" x14ac:dyDescent="0.3">
      <c r="A434" t="s">
        <v>48</v>
      </c>
      <c r="B434" t="s">
        <v>60</v>
      </c>
      <c r="C434">
        <v>2026</v>
      </c>
      <c r="D434" t="s">
        <v>68</v>
      </c>
      <c r="E434">
        <v>72349.570000000007</v>
      </c>
      <c r="F434">
        <v>59.3</v>
      </c>
      <c r="G434">
        <v>198</v>
      </c>
      <c r="H434">
        <v>74.400000000000006</v>
      </c>
      <c r="I434">
        <v>7.19</v>
      </c>
      <c r="J434">
        <v>149</v>
      </c>
      <c r="K434">
        <v>842</v>
      </c>
      <c r="L434">
        <v>756</v>
      </c>
      <c r="M434" t="s">
        <v>39</v>
      </c>
      <c r="N434">
        <v>7</v>
      </c>
      <c r="O434" t="s">
        <v>40</v>
      </c>
      <c r="P434">
        <v>55.2</v>
      </c>
      <c r="Q434">
        <v>1981</v>
      </c>
      <c r="R434">
        <v>4</v>
      </c>
      <c r="S434">
        <v>0</v>
      </c>
      <c r="T434" t="s">
        <v>51</v>
      </c>
      <c r="U434" t="s">
        <v>38</v>
      </c>
      <c r="V434">
        <v>69075</v>
      </c>
      <c r="W434">
        <v>3.2</v>
      </c>
      <c r="X434">
        <v>5</v>
      </c>
      <c r="Y434" t="s">
        <v>61</v>
      </c>
      <c r="Z434">
        <v>3.34</v>
      </c>
      <c r="AA434" t="s">
        <v>35</v>
      </c>
    </row>
    <row r="435" spans="1:27" x14ac:dyDescent="0.3">
      <c r="A435" t="s">
        <v>52</v>
      </c>
      <c r="B435" t="s">
        <v>86</v>
      </c>
      <c r="C435">
        <v>2023</v>
      </c>
      <c r="D435" t="s">
        <v>29</v>
      </c>
      <c r="E435">
        <v>93392.21</v>
      </c>
      <c r="F435">
        <v>85.7</v>
      </c>
      <c r="G435">
        <v>297</v>
      </c>
      <c r="H435">
        <v>308.7</v>
      </c>
      <c r="I435">
        <v>3.2</v>
      </c>
      <c r="J435">
        <v>200</v>
      </c>
      <c r="K435">
        <v>697</v>
      </c>
      <c r="L435">
        <v>578</v>
      </c>
      <c r="M435" t="s">
        <v>30</v>
      </c>
      <c r="N435">
        <v>7</v>
      </c>
      <c r="O435" t="s">
        <v>40</v>
      </c>
      <c r="P435">
        <v>35.4</v>
      </c>
      <c r="Q435">
        <v>2085</v>
      </c>
      <c r="R435">
        <v>5</v>
      </c>
      <c r="S435">
        <v>3</v>
      </c>
      <c r="T435" t="s">
        <v>47</v>
      </c>
      <c r="U435" t="s">
        <v>38</v>
      </c>
      <c r="V435">
        <v>138082</v>
      </c>
      <c r="W435">
        <v>3.7</v>
      </c>
      <c r="X435">
        <v>5</v>
      </c>
      <c r="Y435" t="s">
        <v>34</v>
      </c>
      <c r="Z435">
        <v>3.47</v>
      </c>
      <c r="AA435" t="s">
        <v>35</v>
      </c>
    </row>
    <row r="436" spans="1:27" x14ac:dyDescent="0.3">
      <c r="A436" t="s">
        <v>52</v>
      </c>
      <c r="B436" t="s">
        <v>64</v>
      </c>
      <c r="C436">
        <v>2023</v>
      </c>
      <c r="D436" t="s">
        <v>38</v>
      </c>
      <c r="E436">
        <v>109016.04</v>
      </c>
      <c r="F436">
        <v>46.6</v>
      </c>
      <c r="G436">
        <v>178</v>
      </c>
      <c r="H436">
        <v>263.2</v>
      </c>
      <c r="I436">
        <v>7.52</v>
      </c>
      <c r="J436">
        <v>137</v>
      </c>
      <c r="K436">
        <v>752</v>
      </c>
      <c r="L436">
        <v>688</v>
      </c>
      <c r="M436" t="s">
        <v>39</v>
      </c>
      <c r="N436">
        <v>5</v>
      </c>
      <c r="O436" t="s">
        <v>56</v>
      </c>
      <c r="P436">
        <v>22.4</v>
      </c>
      <c r="Q436">
        <v>1577</v>
      </c>
      <c r="R436">
        <v>5</v>
      </c>
      <c r="S436">
        <v>2</v>
      </c>
      <c r="T436" t="s">
        <v>47</v>
      </c>
      <c r="U436" t="s">
        <v>33</v>
      </c>
      <c r="V436">
        <v>113179</v>
      </c>
      <c r="W436">
        <v>3.6</v>
      </c>
      <c r="X436">
        <v>5</v>
      </c>
      <c r="Y436" t="s">
        <v>61</v>
      </c>
      <c r="Z436">
        <v>3.82</v>
      </c>
      <c r="AA436" t="s">
        <v>35</v>
      </c>
    </row>
    <row r="437" spans="1:27" x14ac:dyDescent="0.3">
      <c r="A437" t="s">
        <v>44</v>
      </c>
      <c r="B437" t="s">
        <v>45</v>
      </c>
      <c r="C437">
        <v>2024</v>
      </c>
      <c r="D437" t="s">
        <v>68</v>
      </c>
      <c r="E437">
        <v>40534.339999999997</v>
      </c>
      <c r="F437">
        <v>52</v>
      </c>
      <c r="G437">
        <v>170</v>
      </c>
      <c r="H437">
        <v>94.6</v>
      </c>
      <c r="I437">
        <v>7.08</v>
      </c>
      <c r="J437">
        <v>148</v>
      </c>
      <c r="K437">
        <v>407</v>
      </c>
      <c r="L437">
        <v>344</v>
      </c>
      <c r="M437" t="s">
        <v>39</v>
      </c>
      <c r="N437">
        <v>7</v>
      </c>
      <c r="O437" t="s">
        <v>57</v>
      </c>
      <c r="P437">
        <v>26.9</v>
      </c>
      <c r="Q437">
        <v>1673</v>
      </c>
      <c r="R437">
        <v>5</v>
      </c>
      <c r="S437">
        <v>0</v>
      </c>
      <c r="T437" t="s">
        <v>47</v>
      </c>
      <c r="U437" t="s">
        <v>42</v>
      </c>
      <c r="V437">
        <v>24616</v>
      </c>
      <c r="W437">
        <v>3.1</v>
      </c>
      <c r="X437">
        <v>4</v>
      </c>
      <c r="Y437" t="s">
        <v>61</v>
      </c>
      <c r="Z437">
        <v>3.27</v>
      </c>
      <c r="AA437" t="s">
        <v>35</v>
      </c>
    </row>
    <row r="438" spans="1:27" x14ac:dyDescent="0.3">
      <c r="A438" t="s">
        <v>52</v>
      </c>
      <c r="B438" t="s">
        <v>55</v>
      </c>
      <c r="C438">
        <v>2024</v>
      </c>
      <c r="D438" t="s">
        <v>38</v>
      </c>
      <c r="E438">
        <v>47765.25</v>
      </c>
      <c r="F438">
        <v>45.3</v>
      </c>
      <c r="G438">
        <v>171</v>
      </c>
      <c r="H438">
        <v>305.8</v>
      </c>
      <c r="I438">
        <v>6.25</v>
      </c>
      <c r="J438">
        <v>167</v>
      </c>
      <c r="K438">
        <v>306</v>
      </c>
      <c r="L438">
        <v>318</v>
      </c>
      <c r="M438" t="s">
        <v>54</v>
      </c>
      <c r="N438">
        <v>5</v>
      </c>
      <c r="O438" t="s">
        <v>65</v>
      </c>
      <c r="P438">
        <v>25</v>
      </c>
      <c r="Q438">
        <v>1500</v>
      </c>
      <c r="R438">
        <v>5</v>
      </c>
      <c r="S438">
        <v>3</v>
      </c>
      <c r="T438" t="s">
        <v>47</v>
      </c>
      <c r="U438" t="s">
        <v>42</v>
      </c>
      <c r="V438">
        <v>423769</v>
      </c>
      <c r="W438">
        <v>3.5</v>
      </c>
      <c r="X438">
        <v>4</v>
      </c>
      <c r="Y438" t="s">
        <v>43</v>
      </c>
      <c r="Z438">
        <v>3.77</v>
      </c>
      <c r="AA438" t="s">
        <v>35</v>
      </c>
    </row>
    <row r="439" spans="1:27" x14ac:dyDescent="0.3">
      <c r="A439" t="s">
        <v>84</v>
      </c>
      <c r="B439" t="s">
        <v>85</v>
      </c>
      <c r="C439">
        <v>2024</v>
      </c>
      <c r="D439" t="s">
        <v>29</v>
      </c>
      <c r="E439">
        <v>92734.95</v>
      </c>
      <c r="F439">
        <v>71.599999999999994</v>
      </c>
      <c r="G439">
        <v>257</v>
      </c>
      <c r="H439">
        <v>171.2</v>
      </c>
      <c r="I439">
        <v>4.22</v>
      </c>
      <c r="J439">
        <v>183</v>
      </c>
      <c r="K439">
        <v>1000</v>
      </c>
      <c r="L439">
        <v>917</v>
      </c>
      <c r="M439" t="s">
        <v>54</v>
      </c>
      <c r="N439">
        <v>7</v>
      </c>
      <c r="O439" t="s">
        <v>46</v>
      </c>
      <c r="P439">
        <v>71.5</v>
      </c>
      <c r="Q439">
        <v>1569</v>
      </c>
      <c r="R439">
        <v>4</v>
      </c>
      <c r="S439">
        <v>0</v>
      </c>
      <c r="T439" t="s">
        <v>47</v>
      </c>
      <c r="U439" t="s">
        <v>38</v>
      </c>
      <c r="V439">
        <v>52532</v>
      </c>
      <c r="W439">
        <v>3.3</v>
      </c>
      <c r="X439">
        <v>5</v>
      </c>
      <c r="Y439" t="s">
        <v>43</v>
      </c>
      <c r="Z439">
        <v>3.59</v>
      </c>
      <c r="AA439" t="s">
        <v>35</v>
      </c>
    </row>
    <row r="440" spans="1:27" x14ac:dyDescent="0.3">
      <c r="A440" t="s">
        <v>44</v>
      </c>
      <c r="B440" t="s">
        <v>109</v>
      </c>
      <c r="C440">
        <v>2024</v>
      </c>
      <c r="D440" t="s">
        <v>68</v>
      </c>
      <c r="E440">
        <v>53007.41</v>
      </c>
      <c r="F440">
        <v>82.4</v>
      </c>
      <c r="G440">
        <v>303</v>
      </c>
      <c r="H440">
        <v>146.80000000000001</v>
      </c>
      <c r="I440">
        <v>7.4</v>
      </c>
      <c r="J440">
        <v>145</v>
      </c>
      <c r="K440">
        <v>623</v>
      </c>
      <c r="L440">
        <v>533</v>
      </c>
      <c r="M440" t="s">
        <v>54</v>
      </c>
      <c r="N440">
        <v>5</v>
      </c>
      <c r="O440" t="s">
        <v>40</v>
      </c>
      <c r="P440">
        <v>44.5</v>
      </c>
      <c r="Q440">
        <v>2061</v>
      </c>
      <c r="R440">
        <v>4</v>
      </c>
      <c r="S440">
        <v>1</v>
      </c>
      <c r="T440" t="s">
        <v>47</v>
      </c>
      <c r="U440" t="s">
        <v>42</v>
      </c>
      <c r="V440">
        <v>25295</v>
      </c>
      <c r="W440">
        <v>3.7</v>
      </c>
      <c r="X440">
        <v>5</v>
      </c>
      <c r="Y440" t="s">
        <v>61</v>
      </c>
      <c r="Z440">
        <v>3.68</v>
      </c>
      <c r="AA440" t="s">
        <v>35</v>
      </c>
    </row>
    <row r="441" spans="1:27" x14ac:dyDescent="0.3">
      <c r="A441" t="s">
        <v>52</v>
      </c>
      <c r="B441" t="s">
        <v>53</v>
      </c>
      <c r="C441">
        <v>2024</v>
      </c>
      <c r="D441" t="s">
        <v>50</v>
      </c>
      <c r="E441">
        <v>74766.45</v>
      </c>
      <c r="F441">
        <v>76.5</v>
      </c>
      <c r="G441">
        <v>284</v>
      </c>
      <c r="H441">
        <v>257.2</v>
      </c>
      <c r="I441">
        <v>5.48</v>
      </c>
      <c r="J441">
        <v>169</v>
      </c>
      <c r="K441">
        <v>487</v>
      </c>
      <c r="L441">
        <v>482</v>
      </c>
      <c r="M441" t="s">
        <v>30</v>
      </c>
      <c r="N441">
        <v>7</v>
      </c>
      <c r="O441" t="s">
        <v>65</v>
      </c>
      <c r="P441">
        <v>25.1</v>
      </c>
      <c r="Q441">
        <v>1610</v>
      </c>
      <c r="R441">
        <v>5</v>
      </c>
      <c r="S441">
        <v>3</v>
      </c>
      <c r="T441" t="s">
        <v>47</v>
      </c>
      <c r="U441" t="s">
        <v>38</v>
      </c>
      <c r="V441">
        <v>155185</v>
      </c>
      <c r="W441">
        <v>4.0999999999999996</v>
      </c>
      <c r="X441">
        <v>5</v>
      </c>
      <c r="Y441" t="s">
        <v>43</v>
      </c>
      <c r="Z441">
        <v>3.71</v>
      </c>
      <c r="AA441" t="s">
        <v>35</v>
      </c>
    </row>
    <row r="442" spans="1:27" x14ac:dyDescent="0.3">
      <c r="A442" t="s">
        <v>52</v>
      </c>
      <c r="B442" t="s">
        <v>64</v>
      </c>
      <c r="C442">
        <v>2025</v>
      </c>
      <c r="D442" t="s">
        <v>63</v>
      </c>
      <c r="E442">
        <v>43016.55</v>
      </c>
      <c r="F442">
        <v>44.3</v>
      </c>
      <c r="G442">
        <v>159</v>
      </c>
      <c r="H442">
        <v>252.5</v>
      </c>
      <c r="I442">
        <v>5.67</v>
      </c>
      <c r="J442">
        <v>163</v>
      </c>
      <c r="K442">
        <v>327</v>
      </c>
      <c r="L442">
        <v>254</v>
      </c>
      <c r="M442" t="s">
        <v>39</v>
      </c>
      <c r="N442">
        <v>7</v>
      </c>
      <c r="O442" t="s">
        <v>40</v>
      </c>
      <c r="P442">
        <v>50.8</v>
      </c>
      <c r="Q442">
        <v>1663</v>
      </c>
      <c r="R442">
        <v>5</v>
      </c>
      <c r="S442">
        <v>2</v>
      </c>
      <c r="T442" t="s">
        <v>47</v>
      </c>
      <c r="U442" t="s">
        <v>42</v>
      </c>
      <c r="V442">
        <v>118264</v>
      </c>
      <c r="W442">
        <v>3.5</v>
      </c>
      <c r="X442">
        <v>6</v>
      </c>
      <c r="Y442" t="s">
        <v>43</v>
      </c>
      <c r="Z442">
        <v>3.59</v>
      </c>
      <c r="AA442" t="s">
        <v>35</v>
      </c>
    </row>
    <row r="443" spans="1:27" x14ac:dyDescent="0.3">
      <c r="A443" t="s">
        <v>107</v>
      </c>
      <c r="B443" t="s">
        <v>121</v>
      </c>
      <c r="C443">
        <v>2023</v>
      </c>
      <c r="D443" t="s">
        <v>63</v>
      </c>
      <c r="E443">
        <v>145262.78</v>
      </c>
      <c r="F443">
        <v>70.599999999999994</v>
      </c>
      <c r="G443">
        <v>265</v>
      </c>
      <c r="H443">
        <v>329.1</v>
      </c>
      <c r="I443">
        <v>7.46</v>
      </c>
      <c r="J443">
        <v>148</v>
      </c>
      <c r="K443">
        <v>626</v>
      </c>
      <c r="L443">
        <v>548</v>
      </c>
      <c r="M443" t="s">
        <v>54</v>
      </c>
      <c r="N443">
        <v>5</v>
      </c>
      <c r="O443" t="s">
        <v>56</v>
      </c>
      <c r="P443">
        <v>17.8</v>
      </c>
      <c r="Q443">
        <v>1755</v>
      </c>
      <c r="R443">
        <v>4</v>
      </c>
      <c r="S443">
        <v>2</v>
      </c>
      <c r="T443" t="s">
        <v>32</v>
      </c>
      <c r="U443" t="s">
        <v>33</v>
      </c>
      <c r="V443">
        <v>24347</v>
      </c>
      <c r="W443">
        <v>3.6</v>
      </c>
      <c r="X443">
        <v>7</v>
      </c>
      <c r="Y443" t="s">
        <v>61</v>
      </c>
      <c r="Z443">
        <v>3.75</v>
      </c>
      <c r="AA443" t="s">
        <v>35</v>
      </c>
    </row>
    <row r="444" spans="1:27" x14ac:dyDescent="0.3">
      <c r="A444" t="s">
        <v>27</v>
      </c>
      <c r="B444" t="s">
        <v>78</v>
      </c>
      <c r="C444">
        <v>2022</v>
      </c>
      <c r="D444" t="s">
        <v>29</v>
      </c>
      <c r="E444">
        <v>102466.68</v>
      </c>
      <c r="F444">
        <v>77.599999999999994</v>
      </c>
      <c r="G444">
        <v>281</v>
      </c>
      <c r="H444">
        <v>218</v>
      </c>
      <c r="I444">
        <v>4.12</v>
      </c>
      <c r="J444">
        <v>189</v>
      </c>
      <c r="K444">
        <v>1000</v>
      </c>
      <c r="L444">
        <v>886</v>
      </c>
      <c r="M444" t="s">
        <v>54</v>
      </c>
      <c r="N444">
        <v>7</v>
      </c>
      <c r="O444" t="s">
        <v>31</v>
      </c>
      <c r="P444">
        <v>65.3</v>
      </c>
      <c r="Q444">
        <v>2347</v>
      </c>
      <c r="R444">
        <v>5</v>
      </c>
      <c r="S444">
        <v>1</v>
      </c>
      <c r="T444" t="s">
        <v>32</v>
      </c>
      <c r="U444" t="s">
        <v>33</v>
      </c>
      <c r="V444">
        <v>252835</v>
      </c>
      <c r="W444">
        <v>3.4</v>
      </c>
      <c r="X444">
        <v>5</v>
      </c>
      <c r="Y444" t="s">
        <v>43</v>
      </c>
      <c r="Z444">
        <v>3.62</v>
      </c>
      <c r="AA444" t="s">
        <v>35</v>
      </c>
    </row>
    <row r="445" spans="1:27" x14ac:dyDescent="0.3">
      <c r="A445" t="s">
        <v>27</v>
      </c>
      <c r="B445" t="s">
        <v>78</v>
      </c>
      <c r="C445">
        <v>2025</v>
      </c>
      <c r="D445" t="s">
        <v>29</v>
      </c>
      <c r="E445">
        <v>66259.17</v>
      </c>
      <c r="F445">
        <v>77.599999999999994</v>
      </c>
      <c r="G445">
        <v>256</v>
      </c>
      <c r="H445">
        <v>242.3</v>
      </c>
      <c r="I445">
        <v>2.76</v>
      </c>
      <c r="J445">
        <v>200</v>
      </c>
      <c r="K445">
        <v>666</v>
      </c>
      <c r="L445">
        <v>595</v>
      </c>
      <c r="M445" t="s">
        <v>54</v>
      </c>
      <c r="N445">
        <v>7</v>
      </c>
      <c r="O445" t="s">
        <v>65</v>
      </c>
      <c r="P445">
        <v>23.8</v>
      </c>
      <c r="Q445">
        <v>1721</v>
      </c>
      <c r="R445">
        <v>4</v>
      </c>
      <c r="S445">
        <v>0</v>
      </c>
      <c r="T445" t="s">
        <v>32</v>
      </c>
      <c r="U445" t="s">
        <v>38</v>
      </c>
      <c r="V445">
        <v>296982</v>
      </c>
      <c r="W445">
        <v>3.5</v>
      </c>
      <c r="X445">
        <v>3</v>
      </c>
      <c r="Y445" t="s">
        <v>34</v>
      </c>
      <c r="Z445">
        <v>3.3</v>
      </c>
      <c r="AA445" t="s">
        <v>35</v>
      </c>
    </row>
    <row r="446" spans="1:27" x14ac:dyDescent="0.3">
      <c r="A446" t="s">
        <v>84</v>
      </c>
      <c r="B446" t="s">
        <v>106</v>
      </c>
      <c r="C446">
        <v>2026</v>
      </c>
      <c r="D446" t="s">
        <v>68</v>
      </c>
      <c r="E446">
        <v>69136.539999999994</v>
      </c>
      <c r="F446">
        <v>53.2</v>
      </c>
      <c r="G446">
        <v>193</v>
      </c>
      <c r="H446">
        <v>107.3</v>
      </c>
      <c r="I446">
        <v>6.38</v>
      </c>
      <c r="J446">
        <v>161</v>
      </c>
      <c r="K446">
        <v>768</v>
      </c>
      <c r="L446">
        <v>638</v>
      </c>
      <c r="M446" t="s">
        <v>39</v>
      </c>
      <c r="N446">
        <v>5</v>
      </c>
      <c r="O446" t="s">
        <v>40</v>
      </c>
      <c r="P446">
        <v>37.700000000000003</v>
      </c>
      <c r="Q446">
        <v>2080</v>
      </c>
      <c r="R446">
        <v>3</v>
      </c>
      <c r="S446">
        <v>2</v>
      </c>
      <c r="T446" t="s">
        <v>47</v>
      </c>
      <c r="U446" t="s">
        <v>38</v>
      </c>
      <c r="V446">
        <v>61663</v>
      </c>
      <c r="W446">
        <v>3.2</v>
      </c>
      <c r="X446">
        <v>4</v>
      </c>
      <c r="Y446" t="s">
        <v>43</v>
      </c>
      <c r="Z446">
        <v>3.63</v>
      </c>
      <c r="AA446" t="s">
        <v>35</v>
      </c>
    </row>
    <row r="447" spans="1:27" x14ac:dyDescent="0.3">
      <c r="A447" t="s">
        <v>36</v>
      </c>
      <c r="B447" t="s">
        <v>37</v>
      </c>
      <c r="C447">
        <v>2024</v>
      </c>
      <c r="D447" t="s">
        <v>50</v>
      </c>
      <c r="E447">
        <v>87515.62</v>
      </c>
      <c r="F447">
        <v>75.8</v>
      </c>
      <c r="G447">
        <v>273</v>
      </c>
      <c r="H447">
        <v>117.8</v>
      </c>
      <c r="I447">
        <v>4.57</v>
      </c>
      <c r="J447">
        <v>170</v>
      </c>
      <c r="K447">
        <v>1000</v>
      </c>
      <c r="L447">
        <v>858</v>
      </c>
      <c r="M447" t="s">
        <v>39</v>
      </c>
      <c r="N447">
        <v>7</v>
      </c>
      <c r="O447" t="s">
        <v>40</v>
      </c>
      <c r="P447">
        <v>61.7</v>
      </c>
      <c r="Q447">
        <v>1886</v>
      </c>
      <c r="R447">
        <v>4</v>
      </c>
      <c r="S447">
        <v>0</v>
      </c>
      <c r="T447" t="s">
        <v>41</v>
      </c>
      <c r="U447" t="s">
        <v>38</v>
      </c>
      <c r="V447">
        <v>24507</v>
      </c>
      <c r="W447">
        <v>3.5</v>
      </c>
      <c r="X447">
        <v>4</v>
      </c>
      <c r="Y447" t="s">
        <v>43</v>
      </c>
      <c r="Z447">
        <v>3.6</v>
      </c>
      <c r="AA447" t="s">
        <v>35</v>
      </c>
    </row>
    <row r="448" spans="1:27" x14ac:dyDescent="0.3">
      <c r="A448" t="s">
        <v>107</v>
      </c>
      <c r="B448" t="s">
        <v>121</v>
      </c>
      <c r="C448">
        <v>2026</v>
      </c>
      <c r="D448" t="s">
        <v>50</v>
      </c>
      <c r="E448">
        <v>220736.96</v>
      </c>
      <c r="F448">
        <v>82.6</v>
      </c>
      <c r="G448">
        <v>288</v>
      </c>
      <c r="H448">
        <v>304.39999999999998</v>
      </c>
      <c r="I448">
        <v>5.9</v>
      </c>
      <c r="J448">
        <v>161</v>
      </c>
      <c r="K448">
        <v>1000</v>
      </c>
      <c r="L448">
        <v>915</v>
      </c>
      <c r="M448" t="s">
        <v>54</v>
      </c>
      <c r="N448">
        <v>5</v>
      </c>
      <c r="O448" t="s">
        <v>40</v>
      </c>
      <c r="P448">
        <v>42.7</v>
      </c>
      <c r="Q448">
        <v>2169</v>
      </c>
      <c r="R448">
        <v>5</v>
      </c>
      <c r="S448">
        <v>0</v>
      </c>
      <c r="T448" t="s">
        <v>32</v>
      </c>
      <c r="U448" t="s">
        <v>33</v>
      </c>
      <c r="V448">
        <v>5345</v>
      </c>
      <c r="W448">
        <v>3.6</v>
      </c>
      <c r="X448">
        <v>6</v>
      </c>
      <c r="Y448" t="s">
        <v>43</v>
      </c>
      <c r="Z448">
        <v>3.49</v>
      </c>
      <c r="AA448" t="s">
        <v>43</v>
      </c>
    </row>
    <row r="449" spans="1:27" x14ac:dyDescent="0.3">
      <c r="A449" t="s">
        <v>44</v>
      </c>
      <c r="B449" t="s">
        <v>45</v>
      </c>
      <c r="C449">
        <v>2025</v>
      </c>
      <c r="D449" t="s">
        <v>38</v>
      </c>
      <c r="E449">
        <v>93152</v>
      </c>
      <c r="F449">
        <v>60.9</v>
      </c>
      <c r="G449">
        <v>214</v>
      </c>
      <c r="H449">
        <v>82.9</v>
      </c>
      <c r="I449">
        <v>6.96</v>
      </c>
      <c r="J449">
        <v>145</v>
      </c>
      <c r="K449">
        <v>1000</v>
      </c>
      <c r="L449">
        <v>850</v>
      </c>
      <c r="M449" t="s">
        <v>54</v>
      </c>
      <c r="N449">
        <v>7</v>
      </c>
      <c r="O449" t="s">
        <v>65</v>
      </c>
      <c r="P449">
        <v>16.100000000000001</v>
      </c>
      <c r="Q449">
        <v>1500</v>
      </c>
      <c r="R449">
        <v>5</v>
      </c>
      <c r="S449">
        <v>1</v>
      </c>
      <c r="T449" t="s">
        <v>47</v>
      </c>
      <c r="U449" t="s">
        <v>38</v>
      </c>
      <c r="V449">
        <v>20002</v>
      </c>
      <c r="W449">
        <v>3.7</v>
      </c>
      <c r="X449">
        <v>4</v>
      </c>
      <c r="Y449" t="s">
        <v>43</v>
      </c>
      <c r="Z449">
        <v>3.51</v>
      </c>
      <c r="AA449" t="s">
        <v>35</v>
      </c>
    </row>
    <row r="450" spans="1:27" x14ac:dyDescent="0.3">
      <c r="A450" t="s">
        <v>27</v>
      </c>
      <c r="B450" t="s">
        <v>83</v>
      </c>
      <c r="C450">
        <v>2026</v>
      </c>
      <c r="D450" t="s">
        <v>68</v>
      </c>
      <c r="E450">
        <v>36003.86</v>
      </c>
      <c r="F450">
        <v>51.5</v>
      </c>
      <c r="G450">
        <v>216</v>
      </c>
      <c r="H450">
        <v>88.4</v>
      </c>
      <c r="I450">
        <v>5.81</v>
      </c>
      <c r="J450">
        <v>170</v>
      </c>
      <c r="K450">
        <v>211</v>
      </c>
      <c r="L450">
        <v>201</v>
      </c>
      <c r="M450" t="s">
        <v>39</v>
      </c>
      <c r="N450">
        <v>7</v>
      </c>
      <c r="O450" t="s">
        <v>56</v>
      </c>
      <c r="P450">
        <v>18</v>
      </c>
      <c r="Q450">
        <v>1597</v>
      </c>
      <c r="R450">
        <v>5</v>
      </c>
      <c r="S450">
        <v>1</v>
      </c>
      <c r="T450" t="s">
        <v>32</v>
      </c>
      <c r="U450" t="s">
        <v>42</v>
      </c>
      <c r="V450">
        <v>241049</v>
      </c>
      <c r="W450">
        <v>3.5</v>
      </c>
      <c r="X450">
        <v>3</v>
      </c>
      <c r="Y450" t="s">
        <v>43</v>
      </c>
      <c r="Z450">
        <v>4.1900000000000004</v>
      </c>
      <c r="AA450" t="s">
        <v>35</v>
      </c>
    </row>
    <row r="451" spans="1:27" x14ac:dyDescent="0.3">
      <c r="A451" t="s">
        <v>52</v>
      </c>
      <c r="B451" t="s">
        <v>64</v>
      </c>
      <c r="C451">
        <v>2022</v>
      </c>
      <c r="D451" t="s">
        <v>50</v>
      </c>
      <c r="E451">
        <v>119080.01</v>
      </c>
      <c r="F451">
        <v>82.3</v>
      </c>
      <c r="G451">
        <v>284</v>
      </c>
      <c r="H451">
        <v>267.39999999999998</v>
      </c>
      <c r="I451">
        <v>5.42</v>
      </c>
      <c r="J451">
        <v>159</v>
      </c>
      <c r="K451">
        <v>912</v>
      </c>
      <c r="L451">
        <v>859</v>
      </c>
      <c r="M451" t="s">
        <v>54</v>
      </c>
      <c r="N451">
        <v>5</v>
      </c>
      <c r="O451" t="s">
        <v>31</v>
      </c>
      <c r="P451">
        <v>73.099999999999994</v>
      </c>
      <c r="Q451">
        <v>2165</v>
      </c>
      <c r="R451">
        <v>5</v>
      </c>
      <c r="S451">
        <v>2</v>
      </c>
      <c r="T451" t="s">
        <v>47</v>
      </c>
      <c r="U451" t="s">
        <v>33</v>
      </c>
      <c r="V451">
        <v>124340</v>
      </c>
      <c r="W451">
        <v>4</v>
      </c>
      <c r="X451">
        <v>6</v>
      </c>
      <c r="Y451" t="s">
        <v>43</v>
      </c>
      <c r="Z451">
        <v>3.45</v>
      </c>
      <c r="AA451" t="s">
        <v>35</v>
      </c>
    </row>
    <row r="452" spans="1:27" x14ac:dyDescent="0.3">
      <c r="A452" t="s">
        <v>84</v>
      </c>
      <c r="B452" t="s">
        <v>89</v>
      </c>
      <c r="C452">
        <v>2023</v>
      </c>
      <c r="D452" t="s">
        <v>63</v>
      </c>
      <c r="E452">
        <v>51056.88</v>
      </c>
      <c r="F452">
        <v>78.599999999999994</v>
      </c>
      <c r="G452">
        <v>262</v>
      </c>
      <c r="H452">
        <v>89.9</v>
      </c>
      <c r="I452">
        <v>6.52</v>
      </c>
      <c r="J452">
        <v>156</v>
      </c>
      <c r="K452">
        <v>500</v>
      </c>
      <c r="L452">
        <v>462</v>
      </c>
      <c r="M452" t="s">
        <v>54</v>
      </c>
      <c r="N452">
        <v>5</v>
      </c>
      <c r="O452" t="s">
        <v>57</v>
      </c>
      <c r="P452">
        <v>16.899999999999999</v>
      </c>
      <c r="Q452">
        <v>1639</v>
      </c>
      <c r="R452">
        <v>5</v>
      </c>
      <c r="S452">
        <v>0</v>
      </c>
      <c r="T452" t="s">
        <v>47</v>
      </c>
      <c r="U452" t="s">
        <v>42</v>
      </c>
      <c r="V452">
        <v>59730</v>
      </c>
      <c r="W452">
        <v>3.5</v>
      </c>
      <c r="X452">
        <v>4</v>
      </c>
      <c r="Y452" t="s">
        <v>43</v>
      </c>
      <c r="Z452">
        <v>3.33</v>
      </c>
      <c r="AA452" t="s">
        <v>35</v>
      </c>
    </row>
    <row r="453" spans="1:27" x14ac:dyDescent="0.3">
      <c r="A453" t="s">
        <v>48</v>
      </c>
      <c r="B453" t="s">
        <v>60</v>
      </c>
      <c r="C453">
        <v>2020</v>
      </c>
      <c r="D453" t="s">
        <v>63</v>
      </c>
      <c r="E453">
        <v>46532.99</v>
      </c>
      <c r="F453">
        <v>75.900000000000006</v>
      </c>
      <c r="G453">
        <v>260</v>
      </c>
      <c r="H453">
        <v>71.900000000000006</v>
      </c>
      <c r="I453">
        <v>5.92</v>
      </c>
      <c r="J453">
        <v>156</v>
      </c>
      <c r="K453">
        <v>419</v>
      </c>
      <c r="L453">
        <v>386</v>
      </c>
      <c r="M453" t="s">
        <v>54</v>
      </c>
      <c r="N453">
        <v>7</v>
      </c>
      <c r="O453" t="s">
        <v>46</v>
      </c>
      <c r="P453">
        <v>72.8</v>
      </c>
      <c r="Q453">
        <v>1762</v>
      </c>
      <c r="R453">
        <v>4</v>
      </c>
      <c r="S453">
        <v>0</v>
      </c>
      <c r="T453" t="s">
        <v>51</v>
      </c>
      <c r="U453" t="s">
        <v>42</v>
      </c>
      <c r="V453">
        <v>63258</v>
      </c>
      <c r="W453">
        <v>3.5</v>
      </c>
      <c r="X453">
        <v>4</v>
      </c>
      <c r="Y453" t="s">
        <v>43</v>
      </c>
      <c r="Z453">
        <v>3.43</v>
      </c>
      <c r="AA453" t="s">
        <v>35</v>
      </c>
    </row>
    <row r="454" spans="1:27" x14ac:dyDescent="0.3">
      <c r="A454" t="s">
        <v>27</v>
      </c>
      <c r="B454" t="s">
        <v>78</v>
      </c>
      <c r="C454">
        <v>2024</v>
      </c>
      <c r="D454" t="s">
        <v>38</v>
      </c>
      <c r="E454">
        <v>114364.87</v>
      </c>
      <c r="F454">
        <v>45.2</v>
      </c>
      <c r="G454">
        <v>151</v>
      </c>
      <c r="H454">
        <v>74.099999999999994</v>
      </c>
      <c r="I454">
        <v>6.55</v>
      </c>
      <c r="J454">
        <v>150</v>
      </c>
      <c r="K454">
        <v>1000</v>
      </c>
      <c r="L454">
        <v>911</v>
      </c>
      <c r="M454" t="s">
        <v>54</v>
      </c>
      <c r="N454">
        <v>5</v>
      </c>
      <c r="O454" t="s">
        <v>56</v>
      </c>
      <c r="P454">
        <v>31.4</v>
      </c>
      <c r="Q454">
        <v>1812</v>
      </c>
      <c r="R454">
        <v>5</v>
      </c>
      <c r="S454">
        <v>0</v>
      </c>
      <c r="T454" t="s">
        <v>32</v>
      </c>
      <c r="U454" t="s">
        <v>33</v>
      </c>
      <c r="V454">
        <v>233971</v>
      </c>
      <c r="W454">
        <v>3.2</v>
      </c>
      <c r="X454">
        <v>5</v>
      </c>
      <c r="Y454" t="s">
        <v>43</v>
      </c>
      <c r="Z454">
        <v>3.34</v>
      </c>
      <c r="AA454" t="s">
        <v>35</v>
      </c>
    </row>
    <row r="455" spans="1:27" x14ac:dyDescent="0.3">
      <c r="A455" t="s">
        <v>94</v>
      </c>
      <c r="B455" t="s">
        <v>95</v>
      </c>
      <c r="C455">
        <v>2025</v>
      </c>
      <c r="D455" t="s">
        <v>68</v>
      </c>
      <c r="E455">
        <v>109816.18</v>
      </c>
      <c r="F455">
        <v>60.8</v>
      </c>
      <c r="G455">
        <v>222</v>
      </c>
      <c r="H455">
        <v>113.4</v>
      </c>
      <c r="I455">
        <v>7.53</v>
      </c>
      <c r="J455">
        <v>139</v>
      </c>
      <c r="K455">
        <v>820</v>
      </c>
      <c r="L455">
        <v>730</v>
      </c>
      <c r="M455" t="s">
        <v>39</v>
      </c>
      <c r="N455">
        <v>5</v>
      </c>
      <c r="O455" t="s">
        <v>65</v>
      </c>
      <c r="P455">
        <v>39.6</v>
      </c>
      <c r="Q455">
        <v>1514</v>
      </c>
      <c r="R455">
        <v>5</v>
      </c>
      <c r="S455">
        <v>1</v>
      </c>
      <c r="T455" t="s">
        <v>32</v>
      </c>
      <c r="U455" t="s">
        <v>33</v>
      </c>
      <c r="V455">
        <v>73358</v>
      </c>
      <c r="W455">
        <v>3.5</v>
      </c>
      <c r="X455">
        <v>8</v>
      </c>
      <c r="Y455" t="s">
        <v>61</v>
      </c>
      <c r="Z455">
        <v>3.65</v>
      </c>
      <c r="AA455" t="s">
        <v>35</v>
      </c>
    </row>
    <row r="456" spans="1:27" x14ac:dyDescent="0.3">
      <c r="A456" t="s">
        <v>52</v>
      </c>
      <c r="B456" t="s">
        <v>55</v>
      </c>
      <c r="C456">
        <v>2026</v>
      </c>
      <c r="D456" t="s">
        <v>68</v>
      </c>
      <c r="E456">
        <v>40006.71</v>
      </c>
      <c r="F456">
        <v>63.9</v>
      </c>
      <c r="G456">
        <v>241</v>
      </c>
      <c r="H456">
        <v>313.7</v>
      </c>
      <c r="I456">
        <v>7.73</v>
      </c>
      <c r="J456">
        <v>131</v>
      </c>
      <c r="K456">
        <v>266</v>
      </c>
      <c r="L456">
        <v>234</v>
      </c>
      <c r="M456" t="s">
        <v>39</v>
      </c>
      <c r="N456">
        <v>7</v>
      </c>
      <c r="O456" t="s">
        <v>31</v>
      </c>
      <c r="P456">
        <v>64.2</v>
      </c>
      <c r="Q456">
        <v>2397</v>
      </c>
      <c r="R456">
        <v>4</v>
      </c>
      <c r="S456">
        <v>2</v>
      </c>
      <c r="T456" t="s">
        <v>47</v>
      </c>
      <c r="U456" t="s">
        <v>42</v>
      </c>
      <c r="V456">
        <v>488644</v>
      </c>
      <c r="W456">
        <v>3.7</v>
      </c>
      <c r="X456">
        <v>4</v>
      </c>
      <c r="Y456" t="s">
        <v>61</v>
      </c>
      <c r="Z456">
        <v>3.77</v>
      </c>
      <c r="AA456" t="s">
        <v>35</v>
      </c>
    </row>
    <row r="457" spans="1:27" x14ac:dyDescent="0.3">
      <c r="A457" t="s">
        <v>76</v>
      </c>
      <c r="B457" t="s">
        <v>87</v>
      </c>
      <c r="C457">
        <v>2025</v>
      </c>
      <c r="D457" t="s">
        <v>68</v>
      </c>
      <c r="E457">
        <v>63640</v>
      </c>
      <c r="F457">
        <v>40.299999999999997</v>
      </c>
      <c r="G457">
        <v>150</v>
      </c>
      <c r="H457">
        <v>135</v>
      </c>
      <c r="I457">
        <v>7.88</v>
      </c>
      <c r="J457">
        <v>131</v>
      </c>
      <c r="K457">
        <v>755</v>
      </c>
      <c r="L457">
        <v>696</v>
      </c>
      <c r="M457" t="s">
        <v>39</v>
      </c>
      <c r="N457">
        <v>5</v>
      </c>
      <c r="O457" t="s">
        <v>31</v>
      </c>
      <c r="P457">
        <v>53.7</v>
      </c>
      <c r="Q457">
        <v>2077</v>
      </c>
      <c r="R457">
        <v>4</v>
      </c>
      <c r="S457">
        <v>0</v>
      </c>
      <c r="T457" t="s">
        <v>51</v>
      </c>
      <c r="U457" t="s">
        <v>42</v>
      </c>
      <c r="V457">
        <v>139571</v>
      </c>
      <c r="W457">
        <v>3.2</v>
      </c>
      <c r="X457">
        <v>4</v>
      </c>
      <c r="Y457" t="s">
        <v>61</v>
      </c>
      <c r="Z457">
        <v>3.72</v>
      </c>
      <c r="AA457" t="s">
        <v>35</v>
      </c>
    </row>
    <row r="458" spans="1:27" x14ac:dyDescent="0.3">
      <c r="A458" t="s">
        <v>52</v>
      </c>
      <c r="B458" t="s">
        <v>55</v>
      </c>
      <c r="C458">
        <v>2025</v>
      </c>
      <c r="D458" t="s">
        <v>50</v>
      </c>
      <c r="E458">
        <v>161112.44</v>
      </c>
      <c r="F458">
        <v>98.8</v>
      </c>
      <c r="G458">
        <v>371</v>
      </c>
      <c r="H458">
        <v>313.39999999999998</v>
      </c>
      <c r="I458">
        <v>5.56</v>
      </c>
      <c r="J458">
        <v>163</v>
      </c>
      <c r="K458">
        <v>1000</v>
      </c>
      <c r="L458">
        <v>875</v>
      </c>
      <c r="M458" t="s">
        <v>30</v>
      </c>
      <c r="N458">
        <v>7</v>
      </c>
      <c r="O458" t="s">
        <v>57</v>
      </c>
      <c r="P458">
        <v>33</v>
      </c>
      <c r="Q458">
        <v>1641</v>
      </c>
      <c r="R458">
        <v>4</v>
      </c>
      <c r="S458">
        <v>2</v>
      </c>
      <c r="T458" t="s">
        <v>47</v>
      </c>
      <c r="U458" t="s">
        <v>33</v>
      </c>
      <c r="V458">
        <v>404800</v>
      </c>
      <c r="W458">
        <v>4.2</v>
      </c>
      <c r="X458">
        <v>5</v>
      </c>
      <c r="Y458" t="s">
        <v>43</v>
      </c>
      <c r="Z458">
        <v>3.76</v>
      </c>
      <c r="AA458" t="s">
        <v>35</v>
      </c>
    </row>
    <row r="459" spans="1:27" x14ac:dyDescent="0.3">
      <c r="A459" t="s">
        <v>76</v>
      </c>
      <c r="B459" t="s">
        <v>87</v>
      </c>
      <c r="C459">
        <v>2025</v>
      </c>
      <c r="D459" t="s">
        <v>38</v>
      </c>
      <c r="E459">
        <v>44861.53</v>
      </c>
      <c r="F459">
        <v>84.1</v>
      </c>
      <c r="G459">
        <v>305</v>
      </c>
      <c r="H459">
        <v>50.4</v>
      </c>
      <c r="I459">
        <v>5.0599999999999996</v>
      </c>
      <c r="J459">
        <v>172</v>
      </c>
      <c r="K459">
        <v>389</v>
      </c>
      <c r="L459">
        <v>344</v>
      </c>
      <c r="M459" t="s">
        <v>54</v>
      </c>
      <c r="N459">
        <v>5</v>
      </c>
      <c r="O459" t="s">
        <v>57</v>
      </c>
      <c r="P459">
        <v>24.7</v>
      </c>
      <c r="Q459">
        <v>1680</v>
      </c>
      <c r="R459">
        <v>4</v>
      </c>
      <c r="S459">
        <v>0</v>
      </c>
      <c r="T459" t="s">
        <v>51</v>
      </c>
      <c r="U459" t="s">
        <v>42</v>
      </c>
      <c r="V459">
        <v>98434</v>
      </c>
      <c r="W459">
        <v>3.5</v>
      </c>
      <c r="X459">
        <v>3</v>
      </c>
      <c r="Y459" t="s">
        <v>43</v>
      </c>
      <c r="Z459">
        <v>3.63</v>
      </c>
      <c r="AA459" t="s">
        <v>35</v>
      </c>
    </row>
    <row r="460" spans="1:27" x14ac:dyDescent="0.3">
      <c r="A460" t="s">
        <v>52</v>
      </c>
      <c r="B460" t="s">
        <v>64</v>
      </c>
      <c r="C460">
        <v>2023</v>
      </c>
      <c r="D460" t="s">
        <v>38</v>
      </c>
      <c r="E460">
        <v>137659.6</v>
      </c>
      <c r="F460">
        <v>56.7</v>
      </c>
      <c r="G460">
        <v>186</v>
      </c>
      <c r="H460">
        <v>223.5</v>
      </c>
      <c r="I460">
        <v>7.05</v>
      </c>
      <c r="J460">
        <v>142</v>
      </c>
      <c r="K460">
        <v>1000</v>
      </c>
      <c r="L460">
        <v>907</v>
      </c>
      <c r="M460" t="s">
        <v>30</v>
      </c>
      <c r="N460">
        <v>5</v>
      </c>
      <c r="O460" t="s">
        <v>57</v>
      </c>
      <c r="P460">
        <v>27.8</v>
      </c>
      <c r="Q460">
        <v>1530</v>
      </c>
      <c r="R460">
        <v>4</v>
      </c>
      <c r="S460">
        <v>2</v>
      </c>
      <c r="T460" t="s">
        <v>47</v>
      </c>
      <c r="U460" t="s">
        <v>33</v>
      </c>
      <c r="V460">
        <v>167952</v>
      </c>
      <c r="W460">
        <v>3.7</v>
      </c>
      <c r="X460">
        <v>6</v>
      </c>
      <c r="Y460" t="s">
        <v>61</v>
      </c>
      <c r="Z460">
        <v>3.28</v>
      </c>
      <c r="AA460" t="s">
        <v>35</v>
      </c>
    </row>
    <row r="461" spans="1:27" x14ac:dyDescent="0.3">
      <c r="A461" t="s">
        <v>52</v>
      </c>
      <c r="B461" t="s">
        <v>53</v>
      </c>
      <c r="C461">
        <v>2024</v>
      </c>
      <c r="D461" t="s">
        <v>63</v>
      </c>
      <c r="E461">
        <v>32105.759999999998</v>
      </c>
      <c r="F461">
        <v>54.4</v>
      </c>
      <c r="G461">
        <v>214</v>
      </c>
      <c r="H461">
        <v>223.7</v>
      </c>
      <c r="I461">
        <v>7.58</v>
      </c>
      <c r="J461">
        <v>129</v>
      </c>
      <c r="K461">
        <v>229</v>
      </c>
      <c r="L461">
        <v>203</v>
      </c>
      <c r="M461" t="s">
        <v>39</v>
      </c>
      <c r="N461">
        <v>5</v>
      </c>
      <c r="O461" t="s">
        <v>57</v>
      </c>
      <c r="P461">
        <v>18.8</v>
      </c>
      <c r="Q461">
        <v>1625</v>
      </c>
      <c r="R461">
        <v>4</v>
      </c>
      <c r="S461">
        <v>2</v>
      </c>
      <c r="T461" t="s">
        <v>47</v>
      </c>
      <c r="U461" t="s">
        <v>74</v>
      </c>
      <c r="V461">
        <v>245170</v>
      </c>
      <c r="W461">
        <v>3.5</v>
      </c>
      <c r="X461">
        <v>5</v>
      </c>
      <c r="Y461" t="s">
        <v>61</v>
      </c>
      <c r="Z461">
        <v>3.93</v>
      </c>
      <c r="AA461" t="s">
        <v>35</v>
      </c>
    </row>
    <row r="462" spans="1:27" x14ac:dyDescent="0.3">
      <c r="A462" t="s">
        <v>52</v>
      </c>
      <c r="B462" t="s">
        <v>53</v>
      </c>
      <c r="C462">
        <v>2025</v>
      </c>
      <c r="D462" t="s">
        <v>29</v>
      </c>
      <c r="E462">
        <v>42441.37</v>
      </c>
      <c r="F462">
        <v>104.2</v>
      </c>
      <c r="G462">
        <v>372</v>
      </c>
      <c r="H462">
        <v>260.89999999999998</v>
      </c>
      <c r="I462">
        <v>2.56</v>
      </c>
      <c r="J462">
        <v>200</v>
      </c>
      <c r="K462">
        <v>260</v>
      </c>
      <c r="L462">
        <v>237</v>
      </c>
      <c r="M462" t="s">
        <v>39</v>
      </c>
      <c r="N462">
        <v>7</v>
      </c>
      <c r="O462" t="s">
        <v>31</v>
      </c>
      <c r="P462">
        <v>57.3</v>
      </c>
      <c r="Q462">
        <v>2532</v>
      </c>
      <c r="R462">
        <v>5</v>
      </c>
      <c r="S462">
        <v>2</v>
      </c>
      <c r="T462" t="s">
        <v>47</v>
      </c>
      <c r="U462" t="s">
        <v>42</v>
      </c>
      <c r="V462">
        <v>230471</v>
      </c>
      <c r="W462">
        <v>4.3</v>
      </c>
      <c r="X462">
        <v>5</v>
      </c>
      <c r="Y462" t="s">
        <v>34</v>
      </c>
      <c r="Z462">
        <v>3.57</v>
      </c>
      <c r="AA462" t="s">
        <v>35</v>
      </c>
    </row>
    <row r="463" spans="1:27" x14ac:dyDescent="0.3">
      <c r="A463" t="s">
        <v>91</v>
      </c>
      <c r="B463" t="s">
        <v>112</v>
      </c>
      <c r="C463">
        <v>2022</v>
      </c>
      <c r="D463" t="s">
        <v>63</v>
      </c>
      <c r="E463">
        <v>61657.41</v>
      </c>
      <c r="F463">
        <v>79.900000000000006</v>
      </c>
      <c r="G463">
        <v>273</v>
      </c>
      <c r="H463">
        <v>112.4</v>
      </c>
      <c r="I463">
        <v>5.22</v>
      </c>
      <c r="J463">
        <v>174</v>
      </c>
      <c r="K463">
        <v>295</v>
      </c>
      <c r="L463">
        <v>276</v>
      </c>
      <c r="M463" t="s">
        <v>30</v>
      </c>
      <c r="N463">
        <v>5</v>
      </c>
      <c r="O463" t="s">
        <v>40</v>
      </c>
      <c r="P463">
        <v>58.7</v>
      </c>
      <c r="Q463">
        <v>1890</v>
      </c>
      <c r="R463">
        <v>5</v>
      </c>
      <c r="S463">
        <v>2</v>
      </c>
      <c r="T463" t="s">
        <v>32</v>
      </c>
      <c r="U463" t="s">
        <v>42</v>
      </c>
      <c r="V463">
        <v>21575</v>
      </c>
      <c r="W463">
        <v>3.7</v>
      </c>
      <c r="X463">
        <v>6</v>
      </c>
      <c r="Y463" t="s">
        <v>43</v>
      </c>
      <c r="Z463">
        <v>3.42</v>
      </c>
      <c r="AA463" t="s">
        <v>35</v>
      </c>
    </row>
    <row r="464" spans="1:27" x14ac:dyDescent="0.3">
      <c r="A464" t="s">
        <v>44</v>
      </c>
      <c r="B464" t="s">
        <v>110</v>
      </c>
      <c r="C464">
        <v>2023</v>
      </c>
      <c r="D464" t="s">
        <v>63</v>
      </c>
      <c r="E464">
        <v>37448.46</v>
      </c>
      <c r="F464">
        <v>74.099999999999994</v>
      </c>
      <c r="G464">
        <v>275</v>
      </c>
      <c r="H464">
        <v>104.4</v>
      </c>
      <c r="I464">
        <v>5.71</v>
      </c>
      <c r="J464">
        <v>165</v>
      </c>
      <c r="K464">
        <v>350</v>
      </c>
      <c r="L464">
        <v>350</v>
      </c>
      <c r="M464" t="s">
        <v>30</v>
      </c>
      <c r="N464">
        <v>7</v>
      </c>
      <c r="O464" t="s">
        <v>40</v>
      </c>
      <c r="P464">
        <v>47.5</v>
      </c>
      <c r="Q464">
        <v>1971</v>
      </c>
      <c r="R464">
        <v>5</v>
      </c>
      <c r="S464">
        <v>0</v>
      </c>
      <c r="T464" t="s">
        <v>47</v>
      </c>
      <c r="U464" t="s">
        <v>42</v>
      </c>
      <c r="V464">
        <v>12182</v>
      </c>
      <c r="W464">
        <v>3.7</v>
      </c>
      <c r="X464">
        <v>5</v>
      </c>
      <c r="Y464" t="s">
        <v>43</v>
      </c>
      <c r="Z464">
        <v>3.71</v>
      </c>
      <c r="AA464" t="s">
        <v>43</v>
      </c>
    </row>
    <row r="465" spans="1:27" x14ac:dyDescent="0.3">
      <c r="A465" t="s">
        <v>48</v>
      </c>
      <c r="B465" t="s">
        <v>88</v>
      </c>
      <c r="C465">
        <v>2023</v>
      </c>
      <c r="D465" t="s">
        <v>68</v>
      </c>
      <c r="E465">
        <v>55591.96</v>
      </c>
      <c r="F465">
        <v>80.5</v>
      </c>
      <c r="G465">
        <v>283</v>
      </c>
      <c r="H465">
        <v>90.4</v>
      </c>
      <c r="I465">
        <v>6.21</v>
      </c>
      <c r="J465">
        <v>166</v>
      </c>
      <c r="K465">
        <v>533</v>
      </c>
      <c r="L465">
        <v>490</v>
      </c>
      <c r="M465" t="s">
        <v>30</v>
      </c>
      <c r="N465">
        <v>5</v>
      </c>
      <c r="O465" t="s">
        <v>40</v>
      </c>
      <c r="P465">
        <v>41.6</v>
      </c>
      <c r="Q465">
        <v>2004</v>
      </c>
      <c r="R465">
        <v>4</v>
      </c>
      <c r="S465">
        <v>1</v>
      </c>
      <c r="T465" t="s">
        <v>51</v>
      </c>
      <c r="U465" t="s">
        <v>42</v>
      </c>
      <c r="V465">
        <v>113695</v>
      </c>
      <c r="W465">
        <v>3.6</v>
      </c>
      <c r="X465">
        <v>5</v>
      </c>
      <c r="Y465" t="s">
        <v>43</v>
      </c>
      <c r="Z465">
        <v>3.52</v>
      </c>
      <c r="AA465" t="s">
        <v>35</v>
      </c>
    </row>
    <row r="466" spans="1:27" x14ac:dyDescent="0.3">
      <c r="A466" t="s">
        <v>36</v>
      </c>
      <c r="B466" t="s">
        <v>120</v>
      </c>
      <c r="C466">
        <v>2024</v>
      </c>
      <c r="D466" t="s">
        <v>50</v>
      </c>
      <c r="E466">
        <v>55686.21</v>
      </c>
      <c r="F466">
        <v>91.7</v>
      </c>
      <c r="G466">
        <v>324</v>
      </c>
      <c r="H466">
        <v>116.2</v>
      </c>
      <c r="I466">
        <v>4.88</v>
      </c>
      <c r="J466">
        <v>179</v>
      </c>
      <c r="K466">
        <v>560</v>
      </c>
      <c r="L466">
        <v>505</v>
      </c>
      <c r="M466" t="s">
        <v>39</v>
      </c>
      <c r="N466">
        <v>5</v>
      </c>
      <c r="O466" t="s">
        <v>46</v>
      </c>
      <c r="P466">
        <v>64.2</v>
      </c>
      <c r="Q466">
        <v>1570</v>
      </c>
      <c r="R466">
        <v>5</v>
      </c>
      <c r="S466">
        <v>1</v>
      </c>
      <c r="T466" t="s">
        <v>41</v>
      </c>
      <c r="U466" t="s">
        <v>42</v>
      </c>
      <c r="V466">
        <v>18558</v>
      </c>
      <c r="W466">
        <v>3.6</v>
      </c>
      <c r="X466">
        <v>4</v>
      </c>
      <c r="Y466" t="s">
        <v>43</v>
      </c>
      <c r="Z466">
        <v>3.53</v>
      </c>
      <c r="AA466" t="s">
        <v>43</v>
      </c>
    </row>
    <row r="467" spans="1:27" x14ac:dyDescent="0.3">
      <c r="A467" t="s">
        <v>27</v>
      </c>
      <c r="B467" t="s">
        <v>78</v>
      </c>
      <c r="C467">
        <v>2025</v>
      </c>
      <c r="D467" t="s">
        <v>50</v>
      </c>
      <c r="E467">
        <v>47485.93</v>
      </c>
      <c r="F467">
        <v>104.7</v>
      </c>
      <c r="G467">
        <v>349</v>
      </c>
      <c r="H467">
        <v>67.7</v>
      </c>
      <c r="I467">
        <v>5.75</v>
      </c>
      <c r="J467">
        <v>166</v>
      </c>
      <c r="K467">
        <v>429</v>
      </c>
      <c r="L467">
        <v>423</v>
      </c>
      <c r="M467" t="s">
        <v>39</v>
      </c>
      <c r="N467">
        <v>5</v>
      </c>
      <c r="O467" t="s">
        <v>65</v>
      </c>
      <c r="P467">
        <v>17.8</v>
      </c>
      <c r="Q467">
        <v>1870</v>
      </c>
      <c r="R467">
        <v>4</v>
      </c>
      <c r="S467">
        <v>1</v>
      </c>
      <c r="T467" t="s">
        <v>32</v>
      </c>
      <c r="U467" t="s">
        <v>42</v>
      </c>
      <c r="V467">
        <v>243761</v>
      </c>
      <c r="W467">
        <v>3.6</v>
      </c>
      <c r="X467">
        <v>5</v>
      </c>
      <c r="Y467" t="s">
        <v>43</v>
      </c>
      <c r="Z467">
        <v>3.33</v>
      </c>
      <c r="AA467" t="s">
        <v>35</v>
      </c>
    </row>
    <row r="468" spans="1:27" x14ac:dyDescent="0.3">
      <c r="A468" t="s">
        <v>71</v>
      </c>
      <c r="B468" t="s">
        <v>104</v>
      </c>
      <c r="C468">
        <v>2025</v>
      </c>
      <c r="D468" t="s">
        <v>29</v>
      </c>
      <c r="E468">
        <v>53346.09</v>
      </c>
      <c r="F468">
        <v>111</v>
      </c>
      <c r="G468">
        <v>410</v>
      </c>
      <c r="H468">
        <v>228.9</v>
      </c>
      <c r="I468">
        <v>4.0199999999999996</v>
      </c>
      <c r="J468">
        <v>189</v>
      </c>
      <c r="K468">
        <v>553</v>
      </c>
      <c r="L468">
        <v>436</v>
      </c>
      <c r="M468" t="s">
        <v>39</v>
      </c>
      <c r="N468">
        <v>7</v>
      </c>
      <c r="O468" t="s">
        <v>40</v>
      </c>
      <c r="P468">
        <v>67.3</v>
      </c>
      <c r="Q468">
        <v>1923</v>
      </c>
      <c r="R468">
        <v>5</v>
      </c>
      <c r="S468">
        <v>0</v>
      </c>
      <c r="T468" t="s">
        <v>73</v>
      </c>
      <c r="U468" t="s">
        <v>42</v>
      </c>
      <c r="V468">
        <v>141126</v>
      </c>
      <c r="W468">
        <v>4.2</v>
      </c>
      <c r="X468">
        <v>3</v>
      </c>
      <c r="Y468" t="s">
        <v>43</v>
      </c>
      <c r="Z468">
        <v>3.69</v>
      </c>
      <c r="AA468" t="s">
        <v>35</v>
      </c>
    </row>
    <row r="469" spans="1:27" x14ac:dyDescent="0.3">
      <c r="A469" t="s">
        <v>58</v>
      </c>
      <c r="B469" t="s">
        <v>105</v>
      </c>
      <c r="C469">
        <v>2025</v>
      </c>
      <c r="D469" t="s">
        <v>50</v>
      </c>
      <c r="E469">
        <v>162751.1</v>
      </c>
      <c r="F469">
        <v>96.3</v>
      </c>
      <c r="G469">
        <v>344</v>
      </c>
      <c r="H469">
        <v>117</v>
      </c>
      <c r="I469">
        <v>4.3499999999999996</v>
      </c>
      <c r="J469">
        <v>185</v>
      </c>
      <c r="K469">
        <v>1000</v>
      </c>
      <c r="L469">
        <v>889</v>
      </c>
      <c r="M469" t="s">
        <v>30</v>
      </c>
      <c r="N469">
        <v>5</v>
      </c>
      <c r="O469" t="s">
        <v>65</v>
      </c>
      <c r="P469">
        <v>33.4</v>
      </c>
      <c r="Q469">
        <v>1500</v>
      </c>
      <c r="R469">
        <v>5</v>
      </c>
      <c r="S469">
        <v>1</v>
      </c>
      <c r="T469" t="s">
        <v>32</v>
      </c>
      <c r="U469" t="s">
        <v>33</v>
      </c>
      <c r="V469">
        <v>68195</v>
      </c>
      <c r="W469">
        <v>4.3</v>
      </c>
      <c r="X469">
        <v>6</v>
      </c>
      <c r="Y469" t="s">
        <v>43</v>
      </c>
      <c r="Z469">
        <v>3.57</v>
      </c>
      <c r="AA469" t="s">
        <v>35</v>
      </c>
    </row>
    <row r="470" spans="1:27" x14ac:dyDescent="0.3">
      <c r="A470" t="s">
        <v>71</v>
      </c>
      <c r="B470" t="s">
        <v>104</v>
      </c>
      <c r="C470">
        <v>2020</v>
      </c>
      <c r="D470" t="s">
        <v>68</v>
      </c>
      <c r="E470">
        <v>70472.75</v>
      </c>
      <c r="F470">
        <v>66.3</v>
      </c>
      <c r="G470">
        <v>241</v>
      </c>
      <c r="H470">
        <v>74.7</v>
      </c>
      <c r="I470">
        <v>7.41</v>
      </c>
      <c r="J470">
        <v>138</v>
      </c>
      <c r="K470">
        <v>730</v>
      </c>
      <c r="L470">
        <v>699</v>
      </c>
      <c r="M470" t="s">
        <v>30</v>
      </c>
      <c r="N470">
        <v>5</v>
      </c>
      <c r="O470" t="s">
        <v>46</v>
      </c>
      <c r="P470">
        <v>67.2</v>
      </c>
      <c r="Q470">
        <v>1731</v>
      </c>
      <c r="R470">
        <v>3</v>
      </c>
      <c r="S470">
        <v>2</v>
      </c>
      <c r="T470" t="s">
        <v>73</v>
      </c>
      <c r="U470" t="s">
        <v>38</v>
      </c>
      <c r="V470">
        <v>199656</v>
      </c>
      <c r="W470">
        <v>3.4</v>
      </c>
      <c r="X470">
        <v>4</v>
      </c>
      <c r="Y470" t="s">
        <v>61</v>
      </c>
      <c r="Z470">
        <v>3.63</v>
      </c>
      <c r="AA470" t="s">
        <v>35</v>
      </c>
    </row>
    <row r="471" spans="1:27" x14ac:dyDescent="0.3">
      <c r="A471" t="s">
        <v>36</v>
      </c>
      <c r="B471" t="s">
        <v>120</v>
      </c>
      <c r="C471">
        <v>2024</v>
      </c>
      <c r="D471" t="s">
        <v>63</v>
      </c>
      <c r="E471">
        <v>36014.199999999997</v>
      </c>
      <c r="F471">
        <v>52.5</v>
      </c>
      <c r="G471">
        <v>186</v>
      </c>
      <c r="H471">
        <v>91.3</v>
      </c>
      <c r="I471">
        <v>5.22</v>
      </c>
      <c r="J471">
        <v>177</v>
      </c>
      <c r="K471">
        <v>200</v>
      </c>
      <c r="L471">
        <v>212</v>
      </c>
      <c r="M471" t="s">
        <v>39</v>
      </c>
      <c r="N471">
        <v>5</v>
      </c>
      <c r="O471" t="s">
        <v>57</v>
      </c>
      <c r="P471">
        <v>29.8</v>
      </c>
      <c r="Q471">
        <v>1500</v>
      </c>
      <c r="R471">
        <v>4</v>
      </c>
      <c r="S471">
        <v>1</v>
      </c>
      <c r="T471" t="s">
        <v>41</v>
      </c>
      <c r="U471" t="s">
        <v>42</v>
      </c>
      <c r="V471">
        <v>5267</v>
      </c>
      <c r="W471">
        <v>3.4</v>
      </c>
      <c r="X471">
        <v>3</v>
      </c>
      <c r="Y471" t="s">
        <v>43</v>
      </c>
      <c r="Z471">
        <v>3.54</v>
      </c>
      <c r="AA471" t="s">
        <v>43</v>
      </c>
    </row>
    <row r="472" spans="1:27" x14ac:dyDescent="0.3">
      <c r="A472" t="s">
        <v>52</v>
      </c>
      <c r="B472" t="s">
        <v>55</v>
      </c>
      <c r="C472">
        <v>2026</v>
      </c>
      <c r="D472" t="s">
        <v>63</v>
      </c>
      <c r="E472">
        <v>41355.449999999997</v>
      </c>
      <c r="F472">
        <v>69.599999999999994</v>
      </c>
      <c r="G472">
        <v>247</v>
      </c>
      <c r="H472">
        <v>307.7</v>
      </c>
      <c r="I472">
        <v>5.79</v>
      </c>
      <c r="J472">
        <v>165</v>
      </c>
      <c r="K472">
        <v>287</v>
      </c>
      <c r="L472">
        <v>328</v>
      </c>
      <c r="M472" t="s">
        <v>54</v>
      </c>
      <c r="N472">
        <v>5</v>
      </c>
      <c r="O472" t="s">
        <v>46</v>
      </c>
      <c r="P472">
        <v>69.8</v>
      </c>
      <c r="Q472">
        <v>1501</v>
      </c>
      <c r="R472">
        <v>4</v>
      </c>
      <c r="S472">
        <v>2</v>
      </c>
      <c r="T472" t="s">
        <v>47</v>
      </c>
      <c r="U472" t="s">
        <v>42</v>
      </c>
      <c r="V472">
        <v>407336</v>
      </c>
      <c r="W472">
        <v>3.8</v>
      </c>
      <c r="X472">
        <v>4</v>
      </c>
      <c r="Y472" t="s">
        <v>43</v>
      </c>
      <c r="Z472">
        <v>3.55</v>
      </c>
      <c r="AA472" t="s">
        <v>35</v>
      </c>
    </row>
    <row r="473" spans="1:27" x14ac:dyDescent="0.3">
      <c r="A473" t="s">
        <v>66</v>
      </c>
      <c r="B473" t="s">
        <v>67</v>
      </c>
      <c r="C473">
        <v>2024</v>
      </c>
      <c r="D473" t="s">
        <v>63</v>
      </c>
      <c r="E473">
        <v>65556.39</v>
      </c>
      <c r="F473">
        <v>55.1</v>
      </c>
      <c r="G473">
        <v>194</v>
      </c>
      <c r="H473">
        <v>77.099999999999994</v>
      </c>
      <c r="I473">
        <v>6.84</v>
      </c>
      <c r="J473">
        <v>143</v>
      </c>
      <c r="K473">
        <v>472</v>
      </c>
      <c r="L473">
        <v>380</v>
      </c>
      <c r="M473" t="s">
        <v>54</v>
      </c>
      <c r="N473">
        <v>7</v>
      </c>
      <c r="O473" t="s">
        <v>46</v>
      </c>
      <c r="P473">
        <v>70.599999999999994</v>
      </c>
      <c r="Q473">
        <v>1500</v>
      </c>
      <c r="R473">
        <v>5</v>
      </c>
      <c r="S473">
        <v>1</v>
      </c>
      <c r="T473" t="s">
        <v>47</v>
      </c>
      <c r="U473" t="s">
        <v>38</v>
      </c>
      <c r="V473">
        <v>2927</v>
      </c>
      <c r="W473">
        <v>3.4</v>
      </c>
      <c r="X473">
        <v>4</v>
      </c>
      <c r="Y473" t="s">
        <v>43</v>
      </c>
      <c r="Z473">
        <v>3.52</v>
      </c>
      <c r="AA473" t="s">
        <v>69</v>
      </c>
    </row>
    <row r="474" spans="1:27" x14ac:dyDescent="0.3">
      <c r="A474" t="s">
        <v>52</v>
      </c>
      <c r="B474" t="s">
        <v>64</v>
      </c>
      <c r="C474">
        <v>2026</v>
      </c>
      <c r="D474" t="s">
        <v>63</v>
      </c>
      <c r="E474">
        <v>88832.48</v>
      </c>
      <c r="F474">
        <v>49.6</v>
      </c>
      <c r="G474">
        <v>157</v>
      </c>
      <c r="H474">
        <v>285.7</v>
      </c>
      <c r="I474">
        <v>7.87</v>
      </c>
      <c r="J474">
        <v>138</v>
      </c>
      <c r="K474">
        <v>597</v>
      </c>
      <c r="L474">
        <v>558</v>
      </c>
      <c r="M474" t="s">
        <v>39</v>
      </c>
      <c r="N474">
        <v>7</v>
      </c>
      <c r="O474" t="s">
        <v>57</v>
      </c>
      <c r="P474">
        <v>24.3</v>
      </c>
      <c r="Q474">
        <v>1583</v>
      </c>
      <c r="R474">
        <v>5</v>
      </c>
      <c r="S474">
        <v>2</v>
      </c>
      <c r="T474" t="s">
        <v>47</v>
      </c>
      <c r="U474" t="s">
        <v>38</v>
      </c>
      <c r="V474">
        <v>238605</v>
      </c>
      <c r="W474">
        <v>3.5</v>
      </c>
      <c r="X474">
        <v>4</v>
      </c>
      <c r="Y474" t="s">
        <v>61</v>
      </c>
      <c r="Z474">
        <v>3.17</v>
      </c>
      <c r="AA474" t="s">
        <v>35</v>
      </c>
    </row>
    <row r="475" spans="1:27" x14ac:dyDescent="0.3">
      <c r="A475" t="s">
        <v>94</v>
      </c>
      <c r="B475" t="s">
        <v>125</v>
      </c>
      <c r="C475">
        <v>2026</v>
      </c>
      <c r="D475" t="s">
        <v>50</v>
      </c>
      <c r="E475">
        <v>71435.350000000006</v>
      </c>
      <c r="F475">
        <v>106</v>
      </c>
      <c r="G475">
        <v>377</v>
      </c>
      <c r="H475">
        <v>144.5</v>
      </c>
      <c r="I475">
        <v>5.29</v>
      </c>
      <c r="J475">
        <v>176</v>
      </c>
      <c r="K475">
        <v>416</v>
      </c>
      <c r="L475">
        <v>348</v>
      </c>
      <c r="M475" t="s">
        <v>39</v>
      </c>
      <c r="N475">
        <v>7</v>
      </c>
      <c r="O475" t="s">
        <v>56</v>
      </c>
      <c r="P475">
        <v>34.1</v>
      </c>
      <c r="Q475">
        <v>1500</v>
      </c>
      <c r="R475">
        <v>3</v>
      </c>
      <c r="S475">
        <v>1</v>
      </c>
      <c r="T475" t="s">
        <v>32</v>
      </c>
      <c r="U475" t="s">
        <v>38</v>
      </c>
      <c r="V475">
        <v>45647</v>
      </c>
      <c r="W475">
        <v>4</v>
      </c>
      <c r="X475">
        <v>6</v>
      </c>
      <c r="Y475" t="s">
        <v>43</v>
      </c>
      <c r="Z475">
        <v>3.56</v>
      </c>
      <c r="AA475" t="s">
        <v>35</v>
      </c>
    </row>
    <row r="476" spans="1:27" x14ac:dyDescent="0.3">
      <c r="A476" t="s">
        <v>76</v>
      </c>
      <c r="B476" t="s">
        <v>117</v>
      </c>
      <c r="C476">
        <v>2025</v>
      </c>
      <c r="D476" t="s">
        <v>68</v>
      </c>
      <c r="E476">
        <v>41853.99</v>
      </c>
      <c r="F476">
        <v>80.099999999999994</v>
      </c>
      <c r="G476">
        <v>318</v>
      </c>
      <c r="H476">
        <v>59.6</v>
      </c>
      <c r="I476">
        <v>6.15</v>
      </c>
      <c r="J476">
        <v>157</v>
      </c>
      <c r="K476">
        <v>390</v>
      </c>
      <c r="L476">
        <v>369</v>
      </c>
      <c r="M476" t="s">
        <v>39</v>
      </c>
      <c r="N476">
        <v>7</v>
      </c>
      <c r="O476" t="s">
        <v>56</v>
      </c>
      <c r="P476">
        <v>21.8</v>
      </c>
      <c r="Q476">
        <v>1688</v>
      </c>
      <c r="R476">
        <v>4</v>
      </c>
      <c r="S476">
        <v>1</v>
      </c>
      <c r="T476" t="s">
        <v>51</v>
      </c>
      <c r="U476" t="s">
        <v>42</v>
      </c>
      <c r="V476">
        <v>111448</v>
      </c>
      <c r="W476">
        <v>3.7</v>
      </c>
      <c r="X476">
        <v>4</v>
      </c>
      <c r="Y476" t="s">
        <v>43</v>
      </c>
      <c r="Z476">
        <v>3.97</v>
      </c>
      <c r="AA476" t="s">
        <v>35</v>
      </c>
    </row>
    <row r="477" spans="1:27" x14ac:dyDescent="0.3">
      <c r="A477" t="s">
        <v>129</v>
      </c>
      <c r="B477" t="s">
        <v>130</v>
      </c>
      <c r="C477">
        <v>2025</v>
      </c>
      <c r="D477" t="s">
        <v>38</v>
      </c>
      <c r="E477">
        <v>96813.71</v>
      </c>
      <c r="F477">
        <v>40.6</v>
      </c>
      <c r="G477">
        <v>150</v>
      </c>
      <c r="H477">
        <v>140.69999999999999</v>
      </c>
      <c r="I477">
        <v>7.68</v>
      </c>
      <c r="J477">
        <v>123</v>
      </c>
      <c r="K477">
        <v>899</v>
      </c>
      <c r="L477">
        <v>801</v>
      </c>
      <c r="M477" t="s">
        <v>39</v>
      </c>
      <c r="N477">
        <v>7</v>
      </c>
      <c r="O477" t="s">
        <v>46</v>
      </c>
      <c r="P477">
        <v>63.9</v>
      </c>
      <c r="Q477">
        <v>1615</v>
      </c>
      <c r="R477">
        <v>5</v>
      </c>
      <c r="S477">
        <v>2</v>
      </c>
      <c r="T477" t="s">
        <v>131</v>
      </c>
      <c r="U477" t="s">
        <v>38</v>
      </c>
      <c r="V477">
        <v>10606</v>
      </c>
      <c r="W477">
        <v>3.2</v>
      </c>
      <c r="X477">
        <v>3</v>
      </c>
      <c r="Y477" t="s">
        <v>61</v>
      </c>
      <c r="Z477">
        <v>3.69</v>
      </c>
      <c r="AA477" t="s">
        <v>43</v>
      </c>
    </row>
    <row r="478" spans="1:27" x14ac:dyDescent="0.3">
      <c r="A478" t="s">
        <v>52</v>
      </c>
      <c r="B478" t="s">
        <v>55</v>
      </c>
      <c r="C478">
        <v>2025</v>
      </c>
      <c r="D478" t="s">
        <v>38</v>
      </c>
      <c r="E478">
        <v>129623.74</v>
      </c>
      <c r="F478">
        <v>54.6</v>
      </c>
      <c r="G478">
        <v>210</v>
      </c>
      <c r="H478">
        <v>270</v>
      </c>
      <c r="I478">
        <v>7.44</v>
      </c>
      <c r="J478">
        <v>132</v>
      </c>
      <c r="K478">
        <v>960</v>
      </c>
      <c r="L478">
        <v>849</v>
      </c>
      <c r="M478" t="s">
        <v>30</v>
      </c>
      <c r="N478">
        <v>5</v>
      </c>
      <c r="O478" t="s">
        <v>31</v>
      </c>
      <c r="P478">
        <v>75.599999999999994</v>
      </c>
      <c r="Q478">
        <v>2337</v>
      </c>
      <c r="R478">
        <v>5</v>
      </c>
      <c r="S478">
        <v>2</v>
      </c>
      <c r="T478" t="s">
        <v>47</v>
      </c>
      <c r="U478" t="s">
        <v>33</v>
      </c>
      <c r="V478">
        <v>481115</v>
      </c>
      <c r="W478">
        <v>3.5</v>
      </c>
      <c r="X478">
        <v>5</v>
      </c>
      <c r="Y478" t="s">
        <v>61</v>
      </c>
      <c r="Z478">
        <v>3.85</v>
      </c>
      <c r="AA478" t="s">
        <v>35</v>
      </c>
    </row>
    <row r="479" spans="1:27" x14ac:dyDescent="0.3">
      <c r="A479" t="s">
        <v>48</v>
      </c>
      <c r="B479" t="s">
        <v>88</v>
      </c>
      <c r="C479">
        <v>2024</v>
      </c>
      <c r="D479" t="s">
        <v>68</v>
      </c>
      <c r="E479">
        <v>70066.61</v>
      </c>
      <c r="F479">
        <v>55.2</v>
      </c>
      <c r="G479">
        <v>186</v>
      </c>
      <c r="H479">
        <v>110.9</v>
      </c>
      <c r="I479">
        <v>5.46</v>
      </c>
      <c r="J479">
        <v>169</v>
      </c>
      <c r="K479">
        <v>783</v>
      </c>
      <c r="L479">
        <v>737</v>
      </c>
      <c r="M479" t="s">
        <v>30</v>
      </c>
      <c r="N479">
        <v>7</v>
      </c>
      <c r="O479" t="s">
        <v>40</v>
      </c>
      <c r="P479">
        <v>36.799999999999997</v>
      </c>
      <c r="Q479">
        <v>1704</v>
      </c>
      <c r="R479">
        <v>4</v>
      </c>
      <c r="S479">
        <v>2</v>
      </c>
      <c r="T479" t="s">
        <v>51</v>
      </c>
      <c r="U479" t="s">
        <v>38</v>
      </c>
      <c r="V479">
        <v>125092</v>
      </c>
      <c r="W479">
        <v>3.1</v>
      </c>
      <c r="X479">
        <v>3</v>
      </c>
      <c r="Y479" t="s">
        <v>43</v>
      </c>
      <c r="Z479">
        <v>3.37</v>
      </c>
      <c r="AA479" t="s">
        <v>35</v>
      </c>
    </row>
    <row r="480" spans="1:27" x14ac:dyDescent="0.3">
      <c r="A480" t="s">
        <v>66</v>
      </c>
      <c r="B480" t="s">
        <v>119</v>
      </c>
      <c r="C480">
        <v>2025</v>
      </c>
      <c r="D480" t="s">
        <v>38</v>
      </c>
      <c r="E480">
        <v>141027</v>
      </c>
      <c r="F480">
        <v>54.1</v>
      </c>
      <c r="G480">
        <v>190</v>
      </c>
      <c r="H480">
        <v>99</v>
      </c>
      <c r="I480">
        <v>6.37</v>
      </c>
      <c r="J480">
        <v>168</v>
      </c>
      <c r="K480">
        <v>1000</v>
      </c>
      <c r="L480">
        <v>877</v>
      </c>
      <c r="M480" t="s">
        <v>30</v>
      </c>
      <c r="N480">
        <v>7</v>
      </c>
      <c r="O480" t="s">
        <v>65</v>
      </c>
      <c r="P480">
        <v>32.1</v>
      </c>
      <c r="Q480">
        <v>1626</v>
      </c>
      <c r="R480">
        <v>5</v>
      </c>
      <c r="S480">
        <v>1</v>
      </c>
      <c r="T480" t="s">
        <v>47</v>
      </c>
      <c r="U480" t="s">
        <v>33</v>
      </c>
      <c r="V480">
        <v>11123</v>
      </c>
      <c r="W480">
        <v>3.4</v>
      </c>
      <c r="X480">
        <v>4</v>
      </c>
      <c r="Y480" t="s">
        <v>43</v>
      </c>
      <c r="Z480">
        <v>3.51</v>
      </c>
      <c r="AA480" t="s">
        <v>43</v>
      </c>
    </row>
    <row r="481" spans="1:27" x14ac:dyDescent="0.3">
      <c r="A481" t="s">
        <v>76</v>
      </c>
      <c r="B481" t="s">
        <v>114</v>
      </c>
      <c r="C481">
        <v>2020</v>
      </c>
      <c r="D481" t="s">
        <v>68</v>
      </c>
      <c r="E481">
        <v>50630.65</v>
      </c>
      <c r="F481">
        <v>64</v>
      </c>
      <c r="G481">
        <v>203</v>
      </c>
      <c r="H481">
        <v>104.1</v>
      </c>
      <c r="I481">
        <v>5.57</v>
      </c>
      <c r="J481">
        <v>171</v>
      </c>
      <c r="K481">
        <v>545</v>
      </c>
      <c r="L481">
        <v>452</v>
      </c>
      <c r="M481" t="s">
        <v>39</v>
      </c>
      <c r="N481">
        <v>5</v>
      </c>
      <c r="O481" t="s">
        <v>56</v>
      </c>
      <c r="P481">
        <v>31.4</v>
      </c>
      <c r="Q481">
        <v>1560</v>
      </c>
      <c r="R481">
        <v>5</v>
      </c>
      <c r="S481">
        <v>0</v>
      </c>
      <c r="T481" t="s">
        <v>51</v>
      </c>
      <c r="U481" t="s">
        <v>42</v>
      </c>
      <c r="V481">
        <v>60112</v>
      </c>
      <c r="W481">
        <v>3.4</v>
      </c>
      <c r="X481">
        <v>3</v>
      </c>
      <c r="Y481" t="s">
        <v>43</v>
      </c>
      <c r="Z481">
        <v>3.17</v>
      </c>
      <c r="AA481" t="s">
        <v>35</v>
      </c>
    </row>
    <row r="482" spans="1:27" x14ac:dyDescent="0.3">
      <c r="A482" t="s">
        <v>91</v>
      </c>
      <c r="B482" t="s">
        <v>124</v>
      </c>
      <c r="C482">
        <v>2025</v>
      </c>
      <c r="D482" t="s">
        <v>38</v>
      </c>
      <c r="E482">
        <v>113836.67</v>
      </c>
      <c r="F482">
        <v>71.5</v>
      </c>
      <c r="G482">
        <v>253</v>
      </c>
      <c r="H482">
        <v>76.5</v>
      </c>
      <c r="I482">
        <v>6.71</v>
      </c>
      <c r="J482">
        <v>152</v>
      </c>
      <c r="K482">
        <v>1000</v>
      </c>
      <c r="L482">
        <v>842</v>
      </c>
      <c r="M482" t="s">
        <v>39</v>
      </c>
      <c r="N482">
        <v>7</v>
      </c>
      <c r="O482" t="s">
        <v>40</v>
      </c>
      <c r="P482">
        <v>37.200000000000003</v>
      </c>
      <c r="Q482">
        <v>1950</v>
      </c>
      <c r="R482">
        <v>4</v>
      </c>
      <c r="S482">
        <v>1</v>
      </c>
      <c r="T482" t="s">
        <v>32</v>
      </c>
      <c r="U482" t="s">
        <v>33</v>
      </c>
      <c r="V482">
        <v>42535</v>
      </c>
      <c r="W482">
        <v>3.5</v>
      </c>
      <c r="X482">
        <v>8</v>
      </c>
      <c r="Y482" t="s">
        <v>43</v>
      </c>
      <c r="Z482">
        <v>3.54</v>
      </c>
      <c r="AA482" t="s">
        <v>35</v>
      </c>
    </row>
    <row r="483" spans="1:27" x14ac:dyDescent="0.3">
      <c r="A483" t="s">
        <v>44</v>
      </c>
      <c r="B483" t="s">
        <v>126</v>
      </c>
      <c r="C483">
        <v>2025</v>
      </c>
      <c r="D483" t="s">
        <v>68</v>
      </c>
      <c r="E483">
        <v>51177.18</v>
      </c>
      <c r="F483">
        <v>46.9</v>
      </c>
      <c r="G483">
        <v>150</v>
      </c>
      <c r="H483">
        <v>107.7</v>
      </c>
      <c r="I483">
        <v>7.48</v>
      </c>
      <c r="J483">
        <v>140</v>
      </c>
      <c r="K483">
        <v>597</v>
      </c>
      <c r="L483">
        <v>521</v>
      </c>
      <c r="M483" t="s">
        <v>39</v>
      </c>
      <c r="N483">
        <v>7</v>
      </c>
      <c r="O483" t="s">
        <v>46</v>
      </c>
      <c r="P483">
        <v>60.3</v>
      </c>
      <c r="Q483">
        <v>1514</v>
      </c>
      <c r="R483">
        <v>4</v>
      </c>
      <c r="S483">
        <v>0</v>
      </c>
      <c r="T483" t="s">
        <v>47</v>
      </c>
      <c r="U483" t="s">
        <v>42</v>
      </c>
      <c r="V483">
        <v>14323</v>
      </c>
      <c r="W483">
        <v>3.3</v>
      </c>
      <c r="X483">
        <v>4</v>
      </c>
      <c r="Y483" t="s">
        <v>61</v>
      </c>
      <c r="Z483">
        <v>3.2</v>
      </c>
      <c r="AA483" t="s">
        <v>43</v>
      </c>
    </row>
    <row r="484" spans="1:27" x14ac:dyDescent="0.3">
      <c r="A484" t="s">
        <v>27</v>
      </c>
      <c r="B484" t="s">
        <v>93</v>
      </c>
      <c r="C484">
        <v>2026</v>
      </c>
      <c r="D484" t="s">
        <v>50</v>
      </c>
      <c r="E484">
        <v>92636.43</v>
      </c>
      <c r="F484">
        <v>109.7</v>
      </c>
      <c r="G484">
        <v>373</v>
      </c>
      <c r="H484">
        <v>74.5</v>
      </c>
      <c r="I484">
        <v>4.4400000000000004</v>
      </c>
      <c r="J484">
        <v>188</v>
      </c>
      <c r="K484">
        <v>1000</v>
      </c>
      <c r="L484">
        <v>867</v>
      </c>
      <c r="M484" t="s">
        <v>39</v>
      </c>
      <c r="N484">
        <v>7</v>
      </c>
      <c r="O484" t="s">
        <v>31</v>
      </c>
      <c r="P484">
        <v>56.1</v>
      </c>
      <c r="Q484">
        <v>2583</v>
      </c>
      <c r="R484">
        <v>5</v>
      </c>
      <c r="S484">
        <v>0</v>
      </c>
      <c r="T484" t="s">
        <v>32</v>
      </c>
      <c r="U484" t="s">
        <v>38</v>
      </c>
      <c r="V484">
        <v>243081</v>
      </c>
      <c r="W484">
        <v>3.9</v>
      </c>
      <c r="X484">
        <v>3</v>
      </c>
      <c r="Y484" t="s">
        <v>43</v>
      </c>
      <c r="Z484">
        <v>3.4</v>
      </c>
      <c r="AA484" t="s">
        <v>35</v>
      </c>
    </row>
    <row r="485" spans="1:27" x14ac:dyDescent="0.3">
      <c r="A485" t="s">
        <v>91</v>
      </c>
      <c r="B485" t="s">
        <v>92</v>
      </c>
      <c r="C485">
        <v>2024</v>
      </c>
      <c r="D485" t="s">
        <v>68</v>
      </c>
      <c r="E485">
        <v>64827.83</v>
      </c>
      <c r="F485">
        <v>42.9</v>
      </c>
      <c r="G485">
        <v>150</v>
      </c>
      <c r="H485">
        <v>89.3</v>
      </c>
      <c r="I485">
        <v>5.19</v>
      </c>
      <c r="J485">
        <v>176</v>
      </c>
      <c r="K485">
        <v>368</v>
      </c>
      <c r="L485">
        <v>312</v>
      </c>
      <c r="M485" t="s">
        <v>54</v>
      </c>
      <c r="N485">
        <v>5</v>
      </c>
      <c r="O485" t="s">
        <v>40</v>
      </c>
      <c r="P485">
        <v>38.299999999999997</v>
      </c>
      <c r="Q485">
        <v>2130</v>
      </c>
      <c r="R485">
        <v>4</v>
      </c>
      <c r="S485">
        <v>2</v>
      </c>
      <c r="T485" t="s">
        <v>32</v>
      </c>
      <c r="U485" t="s">
        <v>42</v>
      </c>
      <c r="V485">
        <v>69279</v>
      </c>
      <c r="W485">
        <v>3.2</v>
      </c>
      <c r="X485">
        <v>7</v>
      </c>
      <c r="Y485" t="s">
        <v>43</v>
      </c>
      <c r="Z485">
        <v>3.5</v>
      </c>
      <c r="AA485" t="s">
        <v>35</v>
      </c>
    </row>
    <row r="486" spans="1:27" x14ac:dyDescent="0.3">
      <c r="A486" t="s">
        <v>48</v>
      </c>
      <c r="B486" t="s">
        <v>60</v>
      </c>
      <c r="C486">
        <v>2025</v>
      </c>
      <c r="D486" t="s">
        <v>29</v>
      </c>
      <c r="E486">
        <v>56005.31</v>
      </c>
      <c r="F486">
        <v>102.7</v>
      </c>
      <c r="G486">
        <v>361</v>
      </c>
      <c r="H486">
        <v>216.5</v>
      </c>
      <c r="I486">
        <v>4.41</v>
      </c>
      <c r="J486">
        <v>184</v>
      </c>
      <c r="K486">
        <v>592</v>
      </c>
      <c r="L486">
        <v>524</v>
      </c>
      <c r="M486" t="s">
        <v>30</v>
      </c>
      <c r="N486">
        <v>7</v>
      </c>
      <c r="O486" t="s">
        <v>65</v>
      </c>
      <c r="P486">
        <v>22.4</v>
      </c>
      <c r="Q486">
        <v>1649</v>
      </c>
      <c r="R486">
        <v>5</v>
      </c>
      <c r="S486">
        <v>0</v>
      </c>
      <c r="T486" t="s">
        <v>51</v>
      </c>
      <c r="U486" t="s">
        <v>42</v>
      </c>
      <c r="V486">
        <v>96451</v>
      </c>
      <c r="W486">
        <v>3.9</v>
      </c>
      <c r="X486">
        <v>5</v>
      </c>
      <c r="Y486" t="s">
        <v>43</v>
      </c>
      <c r="Z486">
        <v>3.52</v>
      </c>
      <c r="AA486" t="s">
        <v>35</v>
      </c>
    </row>
    <row r="487" spans="1:27" x14ac:dyDescent="0.3">
      <c r="A487" t="s">
        <v>94</v>
      </c>
      <c r="B487" t="s">
        <v>113</v>
      </c>
      <c r="C487">
        <v>2020</v>
      </c>
      <c r="D487" t="s">
        <v>68</v>
      </c>
      <c r="E487">
        <v>102595.23</v>
      </c>
      <c r="F487">
        <v>84.1</v>
      </c>
      <c r="G487">
        <v>278</v>
      </c>
      <c r="H487">
        <v>83.1</v>
      </c>
      <c r="I487">
        <v>7.86</v>
      </c>
      <c r="J487">
        <v>128</v>
      </c>
      <c r="K487">
        <v>773</v>
      </c>
      <c r="L487">
        <v>639</v>
      </c>
      <c r="M487" t="s">
        <v>39</v>
      </c>
      <c r="N487">
        <v>5</v>
      </c>
      <c r="O487" t="s">
        <v>57</v>
      </c>
      <c r="P487">
        <v>31.5</v>
      </c>
      <c r="Q487">
        <v>1500</v>
      </c>
      <c r="R487">
        <v>3</v>
      </c>
      <c r="S487">
        <v>1</v>
      </c>
      <c r="T487" t="s">
        <v>32</v>
      </c>
      <c r="U487" t="s">
        <v>33</v>
      </c>
      <c r="V487">
        <v>45569</v>
      </c>
      <c r="W487">
        <v>3.7</v>
      </c>
      <c r="X487">
        <v>8</v>
      </c>
      <c r="Y487" t="s">
        <v>61</v>
      </c>
      <c r="Z487">
        <v>3.31</v>
      </c>
      <c r="AA487" t="s">
        <v>35</v>
      </c>
    </row>
    <row r="488" spans="1:27" x14ac:dyDescent="0.3">
      <c r="A488" t="s">
        <v>52</v>
      </c>
      <c r="B488" t="s">
        <v>55</v>
      </c>
      <c r="C488">
        <v>2022</v>
      </c>
      <c r="D488" t="s">
        <v>38</v>
      </c>
      <c r="E488">
        <v>74321.009999999995</v>
      </c>
      <c r="F488">
        <v>61.2</v>
      </c>
      <c r="G488">
        <v>226</v>
      </c>
      <c r="H488">
        <v>217.2</v>
      </c>
      <c r="I488">
        <v>7.98</v>
      </c>
      <c r="J488">
        <v>118</v>
      </c>
      <c r="K488">
        <v>555</v>
      </c>
      <c r="L488">
        <v>457</v>
      </c>
      <c r="M488" t="s">
        <v>39</v>
      </c>
      <c r="N488">
        <v>7</v>
      </c>
      <c r="O488" t="s">
        <v>31</v>
      </c>
      <c r="P488">
        <v>67.599999999999994</v>
      </c>
      <c r="Q488">
        <v>2356</v>
      </c>
      <c r="R488">
        <v>5</v>
      </c>
      <c r="S488">
        <v>3</v>
      </c>
      <c r="T488" t="s">
        <v>47</v>
      </c>
      <c r="U488" t="s">
        <v>38</v>
      </c>
      <c r="V488">
        <v>438573</v>
      </c>
      <c r="W488">
        <v>3.8</v>
      </c>
      <c r="X488">
        <v>5</v>
      </c>
      <c r="Y488" t="s">
        <v>61</v>
      </c>
      <c r="Z488">
        <v>3.69</v>
      </c>
      <c r="AA488" t="s">
        <v>35</v>
      </c>
    </row>
    <row r="489" spans="1:27" x14ac:dyDescent="0.3">
      <c r="A489" t="s">
        <v>71</v>
      </c>
      <c r="B489" t="s">
        <v>115</v>
      </c>
      <c r="C489">
        <v>2023</v>
      </c>
      <c r="D489" t="s">
        <v>63</v>
      </c>
      <c r="E489">
        <v>51321.91</v>
      </c>
      <c r="F489">
        <v>45.9</v>
      </c>
      <c r="G489">
        <v>150</v>
      </c>
      <c r="H489">
        <v>53.5</v>
      </c>
      <c r="I489">
        <v>6.62</v>
      </c>
      <c r="J489">
        <v>156</v>
      </c>
      <c r="K489">
        <v>523</v>
      </c>
      <c r="L489">
        <v>464</v>
      </c>
      <c r="M489" t="s">
        <v>54</v>
      </c>
      <c r="N489">
        <v>7</v>
      </c>
      <c r="O489" t="s">
        <v>56</v>
      </c>
      <c r="P489">
        <v>36</v>
      </c>
      <c r="Q489">
        <v>1815</v>
      </c>
      <c r="R489">
        <v>5</v>
      </c>
      <c r="S489">
        <v>1</v>
      </c>
      <c r="T489" t="s">
        <v>73</v>
      </c>
      <c r="U489" t="s">
        <v>42</v>
      </c>
      <c r="V489">
        <v>135053</v>
      </c>
      <c r="W489">
        <v>3.4</v>
      </c>
      <c r="X489">
        <v>4</v>
      </c>
      <c r="Y489" t="s">
        <v>43</v>
      </c>
      <c r="Z489">
        <v>3.27</v>
      </c>
      <c r="AA489" t="s">
        <v>35</v>
      </c>
    </row>
    <row r="490" spans="1:27" x14ac:dyDescent="0.3">
      <c r="A490" t="s">
        <v>36</v>
      </c>
      <c r="B490" t="s">
        <v>120</v>
      </c>
      <c r="C490">
        <v>2024</v>
      </c>
      <c r="D490" t="s">
        <v>68</v>
      </c>
      <c r="E490">
        <v>61582.84</v>
      </c>
      <c r="F490">
        <v>62.3</v>
      </c>
      <c r="G490">
        <v>215</v>
      </c>
      <c r="H490">
        <v>127.5</v>
      </c>
      <c r="I490">
        <v>7.4</v>
      </c>
      <c r="J490">
        <v>130</v>
      </c>
      <c r="K490">
        <v>668</v>
      </c>
      <c r="L490">
        <v>665</v>
      </c>
      <c r="M490" t="s">
        <v>39</v>
      </c>
      <c r="N490">
        <v>5</v>
      </c>
      <c r="O490" t="s">
        <v>56</v>
      </c>
      <c r="P490">
        <v>35.5</v>
      </c>
      <c r="Q490">
        <v>1929</v>
      </c>
      <c r="R490">
        <v>5</v>
      </c>
      <c r="S490">
        <v>2</v>
      </c>
      <c r="T490" t="s">
        <v>41</v>
      </c>
      <c r="U490" t="s">
        <v>42</v>
      </c>
      <c r="V490">
        <v>26767</v>
      </c>
      <c r="W490">
        <v>3.2</v>
      </c>
      <c r="X490">
        <v>3</v>
      </c>
      <c r="Y490" t="s">
        <v>61</v>
      </c>
      <c r="Z490">
        <v>3.45</v>
      </c>
      <c r="AA490" t="s">
        <v>35</v>
      </c>
    </row>
    <row r="491" spans="1:27" x14ac:dyDescent="0.3">
      <c r="A491" t="s">
        <v>94</v>
      </c>
      <c r="B491" t="s">
        <v>113</v>
      </c>
      <c r="C491">
        <v>2022</v>
      </c>
      <c r="D491" t="s">
        <v>63</v>
      </c>
      <c r="E491">
        <v>87894.85</v>
      </c>
      <c r="F491">
        <v>84.4</v>
      </c>
      <c r="G491">
        <v>315</v>
      </c>
      <c r="H491">
        <v>107.6</v>
      </c>
      <c r="I491">
        <v>7.62</v>
      </c>
      <c r="J491">
        <v>136</v>
      </c>
      <c r="K491">
        <v>609</v>
      </c>
      <c r="L491">
        <v>589</v>
      </c>
      <c r="M491" t="s">
        <v>39</v>
      </c>
      <c r="N491">
        <v>7</v>
      </c>
      <c r="O491" t="s">
        <v>56</v>
      </c>
      <c r="P491">
        <v>22.7</v>
      </c>
      <c r="Q491">
        <v>1500</v>
      </c>
      <c r="R491">
        <v>5</v>
      </c>
      <c r="S491">
        <v>1</v>
      </c>
      <c r="T491" t="s">
        <v>32</v>
      </c>
      <c r="U491" t="s">
        <v>38</v>
      </c>
      <c r="V491">
        <v>64291</v>
      </c>
      <c r="W491">
        <v>3.5</v>
      </c>
      <c r="X491">
        <v>6</v>
      </c>
      <c r="Y491" t="s">
        <v>61</v>
      </c>
      <c r="Z491">
        <v>3.73</v>
      </c>
      <c r="AA491" t="s">
        <v>35</v>
      </c>
    </row>
    <row r="492" spans="1:27" x14ac:dyDescent="0.3">
      <c r="A492" t="s">
        <v>27</v>
      </c>
      <c r="B492" t="s">
        <v>93</v>
      </c>
      <c r="C492">
        <v>2025</v>
      </c>
      <c r="D492" t="s">
        <v>29</v>
      </c>
      <c r="E492">
        <v>88484.86</v>
      </c>
      <c r="F492">
        <v>105.9</v>
      </c>
      <c r="G492">
        <v>381</v>
      </c>
      <c r="H492">
        <v>231.1</v>
      </c>
      <c r="I492">
        <v>3.32</v>
      </c>
      <c r="J492">
        <v>196</v>
      </c>
      <c r="K492">
        <v>983</v>
      </c>
      <c r="L492">
        <v>930</v>
      </c>
      <c r="M492" t="s">
        <v>54</v>
      </c>
      <c r="N492">
        <v>7</v>
      </c>
      <c r="O492" t="s">
        <v>57</v>
      </c>
      <c r="P492">
        <v>16.3</v>
      </c>
      <c r="Q492">
        <v>1717</v>
      </c>
      <c r="R492">
        <v>3</v>
      </c>
      <c r="S492">
        <v>0</v>
      </c>
      <c r="T492" t="s">
        <v>32</v>
      </c>
      <c r="U492" t="s">
        <v>38</v>
      </c>
      <c r="V492">
        <v>285530</v>
      </c>
      <c r="W492">
        <v>3.7</v>
      </c>
      <c r="X492">
        <v>4</v>
      </c>
      <c r="Y492" t="s">
        <v>34</v>
      </c>
      <c r="Z492">
        <v>3.6</v>
      </c>
      <c r="AA492" t="s">
        <v>35</v>
      </c>
    </row>
    <row r="493" spans="1:27" x14ac:dyDescent="0.3">
      <c r="A493" t="s">
        <v>91</v>
      </c>
      <c r="B493" t="s">
        <v>97</v>
      </c>
      <c r="C493">
        <v>2023</v>
      </c>
      <c r="D493" t="s">
        <v>38</v>
      </c>
      <c r="E493">
        <v>102426.61</v>
      </c>
      <c r="F493">
        <v>53.1</v>
      </c>
      <c r="G493">
        <v>197</v>
      </c>
      <c r="H493">
        <v>50.8</v>
      </c>
      <c r="I493">
        <v>6.62</v>
      </c>
      <c r="J493">
        <v>146</v>
      </c>
      <c r="K493">
        <v>829</v>
      </c>
      <c r="L493">
        <v>771</v>
      </c>
      <c r="M493" t="s">
        <v>54</v>
      </c>
      <c r="N493">
        <v>7</v>
      </c>
      <c r="O493" t="s">
        <v>31</v>
      </c>
      <c r="P493">
        <v>63.4</v>
      </c>
      <c r="Q493">
        <v>2700</v>
      </c>
      <c r="R493">
        <v>5</v>
      </c>
      <c r="S493">
        <v>1</v>
      </c>
      <c r="T493" t="s">
        <v>32</v>
      </c>
      <c r="U493" t="s">
        <v>33</v>
      </c>
      <c r="V493">
        <v>26181</v>
      </c>
      <c r="W493">
        <v>3.3</v>
      </c>
      <c r="X493">
        <v>5</v>
      </c>
      <c r="Y493" t="s">
        <v>43</v>
      </c>
      <c r="Z493">
        <v>3.71</v>
      </c>
      <c r="AA493" t="s">
        <v>35</v>
      </c>
    </row>
    <row r="494" spans="1:27" x14ac:dyDescent="0.3">
      <c r="A494" t="s">
        <v>71</v>
      </c>
      <c r="B494" t="s">
        <v>96</v>
      </c>
      <c r="C494">
        <v>2025</v>
      </c>
      <c r="D494" t="s">
        <v>38</v>
      </c>
      <c r="E494">
        <v>104281.84</v>
      </c>
      <c r="F494">
        <v>69.7</v>
      </c>
      <c r="G494">
        <v>233</v>
      </c>
      <c r="H494">
        <v>138.30000000000001</v>
      </c>
      <c r="I494">
        <v>5.5</v>
      </c>
      <c r="J494">
        <v>170</v>
      </c>
      <c r="K494">
        <v>1000</v>
      </c>
      <c r="L494">
        <v>890</v>
      </c>
      <c r="M494" t="s">
        <v>30</v>
      </c>
      <c r="N494">
        <v>7</v>
      </c>
      <c r="O494" t="s">
        <v>46</v>
      </c>
      <c r="P494">
        <v>70.400000000000006</v>
      </c>
      <c r="Q494">
        <v>1633</v>
      </c>
      <c r="R494">
        <v>4</v>
      </c>
      <c r="S494">
        <v>1</v>
      </c>
      <c r="T494" t="s">
        <v>73</v>
      </c>
      <c r="U494" t="s">
        <v>33</v>
      </c>
      <c r="V494">
        <v>164080</v>
      </c>
      <c r="W494">
        <v>3.5</v>
      </c>
      <c r="X494">
        <v>4</v>
      </c>
      <c r="Y494" t="s">
        <v>43</v>
      </c>
      <c r="Z494">
        <v>3.34</v>
      </c>
      <c r="AA494" t="s">
        <v>35</v>
      </c>
    </row>
    <row r="495" spans="1:27" x14ac:dyDescent="0.3">
      <c r="A495" t="s">
        <v>52</v>
      </c>
      <c r="B495" t="s">
        <v>86</v>
      </c>
      <c r="C495">
        <v>2026</v>
      </c>
      <c r="D495" t="s">
        <v>29</v>
      </c>
      <c r="E495">
        <v>167028.1</v>
      </c>
      <c r="F495">
        <v>106.1</v>
      </c>
      <c r="G495">
        <v>356</v>
      </c>
      <c r="H495">
        <v>325.39999999999998</v>
      </c>
      <c r="I495">
        <v>4.37</v>
      </c>
      <c r="J495">
        <v>186</v>
      </c>
      <c r="K495">
        <v>1000</v>
      </c>
      <c r="L495">
        <v>866</v>
      </c>
      <c r="M495" t="s">
        <v>30</v>
      </c>
      <c r="N495">
        <v>7</v>
      </c>
      <c r="O495" t="s">
        <v>40</v>
      </c>
      <c r="P495">
        <v>42.1</v>
      </c>
      <c r="Q495">
        <v>2121</v>
      </c>
      <c r="R495">
        <v>4</v>
      </c>
      <c r="S495">
        <v>2</v>
      </c>
      <c r="T495" t="s">
        <v>47</v>
      </c>
      <c r="U495" t="s">
        <v>33</v>
      </c>
      <c r="V495">
        <v>191484</v>
      </c>
      <c r="W495">
        <v>4.2</v>
      </c>
      <c r="X495">
        <v>5</v>
      </c>
      <c r="Y495" t="s">
        <v>43</v>
      </c>
      <c r="Z495">
        <v>3.36</v>
      </c>
      <c r="AA495" t="s">
        <v>35</v>
      </c>
    </row>
    <row r="496" spans="1:27" x14ac:dyDescent="0.3">
      <c r="A496" t="s">
        <v>76</v>
      </c>
      <c r="B496" t="s">
        <v>87</v>
      </c>
      <c r="C496">
        <v>2024</v>
      </c>
      <c r="D496" t="s">
        <v>38</v>
      </c>
      <c r="E496">
        <v>45546.32</v>
      </c>
      <c r="F496">
        <v>45.1</v>
      </c>
      <c r="G496">
        <v>160</v>
      </c>
      <c r="H496">
        <v>121.2</v>
      </c>
      <c r="I496">
        <v>5.18</v>
      </c>
      <c r="J496">
        <v>171</v>
      </c>
      <c r="K496">
        <v>424</v>
      </c>
      <c r="L496">
        <v>385</v>
      </c>
      <c r="M496" t="s">
        <v>54</v>
      </c>
      <c r="N496">
        <v>7</v>
      </c>
      <c r="O496" t="s">
        <v>65</v>
      </c>
      <c r="P496">
        <v>27.7</v>
      </c>
      <c r="Q496">
        <v>1514</v>
      </c>
      <c r="R496">
        <v>4</v>
      </c>
      <c r="S496">
        <v>0</v>
      </c>
      <c r="T496" t="s">
        <v>51</v>
      </c>
      <c r="U496" t="s">
        <v>42</v>
      </c>
      <c r="V496">
        <v>71807</v>
      </c>
      <c r="W496">
        <v>3.3</v>
      </c>
      <c r="X496">
        <v>4</v>
      </c>
      <c r="Y496" t="s">
        <v>43</v>
      </c>
      <c r="Z496">
        <v>3.55</v>
      </c>
      <c r="AA496" t="s">
        <v>35</v>
      </c>
    </row>
    <row r="497" spans="1:27" x14ac:dyDescent="0.3">
      <c r="A497" t="s">
        <v>71</v>
      </c>
      <c r="B497" t="s">
        <v>96</v>
      </c>
      <c r="C497">
        <v>2025</v>
      </c>
      <c r="D497" t="s">
        <v>68</v>
      </c>
      <c r="E497">
        <v>86288.72</v>
      </c>
      <c r="F497">
        <v>81.900000000000006</v>
      </c>
      <c r="G497">
        <v>311</v>
      </c>
      <c r="H497">
        <v>145.1</v>
      </c>
      <c r="I497">
        <v>5.25</v>
      </c>
      <c r="J497">
        <v>174</v>
      </c>
      <c r="K497">
        <v>1000</v>
      </c>
      <c r="L497">
        <v>911</v>
      </c>
      <c r="M497" t="s">
        <v>39</v>
      </c>
      <c r="N497">
        <v>5</v>
      </c>
      <c r="O497" t="s">
        <v>46</v>
      </c>
      <c r="P497">
        <v>61.8</v>
      </c>
      <c r="Q497">
        <v>1500</v>
      </c>
      <c r="R497">
        <v>4</v>
      </c>
      <c r="S497">
        <v>0</v>
      </c>
      <c r="T497" t="s">
        <v>73</v>
      </c>
      <c r="U497" t="s">
        <v>38</v>
      </c>
      <c r="V497">
        <v>120560</v>
      </c>
      <c r="W497">
        <v>3.7</v>
      </c>
      <c r="X497">
        <v>3</v>
      </c>
      <c r="Y497" t="s">
        <v>43</v>
      </c>
      <c r="Z497">
        <v>3.8</v>
      </c>
      <c r="AA497" t="s">
        <v>35</v>
      </c>
    </row>
    <row r="498" spans="1:27" x14ac:dyDescent="0.3">
      <c r="A498" t="s">
        <v>48</v>
      </c>
      <c r="B498" t="s">
        <v>79</v>
      </c>
      <c r="C498">
        <v>2025</v>
      </c>
      <c r="D498" t="s">
        <v>63</v>
      </c>
      <c r="E498">
        <v>58803.16</v>
      </c>
      <c r="F498">
        <v>70.099999999999994</v>
      </c>
      <c r="G498">
        <v>248</v>
      </c>
      <c r="H498">
        <v>86.3</v>
      </c>
      <c r="I498">
        <v>7.19</v>
      </c>
      <c r="J498">
        <v>153</v>
      </c>
      <c r="K498">
        <v>636</v>
      </c>
      <c r="L498">
        <v>517</v>
      </c>
      <c r="M498" t="s">
        <v>39</v>
      </c>
      <c r="N498">
        <v>5</v>
      </c>
      <c r="O498" t="s">
        <v>31</v>
      </c>
      <c r="P498">
        <v>68.8</v>
      </c>
      <c r="Q498">
        <v>2466</v>
      </c>
      <c r="R498">
        <v>4</v>
      </c>
      <c r="S498">
        <v>1</v>
      </c>
      <c r="T498" t="s">
        <v>51</v>
      </c>
      <c r="U498" t="s">
        <v>42</v>
      </c>
      <c r="V498">
        <v>111130</v>
      </c>
      <c r="W498">
        <v>3.5</v>
      </c>
      <c r="X498">
        <v>3</v>
      </c>
      <c r="Y498" t="s">
        <v>61</v>
      </c>
      <c r="Z498">
        <v>3.54</v>
      </c>
      <c r="AA498" t="s">
        <v>35</v>
      </c>
    </row>
    <row r="499" spans="1:27" x14ac:dyDescent="0.3">
      <c r="A499" t="s">
        <v>52</v>
      </c>
      <c r="B499" t="s">
        <v>64</v>
      </c>
      <c r="C499">
        <v>2023</v>
      </c>
      <c r="D499" t="s">
        <v>68</v>
      </c>
      <c r="E499">
        <v>44024.89</v>
      </c>
      <c r="F499">
        <v>81.599999999999994</v>
      </c>
      <c r="G499">
        <v>284</v>
      </c>
      <c r="H499">
        <v>302</v>
      </c>
      <c r="I499">
        <v>7.69</v>
      </c>
      <c r="J499">
        <v>143</v>
      </c>
      <c r="K499">
        <v>283</v>
      </c>
      <c r="L499">
        <v>237</v>
      </c>
      <c r="M499" t="s">
        <v>39</v>
      </c>
      <c r="N499">
        <v>7</v>
      </c>
      <c r="O499" t="s">
        <v>31</v>
      </c>
      <c r="P499">
        <v>70.900000000000006</v>
      </c>
      <c r="Q499">
        <v>2856</v>
      </c>
      <c r="R499">
        <v>5</v>
      </c>
      <c r="S499">
        <v>3</v>
      </c>
      <c r="T499" t="s">
        <v>47</v>
      </c>
      <c r="U499" t="s">
        <v>42</v>
      </c>
      <c r="V499">
        <v>124369</v>
      </c>
      <c r="W499">
        <v>3.8</v>
      </c>
      <c r="X499">
        <v>5</v>
      </c>
      <c r="Y499" t="s">
        <v>61</v>
      </c>
      <c r="Z499">
        <v>3.48</v>
      </c>
      <c r="AA499" t="s">
        <v>35</v>
      </c>
    </row>
    <row r="500" spans="1:27" x14ac:dyDescent="0.3">
      <c r="A500" t="s">
        <v>66</v>
      </c>
      <c r="B500" t="s">
        <v>119</v>
      </c>
      <c r="C500">
        <v>2024</v>
      </c>
      <c r="D500" t="s">
        <v>50</v>
      </c>
      <c r="E500">
        <v>113331.61</v>
      </c>
      <c r="F500">
        <v>84.6</v>
      </c>
      <c r="G500">
        <v>274</v>
      </c>
      <c r="H500">
        <v>74.400000000000006</v>
      </c>
      <c r="I500">
        <v>4.8600000000000003</v>
      </c>
      <c r="J500">
        <v>170</v>
      </c>
      <c r="K500">
        <v>1000</v>
      </c>
      <c r="L500">
        <v>895</v>
      </c>
      <c r="M500" t="s">
        <v>54</v>
      </c>
      <c r="N500">
        <v>5</v>
      </c>
      <c r="O500" t="s">
        <v>31</v>
      </c>
      <c r="P500">
        <v>57.1</v>
      </c>
      <c r="Q500">
        <v>2457</v>
      </c>
      <c r="R500">
        <v>5</v>
      </c>
      <c r="S500">
        <v>0</v>
      </c>
      <c r="T500" t="s">
        <v>47</v>
      </c>
      <c r="U500" t="s">
        <v>33</v>
      </c>
      <c r="V500">
        <v>17978</v>
      </c>
      <c r="W500">
        <v>3.2</v>
      </c>
      <c r="X500">
        <v>3</v>
      </c>
      <c r="Y500" t="s">
        <v>43</v>
      </c>
      <c r="Z500">
        <v>3.24</v>
      </c>
      <c r="AA500" t="s">
        <v>43</v>
      </c>
    </row>
    <row r="501" spans="1:27" x14ac:dyDescent="0.3">
      <c r="A501" t="s">
        <v>107</v>
      </c>
      <c r="B501" t="s">
        <v>121</v>
      </c>
      <c r="C501">
        <v>2024</v>
      </c>
      <c r="D501" t="s">
        <v>50</v>
      </c>
      <c r="E501">
        <v>111922.96</v>
      </c>
      <c r="F501">
        <v>102.7</v>
      </c>
      <c r="G501">
        <v>358</v>
      </c>
      <c r="H501">
        <v>276.89999999999998</v>
      </c>
      <c r="I501">
        <v>4.29</v>
      </c>
      <c r="J501">
        <v>188</v>
      </c>
      <c r="K501">
        <v>371</v>
      </c>
      <c r="L501">
        <v>339</v>
      </c>
      <c r="M501" t="s">
        <v>39</v>
      </c>
      <c r="N501">
        <v>7</v>
      </c>
      <c r="O501" t="s">
        <v>56</v>
      </c>
      <c r="P501">
        <v>23</v>
      </c>
      <c r="Q501">
        <v>1657</v>
      </c>
      <c r="R501">
        <v>5</v>
      </c>
      <c r="S501">
        <v>0</v>
      </c>
      <c r="T501" t="s">
        <v>32</v>
      </c>
      <c r="U501" t="s">
        <v>33</v>
      </c>
      <c r="V501">
        <v>28429</v>
      </c>
      <c r="W501">
        <v>4</v>
      </c>
      <c r="X501">
        <v>5</v>
      </c>
      <c r="Y501" t="s">
        <v>43</v>
      </c>
      <c r="Z501">
        <v>3.49</v>
      </c>
      <c r="AA501" t="s">
        <v>35</v>
      </c>
    </row>
    <row r="502" spans="1:27" x14ac:dyDescent="0.3">
      <c r="A502" t="s">
        <v>44</v>
      </c>
      <c r="B502" t="s">
        <v>126</v>
      </c>
      <c r="C502">
        <v>2024</v>
      </c>
      <c r="D502" t="s">
        <v>29</v>
      </c>
      <c r="E502">
        <v>74262.98</v>
      </c>
      <c r="F502">
        <v>80.7</v>
      </c>
      <c r="G502">
        <v>285</v>
      </c>
      <c r="H502">
        <v>195.8</v>
      </c>
      <c r="I502">
        <v>3.55</v>
      </c>
      <c r="J502">
        <v>197</v>
      </c>
      <c r="K502">
        <v>1000</v>
      </c>
      <c r="L502">
        <v>892</v>
      </c>
      <c r="M502" t="s">
        <v>54</v>
      </c>
      <c r="N502">
        <v>7</v>
      </c>
      <c r="O502" t="s">
        <v>65</v>
      </c>
      <c r="P502">
        <v>38.9</v>
      </c>
      <c r="Q502">
        <v>1589</v>
      </c>
      <c r="R502">
        <v>5</v>
      </c>
      <c r="S502">
        <v>0</v>
      </c>
      <c r="T502" t="s">
        <v>47</v>
      </c>
      <c r="U502" t="s">
        <v>38</v>
      </c>
      <c r="V502">
        <v>24171</v>
      </c>
      <c r="W502">
        <v>3.4</v>
      </c>
      <c r="X502">
        <v>4</v>
      </c>
      <c r="Y502" t="s">
        <v>34</v>
      </c>
      <c r="Z502">
        <v>3.53</v>
      </c>
      <c r="AA502" t="s">
        <v>35</v>
      </c>
    </row>
    <row r="503" spans="1:27" x14ac:dyDescent="0.3">
      <c r="A503" t="s">
        <v>76</v>
      </c>
      <c r="B503" t="s">
        <v>114</v>
      </c>
      <c r="C503">
        <v>2024</v>
      </c>
      <c r="D503" t="s">
        <v>50</v>
      </c>
      <c r="E503">
        <v>41621.620000000003</v>
      </c>
      <c r="F503">
        <v>97.9</v>
      </c>
      <c r="G503">
        <v>365</v>
      </c>
      <c r="H503">
        <v>103.1</v>
      </c>
      <c r="I503">
        <v>5.66</v>
      </c>
      <c r="J503">
        <v>162</v>
      </c>
      <c r="K503">
        <v>362</v>
      </c>
      <c r="L503">
        <v>322</v>
      </c>
      <c r="M503" t="s">
        <v>39</v>
      </c>
      <c r="N503">
        <v>5</v>
      </c>
      <c r="O503" t="s">
        <v>56</v>
      </c>
      <c r="P503">
        <v>39</v>
      </c>
      <c r="Q503">
        <v>1900</v>
      </c>
      <c r="R503">
        <v>5</v>
      </c>
      <c r="S503">
        <v>1</v>
      </c>
      <c r="T503" t="s">
        <v>51</v>
      </c>
      <c r="U503" t="s">
        <v>42</v>
      </c>
      <c r="V503">
        <v>70525</v>
      </c>
      <c r="W503">
        <v>3.6</v>
      </c>
      <c r="X503">
        <v>4</v>
      </c>
      <c r="Y503" t="s">
        <v>43</v>
      </c>
      <c r="Z503">
        <v>3.73</v>
      </c>
      <c r="AA503" t="s">
        <v>35</v>
      </c>
    </row>
    <row r="504" spans="1:27" x14ac:dyDescent="0.3">
      <c r="A504" t="s">
        <v>71</v>
      </c>
      <c r="B504" t="s">
        <v>115</v>
      </c>
      <c r="C504">
        <v>2025</v>
      </c>
      <c r="D504" t="s">
        <v>29</v>
      </c>
      <c r="E504">
        <v>122517.87</v>
      </c>
      <c r="F504">
        <v>73.599999999999994</v>
      </c>
      <c r="G504">
        <v>252</v>
      </c>
      <c r="H504">
        <v>225.1</v>
      </c>
      <c r="I504">
        <v>2.78</v>
      </c>
      <c r="J504">
        <v>200</v>
      </c>
      <c r="K504">
        <v>1000</v>
      </c>
      <c r="L504">
        <v>873</v>
      </c>
      <c r="M504" t="s">
        <v>30</v>
      </c>
      <c r="N504">
        <v>7</v>
      </c>
      <c r="O504" t="s">
        <v>56</v>
      </c>
      <c r="P504">
        <v>25.6</v>
      </c>
      <c r="Q504">
        <v>1755</v>
      </c>
      <c r="R504">
        <v>4</v>
      </c>
      <c r="S504">
        <v>0</v>
      </c>
      <c r="T504" t="s">
        <v>73</v>
      </c>
      <c r="U504" t="s">
        <v>33</v>
      </c>
      <c r="V504">
        <v>150780</v>
      </c>
      <c r="W504">
        <v>3.4</v>
      </c>
      <c r="X504">
        <v>3</v>
      </c>
      <c r="Y504" t="s">
        <v>34</v>
      </c>
      <c r="Z504">
        <v>3.42</v>
      </c>
      <c r="AA504" t="s">
        <v>35</v>
      </c>
    </row>
    <row r="505" spans="1:27" x14ac:dyDescent="0.3">
      <c r="A505" t="s">
        <v>84</v>
      </c>
      <c r="B505" t="s">
        <v>99</v>
      </c>
      <c r="C505">
        <v>2021</v>
      </c>
      <c r="D505" t="s">
        <v>63</v>
      </c>
      <c r="E505">
        <v>63458.62</v>
      </c>
      <c r="F505">
        <v>66.8</v>
      </c>
      <c r="G505">
        <v>253</v>
      </c>
      <c r="H505">
        <v>128.6</v>
      </c>
      <c r="I505">
        <v>7.67</v>
      </c>
      <c r="J505">
        <v>136</v>
      </c>
      <c r="K505">
        <v>700</v>
      </c>
      <c r="L505">
        <v>632</v>
      </c>
      <c r="M505" t="s">
        <v>54</v>
      </c>
      <c r="N505">
        <v>4</v>
      </c>
      <c r="O505" t="s">
        <v>31</v>
      </c>
      <c r="P505">
        <v>72.900000000000006</v>
      </c>
      <c r="Q505">
        <v>2629</v>
      </c>
      <c r="R505">
        <v>4</v>
      </c>
      <c r="S505">
        <v>1</v>
      </c>
      <c r="T505" t="s">
        <v>47</v>
      </c>
      <c r="U505" t="s">
        <v>42</v>
      </c>
      <c r="V505">
        <v>76517</v>
      </c>
      <c r="W505">
        <v>3.4</v>
      </c>
      <c r="X505">
        <v>4</v>
      </c>
      <c r="Y505" t="s">
        <v>61</v>
      </c>
      <c r="Z505">
        <v>3.79</v>
      </c>
      <c r="AA505" t="s">
        <v>35</v>
      </c>
    </row>
    <row r="506" spans="1:27" x14ac:dyDescent="0.3">
      <c r="A506" t="s">
        <v>91</v>
      </c>
      <c r="B506" t="s">
        <v>122</v>
      </c>
      <c r="C506">
        <v>2023</v>
      </c>
      <c r="D506" t="s">
        <v>38</v>
      </c>
      <c r="E506">
        <v>140938.73000000001</v>
      </c>
      <c r="F506">
        <v>59.3</v>
      </c>
      <c r="G506">
        <v>195</v>
      </c>
      <c r="H506">
        <v>101.9</v>
      </c>
      <c r="I506">
        <v>6.9</v>
      </c>
      <c r="J506">
        <v>137</v>
      </c>
      <c r="K506">
        <v>1000</v>
      </c>
      <c r="L506">
        <v>942</v>
      </c>
      <c r="M506" t="s">
        <v>54</v>
      </c>
      <c r="N506">
        <v>5</v>
      </c>
      <c r="O506" t="s">
        <v>40</v>
      </c>
      <c r="P506">
        <v>37.6</v>
      </c>
      <c r="Q506">
        <v>1843</v>
      </c>
      <c r="R506">
        <v>5</v>
      </c>
      <c r="S506">
        <v>1</v>
      </c>
      <c r="T506" t="s">
        <v>32</v>
      </c>
      <c r="U506" t="s">
        <v>33</v>
      </c>
      <c r="V506">
        <v>51811</v>
      </c>
      <c r="W506">
        <v>3.1</v>
      </c>
      <c r="X506">
        <v>8</v>
      </c>
      <c r="Y506" t="s">
        <v>43</v>
      </c>
      <c r="Z506">
        <v>3.29</v>
      </c>
      <c r="AA506" t="s">
        <v>35</v>
      </c>
    </row>
    <row r="507" spans="1:27" x14ac:dyDescent="0.3">
      <c r="A507" t="s">
        <v>52</v>
      </c>
      <c r="B507" t="s">
        <v>53</v>
      </c>
      <c r="C507">
        <v>2025</v>
      </c>
      <c r="D507" t="s">
        <v>63</v>
      </c>
      <c r="E507">
        <v>90298.51</v>
      </c>
      <c r="F507">
        <v>49.3</v>
      </c>
      <c r="G507">
        <v>183</v>
      </c>
      <c r="H507">
        <v>228.4</v>
      </c>
      <c r="I507">
        <v>6.81</v>
      </c>
      <c r="J507">
        <v>157</v>
      </c>
      <c r="K507">
        <v>631</v>
      </c>
      <c r="L507">
        <v>512</v>
      </c>
      <c r="M507" t="s">
        <v>30</v>
      </c>
      <c r="N507">
        <v>5</v>
      </c>
      <c r="O507" t="s">
        <v>65</v>
      </c>
      <c r="P507">
        <v>37.299999999999997</v>
      </c>
      <c r="Q507">
        <v>1528</v>
      </c>
      <c r="R507">
        <v>3</v>
      </c>
      <c r="S507">
        <v>2</v>
      </c>
      <c r="T507" t="s">
        <v>47</v>
      </c>
      <c r="U507" t="s">
        <v>38</v>
      </c>
      <c r="V507">
        <v>163915</v>
      </c>
      <c r="W507">
        <v>3.7</v>
      </c>
      <c r="X507">
        <v>5</v>
      </c>
      <c r="Y507" t="s">
        <v>43</v>
      </c>
      <c r="Z507">
        <v>3.71</v>
      </c>
      <c r="AA507" t="s">
        <v>35</v>
      </c>
    </row>
    <row r="508" spans="1:27" x14ac:dyDescent="0.3">
      <c r="A508" t="s">
        <v>94</v>
      </c>
      <c r="B508" t="s">
        <v>125</v>
      </c>
      <c r="C508">
        <v>2025</v>
      </c>
      <c r="D508" t="s">
        <v>63</v>
      </c>
      <c r="E508">
        <v>79689.05</v>
      </c>
      <c r="F508">
        <v>81.7</v>
      </c>
      <c r="G508">
        <v>278</v>
      </c>
      <c r="H508">
        <v>148.19999999999999</v>
      </c>
      <c r="I508">
        <v>7.13</v>
      </c>
      <c r="J508">
        <v>148</v>
      </c>
      <c r="K508">
        <v>505</v>
      </c>
      <c r="L508">
        <v>432</v>
      </c>
      <c r="M508" t="s">
        <v>30</v>
      </c>
      <c r="N508">
        <v>5</v>
      </c>
      <c r="O508" t="s">
        <v>46</v>
      </c>
      <c r="P508">
        <v>68.900000000000006</v>
      </c>
      <c r="Q508">
        <v>1714</v>
      </c>
      <c r="R508">
        <v>4</v>
      </c>
      <c r="S508">
        <v>1</v>
      </c>
      <c r="T508" t="s">
        <v>32</v>
      </c>
      <c r="U508" t="s">
        <v>38</v>
      </c>
      <c r="V508">
        <v>66705</v>
      </c>
      <c r="W508">
        <v>3.5</v>
      </c>
      <c r="X508">
        <v>7</v>
      </c>
      <c r="Y508" t="s">
        <v>61</v>
      </c>
      <c r="Z508">
        <v>3.4</v>
      </c>
      <c r="AA508" t="s">
        <v>35</v>
      </c>
    </row>
    <row r="509" spans="1:27" x14ac:dyDescent="0.3">
      <c r="A509" t="s">
        <v>58</v>
      </c>
      <c r="B509" t="s">
        <v>105</v>
      </c>
      <c r="C509">
        <v>2026</v>
      </c>
      <c r="D509" t="s">
        <v>63</v>
      </c>
      <c r="E509">
        <v>137679.26999999999</v>
      </c>
      <c r="F509">
        <v>71.2</v>
      </c>
      <c r="G509">
        <v>244</v>
      </c>
      <c r="H509">
        <v>54.3</v>
      </c>
      <c r="I509">
        <v>7.92</v>
      </c>
      <c r="J509">
        <v>136</v>
      </c>
      <c r="K509">
        <v>848</v>
      </c>
      <c r="L509">
        <v>725</v>
      </c>
      <c r="M509" t="s">
        <v>39</v>
      </c>
      <c r="N509">
        <v>7</v>
      </c>
      <c r="O509" t="s">
        <v>57</v>
      </c>
      <c r="P509">
        <v>15.9</v>
      </c>
      <c r="Q509">
        <v>1767</v>
      </c>
      <c r="R509">
        <v>5</v>
      </c>
      <c r="S509">
        <v>1</v>
      </c>
      <c r="T509" t="s">
        <v>32</v>
      </c>
      <c r="U509" t="s">
        <v>33</v>
      </c>
      <c r="V509">
        <v>34790</v>
      </c>
      <c r="W509">
        <v>3.6</v>
      </c>
      <c r="X509">
        <v>7</v>
      </c>
      <c r="Y509" t="s">
        <v>61</v>
      </c>
      <c r="Z509">
        <v>3.43</v>
      </c>
      <c r="AA509" t="s">
        <v>35</v>
      </c>
    </row>
    <row r="510" spans="1:27" x14ac:dyDescent="0.3">
      <c r="A510" t="s">
        <v>36</v>
      </c>
      <c r="B510" t="s">
        <v>120</v>
      </c>
      <c r="C510">
        <v>2025</v>
      </c>
      <c r="D510" t="s">
        <v>50</v>
      </c>
      <c r="E510">
        <v>72608.92</v>
      </c>
      <c r="F510">
        <v>97.1</v>
      </c>
      <c r="G510">
        <v>334</v>
      </c>
      <c r="H510">
        <v>75.5</v>
      </c>
      <c r="I510">
        <v>5.77</v>
      </c>
      <c r="J510">
        <v>156</v>
      </c>
      <c r="K510">
        <v>912</v>
      </c>
      <c r="L510">
        <v>799</v>
      </c>
      <c r="M510" t="s">
        <v>30</v>
      </c>
      <c r="N510">
        <v>5</v>
      </c>
      <c r="O510" t="s">
        <v>65</v>
      </c>
      <c r="P510">
        <v>23.1</v>
      </c>
      <c r="Q510">
        <v>1731</v>
      </c>
      <c r="R510">
        <v>4</v>
      </c>
      <c r="S510">
        <v>1</v>
      </c>
      <c r="T510" t="s">
        <v>41</v>
      </c>
      <c r="U510" t="s">
        <v>38</v>
      </c>
      <c r="V510">
        <v>13954</v>
      </c>
      <c r="W510">
        <v>3.6</v>
      </c>
      <c r="X510">
        <v>4</v>
      </c>
      <c r="Y510" t="s">
        <v>43</v>
      </c>
      <c r="Z510">
        <v>3.44</v>
      </c>
      <c r="AA510" t="s">
        <v>43</v>
      </c>
    </row>
    <row r="511" spans="1:27" x14ac:dyDescent="0.3">
      <c r="A511" t="s">
        <v>44</v>
      </c>
      <c r="B511" t="s">
        <v>110</v>
      </c>
      <c r="C511">
        <v>2025</v>
      </c>
      <c r="D511" t="s">
        <v>38</v>
      </c>
      <c r="E511">
        <v>91034.7</v>
      </c>
      <c r="F511">
        <v>47.9</v>
      </c>
      <c r="G511">
        <v>164</v>
      </c>
      <c r="H511">
        <v>115.9</v>
      </c>
      <c r="I511">
        <v>5.45</v>
      </c>
      <c r="J511">
        <v>169</v>
      </c>
      <c r="K511">
        <v>1000</v>
      </c>
      <c r="L511">
        <v>923</v>
      </c>
      <c r="M511" t="s">
        <v>30</v>
      </c>
      <c r="N511">
        <v>5</v>
      </c>
      <c r="O511" t="s">
        <v>40</v>
      </c>
      <c r="P511">
        <v>48</v>
      </c>
      <c r="Q511">
        <v>1847</v>
      </c>
      <c r="R511">
        <v>4</v>
      </c>
      <c r="S511">
        <v>1</v>
      </c>
      <c r="T511" t="s">
        <v>47</v>
      </c>
      <c r="U511" t="s">
        <v>38</v>
      </c>
      <c r="V511">
        <v>12825</v>
      </c>
      <c r="W511">
        <v>3.5</v>
      </c>
      <c r="X511">
        <v>3</v>
      </c>
      <c r="Y511" t="s">
        <v>43</v>
      </c>
      <c r="Z511">
        <v>3.42</v>
      </c>
      <c r="AA511" t="s">
        <v>43</v>
      </c>
    </row>
    <row r="512" spans="1:27" x14ac:dyDescent="0.3">
      <c r="A512" t="s">
        <v>48</v>
      </c>
      <c r="B512" t="s">
        <v>79</v>
      </c>
      <c r="C512">
        <v>2023</v>
      </c>
      <c r="D512" t="s">
        <v>63</v>
      </c>
      <c r="E512">
        <v>42171.81</v>
      </c>
      <c r="F512">
        <v>67.099999999999994</v>
      </c>
      <c r="G512">
        <v>252</v>
      </c>
      <c r="H512">
        <v>141.5</v>
      </c>
      <c r="I512">
        <v>7.02</v>
      </c>
      <c r="J512">
        <v>155</v>
      </c>
      <c r="K512">
        <v>399</v>
      </c>
      <c r="L512">
        <v>351</v>
      </c>
      <c r="M512" t="s">
        <v>30</v>
      </c>
      <c r="N512">
        <v>5</v>
      </c>
      <c r="O512" t="s">
        <v>56</v>
      </c>
      <c r="P512">
        <v>21.8</v>
      </c>
      <c r="Q512">
        <v>1500</v>
      </c>
      <c r="R512">
        <v>4</v>
      </c>
      <c r="S512">
        <v>0</v>
      </c>
      <c r="T512" t="s">
        <v>51</v>
      </c>
      <c r="U512" t="s">
        <v>42</v>
      </c>
      <c r="V512">
        <v>135630</v>
      </c>
      <c r="W512">
        <v>3.6</v>
      </c>
      <c r="X512">
        <v>5</v>
      </c>
      <c r="Y512" t="s">
        <v>61</v>
      </c>
      <c r="Z512">
        <v>3.76</v>
      </c>
      <c r="AA512" t="s">
        <v>35</v>
      </c>
    </row>
    <row r="513" spans="1:27" x14ac:dyDescent="0.3">
      <c r="A513" t="s">
        <v>27</v>
      </c>
      <c r="B513" t="s">
        <v>83</v>
      </c>
      <c r="C513">
        <v>2020</v>
      </c>
      <c r="D513" t="s">
        <v>50</v>
      </c>
      <c r="E513">
        <v>40762.980000000003</v>
      </c>
      <c r="F513">
        <v>101.5</v>
      </c>
      <c r="G513">
        <v>332</v>
      </c>
      <c r="H513">
        <v>75.3</v>
      </c>
      <c r="I513">
        <v>5.95</v>
      </c>
      <c r="J513">
        <v>164</v>
      </c>
      <c r="K513">
        <v>315</v>
      </c>
      <c r="L513">
        <v>293</v>
      </c>
      <c r="M513" t="s">
        <v>30</v>
      </c>
      <c r="N513">
        <v>7</v>
      </c>
      <c r="O513" t="s">
        <v>57</v>
      </c>
      <c r="P513">
        <v>16.399999999999999</v>
      </c>
      <c r="Q513">
        <v>1532</v>
      </c>
      <c r="R513">
        <v>4</v>
      </c>
      <c r="S513">
        <v>0</v>
      </c>
      <c r="T513" t="s">
        <v>32</v>
      </c>
      <c r="U513" t="s">
        <v>42</v>
      </c>
      <c r="V513">
        <v>220087</v>
      </c>
      <c r="W513">
        <v>3.4</v>
      </c>
      <c r="X513">
        <v>4</v>
      </c>
      <c r="Y513" t="s">
        <v>43</v>
      </c>
      <c r="Z513">
        <v>3.27</v>
      </c>
      <c r="AA513" t="s">
        <v>35</v>
      </c>
    </row>
    <row r="514" spans="1:27" x14ac:dyDescent="0.3">
      <c r="A514" t="s">
        <v>102</v>
      </c>
      <c r="B514" t="s">
        <v>103</v>
      </c>
      <c r="C514">
        <v>2025</v>
      </c>
      <c r="D514" t="s">
        <v>63</v>
      </c>
      <c r="E514">
        <v>70880.73</v>
      </c>
      <c r="F514">
        <v>80.900000000000006</v>
      </c>
      <c r="G514">
        <v>285</v>
      </c>
      <c r="H514">
        <v>59.1</v>
      </c>
      <c r="I514">
        <v>6.31</v>
      </c>
      <c r="J514">
        <v>148</v>
      </c>
      <c r="K514">
        <v>218</v>
      </c>
      <c r="L514">
        <v>273</v>
      </c>
      <c r="M514" t="s">
        <v>39</v>
      </c>
      <c r="N514">
        <v>5</v>
      </c>
      <c r="O514" t="s">
        <v>31</v>
      </c>
      <c r="P514">
        <v>78</v>
      </c>
      <c r="Q514">
        <v>2589</v>
      </c>
      <c r="R514">
        <v>5</v>
      </c>
      <c r="S514">
        <v>1</v>
      </c>
      <c r="T514" t="s">
        <v>47</v>
      </c>
      <c r="U514" t="s">
        <v>38</v>
      </c>
      <c r="V514">
        <v>11173</v>
      </c>
      <c r="W514">
        <v>3.4</v>
      </c>
      <c r="X514">
        <v>4</v>
      </c>
      <c r="Y514" t="s">
        <v>43</v>
      </c>
      <c r="Z514">
        <v>3.52</v>
      </c>
      <c r="AA514" t="s">
        <v>43</v>
      </c>
    </row>
    <row r="515" spans="1:27" x14ac:dyDescent="0.3">
      <c r="A515" t="s">
        <v>58</v>
      </c>
      <c r="B515" t="s">
        <v>59</v>
      </c>
      <c r="C515">
        <v>2024</v>
      </c>
      <c r="D515" t="s">
        <v>29</v>
      </c>
      <c r="E515">
        <v>114049.24</v>
      </c>
      <c r="F515">
        <v>103.4</v>
      </c>
      <c r="G515">
        <v>368</v>
      </c>
      <c r="H515">
        <v>191.2</v>
      </c>
      <c r="I515">
        <v>3.81</v>
      </c>
      <c r="J515">
        <v>187</v>
      </c>
      <c r="K515">
        <v>607</v>
      </c>
      <c r="L515">
        <v>502</v>
      </c>
      <c r="M515" t="s">
        <v>30</v>
      </c>
      <c r="N515">
        <v>5</v>
      </c>
      <c r="O515" t="s">
        <v>46</v>
      </c>
      <c r="P515">
        <v>70.2</v>
      </c>
      <c r="Q515">
        <v>1541</v>
      </c>
      <c r="R515">
        <v>5</v>
      </c>
      <c r="S515">
        <v>2</v>
      </c>
      <c r="T515" t="s">
        <v>32</v>
      </c>
      <c r="U515" t="s">
        <v>33</v>
      </c>
      <c r="V515">
        <v>68987</v>
      </c>
      <c r="W515">
        <v>3.9</v>
      </c>
      <c r="X515">
        <v>6</v>
      </c>
      <c r="Y515" t="s">
        <v>34</v>
      </c>
      <c r="Z515">
        <v>3.56</v>
      </c>
      <c r="AA515" t="s">
        <v>35</v>
      </c>
    </row>
    <row r="516" spans="1:27" x14ac:dyDescent="0.3">
      <c r="A516" t="s">
        <v>52</v>
      </c>
      <c r="B516" t="s">
        <v>53</v>
      </c>
      <c r="C516">
        <v>2024</v>
      </c>
      <c r="D516" t="s">
        <v>68</v>
      </c>
      <c r="E516">
        <v>36657.019999999997</v>
      </c>
      <c r="F516">
        <v>61.2</v>
      </c>
      <c r="G516">
        <v>188</v>
      </c>
      <c r="H516">
        <v>296.39999999999998</v>
      </c>
      <c r="I516">
        <v>7.11</v>
      </c>
      <c r="J516">
        <v>144</v>
      </c>
      <c r="K516">
        <v>270</v>
      </c>
      <c r="L516">
        <v>219</v>
      </c>
      <c r="M516" t="s">
        <v>30</v>
      </c>
      <c r="N516">
        <v>5</v>
      </c>
      <c r="O516" t="s">
        <v>57</v>
      </c>
      <c r="P516">
        <v>28.4</v>
      </c>
      <c r="Q516">
        <v>1813</v>
      </c>
      <c r="R516">
        <v>5</v>
      </c>
      <c r="S516">
        <v>3</v>
      </c>
      <c r="T516" t="s">
        <v>47</v>
      </c>
      <c r="U516" t="s">
        <v>42</v>
      </c>
      <c r="V516">
        <v>208877</v>
      </c>
      <c r="W516">
        <v>3.9</v>
      </c>
      <c r="X516">
        <v>5</v>
      </c>
      <c r="Y516" t="s">
        <v>61</v>
      </c>
      <c r="Z516">
        <v>3.07</v>
      </c>
      <c r="AA516" t="s">
        <v>35</v>
      </c>
    </row>
    <row r="517" spans="1:27" x14ac:dyDescent="0.3">
      <c r="A517" t="s">
        <v>52</v>
      </c>
      <c r="B517" t="s">
        <v>80</v>
      </c>
      <c r="C517">
        <v>2025</v>
      </c>
      <c r="D517" t="s">
        <v>38</v>
      </c>
      <c r="E517">
        <v>124865.93</v>
      </c>
      <c r="F517">
        <v>64.900000000000006</v>
      </c>
      <c r="G517">
        <v>241</v>
      </c>
      <c r="H517">
        <v>330.2</v>
      </c>
      <c r="I517">
        <v>7.79</v>
      </c>
      <c r="J517">
        <v>124</v>
      </c>
      <c r="K517">
        <v>895</v>
      </c>
      <c r="L517">
        <v>800</v>
      </c>
      <c r="M517" t="s">
        <v>30</v>
      </c>
      <c r="N517">
        <v>5</v>
      </c>
      <c r="O517" t="s">
        <v>31</v>
      </c>
      <c r="P517">
        <v>79.599999999999994</v>
      </c>
      <c r="Q517">
        <v>2145</v>
      </c>
      <c r="R517">
        <v>4</v>
      </c>
      <c r="S517">
        <v>2</v>
      </c>
      <c r="T517" t="s">
        <v>47</v>
      </c>
      <c r="U517" t="s">
        <v>33</v>
      </c>
      <c r="V517">
        <v>223231</v>
      </c>
      <c r="W517">
        <v>3.7</v>
      </c>
      <c r="X517">
        <v>4</v>
      </c>
      <c r="Y517" t="s">
        <v>61</v>
      </c>
      <c r="Z517">
        <v>3.71</v>
      </c>
      <c r="AA517" t="s">
        <v>35</v>
      </c>
    </row>
    <row r="518" spans="1:27" x14ac:dyDescent="0.3">
      <c r="A518" t="s">
        <v>27</v>
      </c>
      <c r="B518" t="s">
        <v>28</v>
      </c>
      <c r="C518">
        <v>2026</v>
      </c>
      <c r="D518" t="s">
        <v>63</v>
      </c>
      <c r="E518">
        <v>46634.879999999997</v>
      </c>
      <c r="F518">
        <v>48.4</v>
      </c>
      <c r="G518">
        <v>169</v>
      </c>
      <c r="H518">
        <v>105.6</v>
      </c>
      <c r="I518">
        <v>7.47</v>
      </c>
      <c r="J518">
        <v>137</v>
      </c>
      <c r="K518">
        <v>418</v>
      </c>
      <c r="L518">
        <v>376</v>
      </c>
      <c r="M518" t="s">
        <v>39</v>
      </c>
      <c r="N518">
        <v>7</v>
      </c>
      <c r="O518" t="s">
        <v>46</v>
      </c>
      <c r="P518">
        <v>77.099999999999994</v>
      </c>
      <c r="Q518">
        <v>1500</v>
      </c>
      <c r="R518">
        <v>4</v>
      </c>
      <c r="S518">
        <v>2</v>
      </c>
      <c r="T518" t="s">
        <v>32</v>
      </c>
      <c r="U518" t="s">
        <v>42</v>
      </c>
      <c r="V518">
        <v>203221</v>
      </c>
      <c r="W518">
        <v>3.3</v>
      </c>
      <c r="X518">
        <v>4</v>
      </c>
      <c r="Y518" t="s">
        <v>61</v>
      </c>
      <c r="Z518">
        <v>3.49</v>
      </c>
      <c r="AA518" t="s">
        <v>35</v>
      </c>
    </row>
    <row r="519" spans="1:27" x14ac:dyDescent="0.3">
      <c r="A519" t="s">
        <v>84</v>
      </c>
      <c r="B519" t="s">
        <v>106</v>
      </c>
      <c r="C519">
        <v>2023</v>
      </c>
      <c r="D519" t="s">
        <v>68</v>
      </c>
      <c r="E519">
        <v>68553.62</v>
      </c>
      <c r="F519">
        <v>71.3</v>
      </c>
      <c r="G519">
        <v>243</v>
      </c>
      <c r="H519">
        <v>137.1</v>
      </c>
      <c r="I519">
        <v>5.0199999999999996</v>
      </c>
      <c r="J519">
        <v>173</v>
      </c>
      <c r="K519">
        <v>722</v>
      </c>
      <c r="L519">
        <v>627</v>
      </c>
      <c r="M519" t="s">
        <v>39</v>
      </c>
      <c r="N519">
        <v>5</v>
      </c>
      <c r="O519" t="s">
        <v>40</v>
      </c>
      <c r="P519">
        <v>44.5</v>
      </c>
      <c r="Q519">
        <v>1984</v>
      </c>
      <c r="R519">
        <v>5</v>
      </c>
      <c r="S519">
        <v>0</v>
      </c>
      <c r="T519" t="s">
        <v>47</v>
      </c>
      <c r="U519" t="s">
        <v>38</v>
      </c>
      <c r="V519">
        <v>60519</v>
      </c>
      <c r="W519">
        <v>3.4</v>
      </c>
      <c r="X519">
        <v>5</v>
      </c>
      <c r="Y519" t="s">
        <v>43</v>
      </c>
      <c r="Z519">
        <v>3.41</v>
      </c>
      <c r="AA519" t="s">
        <v>35</v>
      </c>
    </row>
    <row r="520" spans="1:27" x14ac:dyDescent="0.3">
      <c r="A520" t="s">
        <v>107</v>
      </c>
      <c r="B520" t="s">
        <v>121</v>
      </c>
      <c r="C520">
        <v>2023</v>
      </c>
      <c r="D520" t="s">
        <v>29</v>
      </c>
      <c r="E520">
        <v>254017.08</v>
      </c>
      <c r="F520">
        <v>118.1</v>
      </c>
      <c r="G520">
        <v>408</v>
      </c>
      <c r="H520">
        <v>222.2</v>
      </c>
      <c r="I520">
        <v>3.9</v>
      </c>
      <c r="J520">
        <v>190</v>
      </c>
      <c r="K520">
        <v>1000</v>
      </c>
      <c r="L520">
        <v>936</v>
      </c>
      <c r="M520" t="s">
        <v>30</v>
      </c>
      <c r="N520">
        <v>5</v>
      </c>
      <c r="O520" t="s">
        <v>65</v>
      </c>
      <c r="P520">
        <v>21.8</v>
      </c>
      <c r="Q520">
        <v>1500</v>
      </c>
      <c r="R520">
        <v>5</v>
      </c>
      <c r="S520">
        <v>0</v>
      </c>
      <c r="T520" t="s">
        <v>32</v>
      </c>
      <c r="U520" t="s">
        <v>33</v>
      </c>
      <c r="V520">
        <v>26159</v>
      </c>
      <c r="W520">
        <v>4.2</v>
      </c>
      <c r="X520">
        <v>8</v>
      </c>
      <c r="Y520" t="s">
        <v>34</v>
      </c>
      <c r="Z520">
        <v>3.45</v>
      </c>
      <c r="AA520" t="s">
        <v>35</v>
      </c>
    </row>
    <row r="521" spans="1:27" x14ac:dyDescent="0.3">
      <c r="A521" t="s">
        <v>52</v>
      </c>
      <c r="B521" t="s">
        <v>86</v>
      </c>
      <c r="C521">
        <v>2021</v>
      </c>
      <c r="D521" t="s">
        <v>68</v>
      </c>
      <c r="E521">
        <v>27945.8</v>
      </c>
      <c r="F521">
        <v>48.4</v>
      </c>
      <c r="G521">
        <v>157</v>
      </c>
      <c r="H521">
        <v>300.2</v>
      </c>
      <c r="I521">
        <v>7.15</v>
      </c>
      <c r="J521">
        <v>149</v>
      </c>
      <c r="K521">
        <v>188</v>
      </c>
      <c r="L521">
        <v>200</v>
      </c>
      <c r="M521" t="s">
        <v>30</v>
      </c>
      <c r="N521">
        <v>7</v>
      </c>
      <c r="O521" t="s">
        <v>56</v>
      </c>
      <c r="P521">
        <v>39.700000000000003</v>
      </c>
      <c r="Q521">
        <v>1891</v>
      </c>
      <c r="R521">
        <v>5</v>
      </c>
      <c r="S521">
        <v>2</v>
      </c>
      <c r="T521" t="s">
        <v>47</v>
      </c>
      <c r="U521" t="s">
        <v>74</v>
      </c>
      <c r="V521">
        <v>162791</v>
      </c>
      <c r="W521">
        <v>3.4</v>
      </c>
      <c r="X521">
        <v>6</v>
      </c>
      <c r="Y521" t="s">
        <v>61</v>
      </c>
      <c r="Z521">
        <v>3.24</v>
      </c>
      <c r="AA521" t="s">
        <v>35</v>
      </c>
    </row>
    <row r="522" spans="1:27" x14ac:dyDescent="0.3">
      <c r="A522" t="s">
        <v>48</v>
      </c>
      <c r="B522" t="s">
        <v>60</v>
      </c>
      <c r="C522">
        <v>2024</v>
      </c>
      <c r="D522" t="s">
        <v>29</v>
      </c>
      <c r="E522">
        <v>51697.58</v>
      </c>
      <c r="F522">
        <v>115.1</v>
      </c>
      <c r="G522">
        <v>396</v>
      </c>
      <c r="H522">
        <v>187.6</v>
      </c>
      <c r="I522">
        <v>3.39</v>
      </c>
      <c r="J522">
        <v>194</v>
      </c>
      <c r="K522">
        <v>533</v>
      </c>
      <c r="L522">
        <v>497</v>
      </c>
      <c r="M522" t="s">
        <v>54</v>
      </c>
      <c r="N522">
        <v>5</v>
      </c>
      <c r="O522" t="s">
        <v>31</v>
      </c>
      <c r="P522">
        <v>72.400000000000006</v>
      </c>
      <c r="Q522">
        <v>2631</v>
      </c>
      <c r="R522">
        <v>5</v>
      </c>
      <c r="S522">
        <v>1</v>
      </c>
      <c r="T522" t="s">
        <v>51</v>
      </c>
      <c r="U522" t="s">
        <v>42</v>
      </c>
      <c r="V522">
        <v>56242</v>
      </c>
      <c r="W522">
        <v>3.8</v>
      </c>
      <c r="X522">
        <v>4</v>
      </c>
      <c r="Y522" t="s">
        <v>34</v>
      </c>
      <c r="Z522">
        <v>3.44</v>
      </c>
      <c r="AA522" t="s">
        <v>35</v>
      </c>
    </row>
    <row r="523" spans="1:27" x14ac:dyDescent="0.3">
      <c r="A523" t="s">
        <v>27</v>
      </c>
      <c r="B523" t="s">
        <v>78</v>
      </c>
      <c r="C523">
        <v>2024</v>
      </c>
      <c r="D523" t="s">
        <v>68</v>
      </c>
      <c r="E523">
        <v>36019.25</v>
      </c>
      <c r="F523">
        <v>63.3</v>
      </c>
      <c r="G523">
        <v>224</v>
      </c>
      <c r="H523">
        <v>133.5</v>
      </c>
      <c r="I523">
        <v>6.85</v>
      </c>
      <c r="J523">
        <v>140</v>
      </c>
      <c r="K523">
        <v>257</v>
      </c>
      <c r="L523">
        <v>296</v>
      </c>
      <c r="M523" t="s">
        <v>54</v>
      </c>
      <c r="N523">
        <v>7</v>
      </c>
      <c r="O523" t="s">
        <v>56</v>
      </c>
      <c r="P523">
        <v>18.5</v>
      </c>
      <c r="Q523">
        <v>1771</v>
      </c>
      <c r="R523">
        <v>4</v>
      </c>
      <c r="S523">
        <v>0</v>
      </c>
      <c r="T523" t="s">
        <v>32</v>
      </c>
      <c r="U523" t="s">
        <v>42</v>
      </c>
      <c r="V523">
        <v>209890</v>
      </c>
      <c r="W523">
        <v>3.5</v>
      </c>
      <c r="X523">
        <v>4</v>
      </c>
      <c r="Y523" t="s">
        <v>43</v>
      </c>
      <c r="Z523">
        <v>3.54</v>
      </c>
      <c r="AA523" t="s">
        <v>35</v>
      </c>
    </row>
    <row r="524" spans="1:27" x14ac:dyDescent="0.3">
      <c r="A524" t="s">
        <v>66</v>
      </c>
      <c r="B524" t="s">
        <v>119</v>
      </c>
      <c r="C524">
        <v>2024</v>
      </c>
      <c r="D524" t="s">
        <v>38</v>
      </c>
      <c r="E524">
        <v>121374.95</v>
      </c>
      <c r="F524">
        <v>70.8</v>
      </c>
      <c r="G524">
        <v>262</v>
      </c>
      <c r="H524">
        <v>142.80000000000001</v>
      </c>
      <c r="I524">
        <v>6.04</v>
      </c>
      <c r="J524">
        <v>153</v>
      </c>
      <c r="K524">
        <v>1000</v>
      </c>
      <c r="L524">
        <v>845</v>
      </c>
      <c r="M524" t="s">
        <v>30</v>
      </c>
      <c r="N524">
        <v>7</v>
      </c>
      <c r="O524" t="s">
        <v>46</v>
      </c>
      <c r="P524">
        <v>69.2</v>
      </c>
      <c r="Q524">
        <v>1768</v>
      </c>
      <c r="R524">
        <v>3</v>
      </c>
      <c r="S524">
        <v>0</v>
      </c>
      <c r="T524" t="s">
        <v>47</v>
      </c>
      <c r="U524" t="s">
        <v>33</v>
      </c>
      <c r="V524">
        <v>26859</v>
      </c>
      <c r="W524">
        <v>3.7</v>
      </c>
      <c r="X524">
        <v>5</v>
      </c>
      <c r="Y524" t="s">
        <v>43</v>
      </c>
      <c r="Z524">
        <v>3.7</v>
      </c>
      <c r="AA524" t="s">
        <v>35</v>
      </c>
    </row>
    <row r="525" spans="1:27" x14ac:dyDescent="0.3">
      <c r="A525" t="s">
        <v>58</v>
      </c>
      <c r="B525" t="s">
        <v>70</v>
      </c>
      <c r="C525">
        <v>2026</v>
      </c>
      <c r="D525" t="s">
        <v>38</v>
      </c>
      <c r="E525">
        <v>115211.58</v>
      </c>
      <c r="F525">
        <v>57.3</v>
      </c>
      <c r="G525">
        <v>174</v>
      </c>
      <c r="H525">
        <v>69.8</v>
      </c>
      <c r="I525">
        <v>6.09</v>
      </c>
      <c r="J525">
        <v>161</v>
      </c>
      <c r="K525">
        <v>622</v>
      </c>
      <c r="L525">
        <v>619</v>
      </c>
      <c r="M525" t="s">
        <v>54</v>
      </c>
      <c r="N525">
        <v>7</v>
      </c>
      <c r="O525" t="s">
        <v>65</v>
      </c>
      <c r="P525">
        <v>15.5</v>
      </c>
      <c r="Q525">
        <v>1500</v>
      </c>
      <c r="R525">
        <v>4</v>
      </c>
      <c r="S525">
        <v>1</v>
      </c>
      <c r="T525" t="s">
        <v>32</v>
      </c>
      <c r="U525" t="s">
        <v>33</v>
      </c>
      <c r="V525">
        <v>42340</v>
      </c>
      <c r="W525">
        <v>3.4</v>
      </c>
      <c r="X525">
        <v>6</v>
      </c>
      <c r="Y525" t="s">
        <v>43</v>
      </c>
      <c r="Z525">
        <v>3.04</v>
      </c>
      <c r="AA525" t="s">
        <v>35</v>
      </c>
    </row>
    <row r="526" spans="1:27" x14ac:dyDescent="0.3">
      <c r="A526" t="s">
        <v>58</v>
      </c>
      <c r="B526" t="s">
        <v>70</v>
      </c>
      <c r="C526">
        <v>2025</v>
      </c>
      <c r="D526" t="s">
        <v>68</v>
      </c>
      <c r="E526">
        <v>139106.45000000001</v>
      </c>
      <c r="F526">
        <v>61.4</v>
      </c>
      <c r="G526">
        <v>208</v>
      </c>
      <c r="H526">
        <v>51.8</v>
      </c>
      <c r="I526">
        <v>6.86</v>
      </c>
      <c r="J526">
        <v>150</v>
      </c>
      <c r="K526">
        <v>922</v>
      </c>
      <c r="L526">
        <v>787</v>
      </c>
      <c r="M526" t="s">
        <v>54</v>
      </c>
      <c r="N526">
        <v>7</v>
      </c>
      <c r="O526" t="s">
        <v>57</v>
      </c>
      <c r="P526">
        <v>38.5</v>
      </c>
      <c r="Q526">
        <v>1656</v>
      </c>
      <c r="R526">
        <v>5</v>
      </c>
      <c r="S526">
        <v>1</v>
      </c>
      <c r="T526" t="s">
        <v>32</v>
      </c>
      <c r="U526" t="s">
        <v>33</v>
      </c>
      <c r="V526">
        <v>49644</v>
      </c>
      <c r="W526">
        <v>3.4</v>
      </c>
      <c r="X526">
        <v>6</v>
      </c>
      <c r="Y526" t="s">
        <v>43</v>
      </c>
      <c r="Z526">
        <v>3.39</v>
      </c>
      <c r="AA526" t="s">
        <v>35</v>
      </c>
    </row>
    <row r="527" spans="1:27" x14ac:dyDescent="0.3">
      <c r="A527" t="s">
        <v>76</v>
      </c>
      <c r="B527" t="s">
        <v>117</v>
      </c>
      <c r="C527">
        <v>2025</v>
      </c>
      <c r="D527" t="s">
        <v>68</v>
      </c>
      <c r="E527">
        <v>60050.99</v>
      </c>
      <c r="F527">
        <v>47.8</v>
      </c>
      <c r="G527">
        <v>165</v>
      </c>
      <c r="H527">
        <v>73.099999999999994</v>
      </c>
      <c r="I527">
        <v>7.67</v>
      </c>
      <c r="J527">
        <v>133</v>
      </c>
      <c r="K527">
        <v>663</v>
      </c>
      <c r="L527">
        <v>681</v>
      </c>
      <c r="M527" t="s">
        <v>30</v>
      </c>
      <c r="N527">
        <v>5</v>
      </c>
      <c r="O527" t="s">
        <v>56</v>
      </c>
      <c r="P527">
        <v>24.1</v>
      </c>
      <c r="Q527">
        <v>1500</v>
      </c>
      <c r="R527">
        <v>4</v>
      </c>
      <c r="S527">
        <v>1</v>
      </c>
      <c r="T527" t="s">
        <v>51</v>
      </c>
      <c r="U527" t="s">
        <v>42</v>
      </c>
      <c r="V527">
        <v>138281</v>
      </c>
      <c r="W527">
        <v>3.2</v>
      </c>
      <c r="X527">
        <v>3</v>
      </c>
      <c r="Y527" t="s">
        <v>61</v>
      </c>
      <c r="Z527">
        <v>3.45</v>
      </c>
      <c r="AA527" t="s">
        <v>35</v>
      </c>
    </row>
    <row r="528" spans="1:27" x14ac:dyDescent="0.3">
      <c r="A528" t="s">
        <v>27</v>
      </c>
      <c r="B528" t="s">
        <v>78</v>
      </c>
      <c r="C528">
        <v>2026</v>
      </c>
      <c r="D528" t="s">
        <v>68</v>
      </c>
      <c r="E528">
        <v>44501.34</v>
      </c>
      <c r="F528">
        <v>41.7</v>
      </c>
      <c r="G528">
        <v>150</v>
      </c>
      <c r="H528">
        <v>146</v>
      </c>
      <c r="I528">
        <v>7.64</v>
      </c>
      <c r="J528">
        <v>135</v>
      </c>
      <c r="K528">
        <v>378</v>
      </c>
      <c r="L528">
        <v>326</v>
      </c>
      <c r="M528" t="s">
        <v>39</v>
      </c>
      <c r="N528">
        <v>7</v>
      </c>
      <c r="O528" t="s">
        <v>57</v>
      </c>
      <c r="P528">
        <v>34.299999999999997</v>
      </c>
      <c r="Q528">
        <v>1547</v>
      </c>
      <c r="R528">
        <v>5</v>
      </c>
      <c r="S528">
        <v>1</v>
      </c>
      <c r="T528" t="s">
        <v>32</v>
      </c>
      <c r="U528" t="s">
        <v>42</v>
      </c>
      <c r="V528">
        <v>220387</v>
      </c>
      <c r="W528">
        <v>3.1</v>
      </c>
      <c r="X528">
        <v>5</v>
      </c>
      <c r="Y528" t="s">
        <v>61</v>
      </c>
      <c r="Z528">
        <v>3.6</v>
      </c>
      <c r="AA528" t="s">
        <v>35</v>
      </c>
    </row>
    <row r="529" spans="1:27" x14ac:dyDescent="0.3">
      <c r="A529" t="s">
        <v>71</v>
      </c>
      <c r="B529" t="s">
        <v>81</v>
      </c>
      <c r="C529">
        <v>2024</v>
      </c>
      <c r="D529" t="s">
        <v>63</v>
      </c>
      <c r="E529">
        <v>40390.03</v>
      </c>
      <c r="F529">
        <v>62.1</v>
      </c>
      <c r="G529">
        <v>232</v>
      </c>
      <c r="H529">
        <v>89.4</v>
      </c>
      <c r="I529">
        <v>7.19</v>
      </c>
      <c r="J529">
        <v>138</v>
      </c>
      <c r="K529">
        <v>402</v>
      </c>
      <c r="L529">
        <v>324</v>
      </c>
      <c r="M529" t="s">
        <v>30</v>
      </c>
      <c r="N529">
        <v>7</v>
      </c>
      <c r="O529" t="s">
        <v>57</v>
      </c>
      <c r="P529">
        <v>35.4</v>
      </c>
      <c r="Q529">
        <v>1810</v>
      </c>
      <c r="R529">
        <v>5</v>
      </c>
      <c r="S529">
        <v>0</v>
      </c>
      <c r="T529" t="s">
        <v>73</v>
      </c>
      <c r="U529" t="s">
        <v>42</v>
      </c>
      <c r="V529">
        <v>138054</v>
      </c>
      <c r="W529">
        <v>3.4</v>
      </c>
      <c r="X529">
        <v>4</v>
      </c>
      <c r="Y529" t="s">
        <v>61</v>
      </c>
      <c r="Z529">
        <v>3.74</v>
      </c>
      <c r="AA529" t="s">
        <v>35</v>
      </c>
    </row>
    <row r="530" spans="1:27" x14ac:dyDescent="0.3">
      <c r="A530" t="s">
        <v>52</v>
      </c>
      <c r="B530" t="s">
        <v>80</v>
      </c>
      <c r="C530">
        <v>2024</v>
      </c>
      <c r="D530" t="s">
        <v>50</v>
      </c>
      <c r="E530">
        <v>45682.18</v>
      </c>
      <c r="F530">
        <v>109.7</v>
      </c>
      <c r="G530">
        <v>377</v>
      </c>
      <c r="H530">
        <v>312.89999999999998</v>
      </c>
      <c r="I530">
        <v>5.32</v>
      </c>
      <c r="J530">
        <v>165</v>
      </c>
      <c r="K530">
        <v>335</v>
      </c>
      <c r="L530">
        <v>376</v>
      </c>
      <c r="M530" t="s">
        <v>54</v>
      </c>
      <c r="N530">
        <v>5</v>
      </c>
      <c r="O530" t="s">
        <v>31</v>
      </c>
      <c r="P530">
        <v>63.3</v>
      </c>
      <c r="Q530">
        <v>2562</v>
      </c>
      <c r="R530">
        <v>4</v>
      </c>
      <c r="S530">
        <v>2</v>
      </c>
      <c r="T530" t="s">
        <v>47</v>
      </c>
      <c r="U530" t="s">
        <v>42</v>
      </c>
      <c r="V530">
        <v>170687</v>
      </c>
      <c r="W530">
        <v>3.9</v>
      </c>
      <c r="X530">
        <v>4</v>
      </c>
      <c r="Y530" t="s">
        <v>43</v>
      </c>
      <c r="Z530">
        <v>3.44</v>
      </c>
      <c r="AA530" t="s">
        <v>35</v>
      </c>
    </row>
    <row r="531" spans="1:27" x14ac:dyDescent="0.3">
      <c r="A531" t="s">
        <v>58</v>
      </c>
      <c r="B531" t="s">
        <v>134</v>
      </c>
      <c r="C531">
        <v>2025</v>
      </c>
      <c r="D531" t="s">
        <v>68</v>
      </c>
      <c r="E531">
        <v>103044.63</v>
      </c>
      <c r="F531">
        <v>78.900000000000006</v>
      </c>
      <c r="G531">
        <v>264</v>
      </c>
      <c r="H531">
        <v>128.1</v>
      </c>
      <c r="I531">
        <v>7.97</v>
      </c>
      <c r="J531">
        <v>132</v>
      </c>
      <c r="K531">
        <v>592</v>
      </c>
      <c r="L531">
        <v>542</v>
      </c>
      <c r="M531" t="s">
        <v>30</v>
      </c>
      <c r="N531">
        <v>5</v>
      </c>
      <c r="O531" t="s">
        <v>46</v>
      </c>
      <c r="P531">
        <v>63.3</v>
      </c>
      <c r="Q531">
        <v>1542</v>
      </c>
      <c r="R531">
        <v>5</v>
      </c>
      <c r="S531">
        <v>1</v>
      </c>
      <c r="T531" t="s">
        <v>32</v>
      </c>
      <c r="U531" t="s">
        <v>33</v>
      </c>
      <c r="V531">
        <v>75663</v>
      </c>
      <c r="W531">
        <v>3.6</v>
      </c>
      <c r="X531">
        <v>5</v>
      </c>
      <c r="Y531" t="s">
        <v>61</v>
      </c>
      <c r="Z531">
        <v>3.35</v>
      </c>
      <c r="AA531" t="s">
        <v>35</v>
      </c>
    </row>
    <row r="532" spans="1:27" x14ac:dyDescent="0.3">
      <c r="A532" t="s">
        <v>84</v>
      </c>
      <c r="B532" t="s">
        <v>85</v>
      </c>
      <c r="C532">
        <v>2026</v>
      </c>
      <c r="D532" t="s">
        <v>50</v>
      </c>
      <c r="E532">
        <v>53193.55</v>
      </c>
      <c r="F532">
        <v>98</v>
      </c>
      <c r="G532">
        <v>364</v>
      </c>
      <c r="H532">
        <v>83.3</v>
      </c>
      <c r="I532">
        <v>5.19</v>
      </c>
      <c r="J532">
        <v>173</v>
      </c>
      <c r="K532">
        <v>541</v>
      </c>
      <c r="L532">
        <v>487</v>
      </c>
      <c r="M532" t="s">
        <v>54</v>
      </c>
      <c r="N532">
        <v>7</v>
      </c>
      <c r="O532" t="s">
        <v>46</v>
      </c>
      <c r="P532">
        <v>70.2</v>
      </c>
      <c r="Q532">
        <v>1783</v>
      </c>
      <c r="R532">
        <v>4</v>
      </c>
      <c r="S532">
        <v>2</v>
      </c>
      <c r="T532" t="s">
        <v>47</v>
      </c>
      <c r="U532" t="s">
        <v>42</v>
      </c>
      <c r="V532">
        <v>23578</v>
      </c>
      <c r="W532">
        <v>3.9</v>
      </c>
      <c r="X532">
        <v>4</v>
      </c>
      <c r="Y532" t="s">
        <v>43</v>
      </c>
      <c r="Z532">
        <v>3.71</v>
      </c>
      <c r="AA532" t="s">
        <v>35</v>
      </c>
    </row>
    <row r="533" spans="1:27" x14ac:dyDescent="0.3">
      <c r="A533" t="s">
        <v>137</v>
      </c>
      <c r="B533" t="s">
        <v>138</v>
      </c>
      <c r="C533">
        <v>2026</v>
      </c>
      <c r="D533" t="s">
        <v>29</v>
      </c>
      <c r="E533">
        <v>51309.25</v>
      </c>
      <c r="F533">
        <v>118.5</v>
      </c>
      <c r="G533">
        <v>410</v>
      </c>
      <c r="H533">
        <v>188.1</v>
      </c>
      <c r="I533">
        <v>3.03</v>
      </c>
      <c r="J533">
        <v>200</v>
      </c>
      <c r="K533">
        <v>742</v>
      </c>
      <c r="L533">
        <v>677</v>
      </c>
      <c r="M533" t="s">
        <v>54</v>
      </c>
      <c r="N533">
        <v>5</v>
      </c>
      <c r="O533" t="s">
        <v>65</v>
      </c>
      <c r="P533">
        <v>36.5</v>
      </c>
      <c r="Q533">
        <v>1557</v>
      </c>
      <c r="R533">
        <v>5</v>
      </c>
      <c r="S533">
        <v>1</v>
      </c>
      <c r="T533" t="s">
        <v>41</v>
      </c>
      <c r="U533" t="s">
        <v>42</v>
      </c>
      <c r="V533">
        <v>6885</v>
      </c>
      <c r="W533">
        <v>3.8</v>
      </c>
      <c r="X533">
        <v>5</v>
      </c>
      <c r="Y533" t="s">
        <v>34</v>
      </c>
      <c r="Z533">
        <v>3.46</v>
      </c>
      <c r="AA533" t="s">
        <v>43</v>
      </c>
    </row>
    <row r="534" spans="1:27" x14ac:dyDescent="0.3">
      <c r="A534" t="s">
        <v>139</v>
      </c>
      <c r="B534" t="s">
        <v>140</v>
      </c>
      <c r="C534">
        <v>2024</v>
      </c>
      <c r="D534" t="s">
        <v>29</v>
      </c>
      <c r="E534">
        <v>102584.09</v>
      </c>
      <c r="F534">
        <v>74.5</v>
      </c>
      <c r="G534">
        <v>250</v>
      </c>
      <c r="H534">
        <v>185.6</v>
      </c>
      <c r="I534">
        <v>3.7</v>
      </c>
      <c r="J534">
        <v>195</v>
      </c>
      <c r="K534">
        <v>1000</v>
      </c>
      <c r="L534">
        <v>937</v>
      </c>
      <c r="M534" t="s">
        <v>30</v>
      </c>
      <c r="N534">
        <v>5</v>
      </c>
      <c r="O534" t="s">
        <v>56</v>
      </c>
      <c r="P534">
        <v>38.5</v>
      </c>
      <c r="Q534">
        <v>1831</v>
      </c>
      <c r="R534">
        <v>5</v>
      </c>
      <c r="S534">
        <v>0</v>
      </c>
      <c r="T534" t="s">
        <v>73</v>
      </c>
      <c r="U534" t="s">
        <v>33</v>
      </c>
      <c r="V534">
        <v>19780</v>
      </c>
      <c r="W534">
        <v>3.4</v>
      </c>
      <c r="X534">
        <v>4</v>
      </c>
      <c r="Y534" t="s">
        <v>34</v>
      </c>
      <c r="Z534">
        <v>3.36</v>
      </c>
      <c r="AA534" t="s">
        <v>43</v>
      </c>
    </row>
    <row r="535" spans="1:27" x14ac:dyDescent="0.3">
      <c r="A535" t="s">
        <v>48</v>
      </c>
      <c r="B535" t="s">
        <v>49</v>
      </c>
      <c r="C535">
        <v>2024</v>
      </c>
      <c r="D535" t="s">
        <v>50</v>
      </c>
      <c r="E535">
        <v>99048.18</v>
      </c>
      <c r="F535">
        <v>89</v>
      </c>
      <c r="G535">
        <v>324</v>
      </c>
      <c r="H535">
        <v>92.3</v>
      </c>
      <c r="I535">
        <v>5.55</v>
      </c>
      <c r="J535">
        <v>168</v>
      </c>
      <c r="K535">
        <v>1000</v>
      </c>
      <c r="L535">
        <v>907</v>
      </c>
      <c r="M535" t="s">
        <v>39</v>
      </c>
      <c r="N535">
        <v>7</v>
      </c>
      <c r="O535" t="s">
        <v>40</v>
      </c>
      <c r="P535">
        <v>40.6</v>
      </c>
      <c r="Q535">
        <v>2057</v>
      </c>
      <c r="R535">
        <v>5</v>
      </c>
      <c r="S535">
        <v>0</v>
      </c>
      <c r="T535" t="s">
        <v>51</v>
      </c>
      <c r="U535" t="s">
        <v>38</v>
      </c>
      <c r="V535">
        <v>55742</v>
      </c>
      <c r="W535">
        <v>3.6</v>
      </c>
      <c r="X535">
        <v>4</v>
      </c>
      <c r="Y535" t="s">
        <v>43</v>
      </c>
      <c r="Z535">
        <v>3.64</v>
      </c>
      <c r="AA535" t="s">
        <v>35</v>
      </c>
    </row>
    <row r="536" spans="1:27" x14ac:dyDescent="0.3">
      <c r="A536" t="s">
        <v>84</v>
      </c>
      <c r="B536" t="s">
        <v>85</v>
      </c>
      <c r="C536">
        <v>2023</v>
      </c>
      <c r="D536" t="s">
        <v>63</v>
      </c>
      <c r="E536">
        <v>67976.38</v>
      </c>
      <c r="F536">
        <v>49</v>
      </c>
      <c r="G536">
        <v>179</v>
      </c>
      <c r="H536">
        <v>107.9</v>
      </c>
      <c r="I536">
        <v>5.74</v>
      </c>
      <c r="J536">
        <v>166</v>
      </c>
      <c r="K536">
        <v>778</v>
      </c>
      <c r="L536">
        <v>690</v>
      </c>
      <c r="M536" t="s">
        <v>30</v>
      </c>
      <c r="N536">
        <v>7</v>
      </c>
      <c r="O536" t="s">
        <v>40</v>
      </c>
      <c r="P536">
        <v>39.700000000000003</v>
      </c>
      <c r="Q536">
        <v>2302</v>
      </c>
      <c r="R536">
        <v>4</v>
      </c>
      <c r="S536">
        <v>0</v>
      </c>
      <c r="T536" t="s">
        <v>47</v>
      </c>
      <c r="U536" t="s">
        <v>38</v>
      </c>
      <c r="V536">
        <v>21067</v>
      </c>
      <c r="W536">
        <v>3.3</v>
      </c>
      <c r="X536">
        <v>3</v>
      </c>
      <c r="Y536" t="s">
        <v>43</v>
      </c>
      <c r="Z536">
        <v>3.65</v>
      </c>
      <c r="AA536" t="s">
        <v>35</v>
      </c>
    </row>
    <row r="537" spans="1:27" x14ac:dyDescent="0.3">
      <c r="A537" t="s">
        <v>36</v>
      </c>
      <c r="B537" t="s">
        <v>120</v>
      </c>
      <c r="C537">
        <v>2023</v>
      </c>
      <c r="D537" t="s">
        <v>68</v>
      </c>
      <c r="E537">
        <v>69285.919999999998</v>
      </c>
      <c r="F537">
        <v>67.099999999999994</v>
      </c>
      <c r="G537">
        <v>201</v>
      </c>
      <c r="H537">
        <v>99.7</v>
      </c>
      <c r="I537">
        <v>5.12</v>
      </c>
      <c r="J537">
        <v>168</v>
      </c>
      <c r="K537">
        <v>831</v>
      </c>
      <c r="L537">
        <v>745</v>
      </c>
      <c r="M537" t="s">
        <v>30</v>
      </c>
      <c r="N537">
        <v>7</v>
      </c>
      <c r="O537" t="s">
        <v>56</v>
      </c>
      <c r="P537">
        <v>36.200000000000003</v>
      </c>
      <c r="Q537">
        <v>1552</v>
      </c>
      <c r="R537">
        <v>5</v>
      </c>
      <c r="S537">
        <v>1</v>
      </c>
      <c r="T537" t="s">
        <v>41</v>
      </c>
      <c r="U537" t="s">
        <v>38</v>
      </c>
      <c r="V537">
        <v>15625</v>
      </c>
      <c r="W537">
        <v>3.6</v>
      </c>
      <c r="X537">
        <v>4</v>
      </c>
      <c r="Y537" t="s">
        <v>43</v>
      </c>
      <c r="Z537">
        <v>3</v>
      </c>
      <c r="AA537" t="s">
        <v>43</v>
      </c>
    </row>
    <row r="538" spans="1:27" x14ac:dyDescent="0.3">
      <c r="A538" t="s">
        <v>58</v>
      </c>
      <c r="B538" t="s">
        <v>105</v>
      </c>
      <c r="C538">
        <v>2024</v>
      </c>
      <c r="D538" t="s">
        <v>29</v>
      </c>
      <c r="E538">
        <v>167898.8</v>
      </c>
      <c r="F538">
        <v>106</v>
      </c>
      <c r="G538">
        <v>375</v>
      </c>
      <c r="H538">
        <v>218.2</v>
      </c>
      <c r="I538">
        <v>3.4</v>
      </c>
      <c r="J538">
        <v>200</v>
      </c>
      <c r="K538">
        <v>1000</v>
      </c>
      <c r="L538">
        <v>941</v>
      </c>
      <c r="M538" t="s">
        <v>54</v>
      </c>
      <c r="N538">
        <v>5</v>
      </c>
      <c r="O538" t="s">
        <v>57</v>
      </c>
      <c r="P538">
        <v>24.5</v>
      </c>
      <c r="Q538">
        <v>1729</v>
      </c>
      <c r="R538">
        <v>4</v>
      </c>
      <c r="S538">
        <v>1</v>
      </c>
      <c r="T538" t="s">
        <v>32</v>
      </c>
      <c r="U538" t="s">
        <v>33</v>
      </c>
      <c r="V538">
        <v>20936</v>
      </c>
      <c r="W538">
        <v>4</v>
      </c>
      <c r="X538">
        <v>6</v>
      </c>
      <c r="Y538" t="s">
        <v>34</v>
      </c>
      <c r="Z538">
        <v>3.54</v>
      </c>
      <c r="AA538" t="s">
        <v>35</v>
      </c>
    </row>
    <row r="539" spans="1:27" x14ac:dyDescent="0.3">
      <c r="A539" t="s">
        <v>71</v>
      </c>
      <c r="B539" t="s">
        <v>115</v>
      </c>
      <c r="C539">
        <v>2025</v>
      </c>
      <c r="D539" t="s">
        <v>68</v>
      </c>
      <c r="E539">
        <v>36623.25</v>
      </c>
      <c r="F539">
        <v>43.3</v>
      </c>
      <c r="G539">
        <v>164</v>
      </c>
      <c r="H539">
        <v>149.80000000000001</v>
      </c>
      <c r="I539">
        <v>7.7</v>
      </c>
      <c r="J539">
        <v>139</v>
      </c>
      <c r="K539">
        <v>344</v>
      </c>
      <c r="L539">
        <v>318</v>
      </c>
      <c r="M539" t="s">
        <v>39</v>
      </c>
      <c r="N539">
        <v>5</v>
      </c>
      <c r="O539" t="s">
        <v>31</v>
      </c>
      <c r="P539">
        <v>59.5</v>
      </c>
      <c r="Q539">
        <v>2509</v>
      </c>
      <c r="R539">
        <v>5</v>
      </c>
      <c r="S539">
        <v>0</v>
      </c>
      <c r="T539" t="s">
        <v>73</v>
      </c>
      <c r="U539" t="s">
        <v>42</v>
      </c>
      <c r="V539">
        <v>185983</v>
      </c>
      <c r="W539">
        <v>3.4</v>
      </c>
      <c r="X539">
        <v>5</v>
      </c>
      <c r="Y539" t="s">
        <v>61</v>
      </c>
      <c r="Z539">
        <v>3.79</v>
      </c>
      <c r="AA539" t="s">
        <v>35</v>
      </c>
    </row>
    <row r="540" spans="1:27" x14ac:dyDescent="0.3">
      <c r="A540" t="s">
        <v>27</v>
      </c>
      <c r="B540" t="s">
        <v>82</v>
      </c>
      <c r="C540">
        <v>2025</v>
      </c>
      <c r="D540" t="s">
        <v>63</v>
      </c>
      <c r="E540">
        <v>30097.01</v>
      </c>
      <c r="F540">
        <v>74.3</v>
      </c>
      <c r="G540">
        <v>267</v>
      </c>
      <c r="H540">
        <v>58.6</v>
      </c>
      <c r="I540">
        <v>7.84</v>
      </c>
      <c r="J540">
        <v>127</v>
      </c>
      <c r="K540">
        <v>150</v>
      </c>
      <c r="L540">
        <v>200</v>
      </c>
      <c r="M540" t="s">
        <v>30</v>
      </c>
      <c r="N540">
        <v>7</v>
      </c>
      <c r="O540" t="s">
        <v>57</v>
      </c>
      <c r="P540">
        <v>36.6</v>
      </c>
      <c r="Q540">
        <v>1883</v>
      </c>
      <c r="R540">
        <v>5</v>
      </c>
      <c r="S540">
        <v>0</v>
      </c>
      <c r="T540" t="s">
        <v>32</v>
      </c>
      <c r="U540" t="s">
        <v>74</v>
      </c>
      <c r="V540">
        <v>289031</v>
      </c>
      <c r="W540">
        <v>3.3</v>
      </c>
      <c r="X540">
        <v>5</v>
      </c>
      <c r="Y540" t="s">
        <v>61</v>
      </c>
      <c r="Z540">
        <v>3.59</v>
      </c>
      <c r="AA540" t="s">
        <v>35</v>
      </c>
    </row>
    <row r="541" spans="1:27" x14ac:dyDescent="0.3">
      <c r="A541" t="s">
        <v>52</v>
      </c>
      <c r="B541" t="s">
        <v>64</v>
      </c>
      <c r="C541">
        <v>2023</v>
      </c>
      <c r="D541" t="s">
        <v>29</v>
      </c>
      <c r="E541">
        <v>82511.11</v>
      </c>
      <c r="F541">
        <v>85.6</v>
      </c>
      <c r="G541">
        <v>289</v>
      </c>
      <c r="H541">
        <v>232</v>
      </c>
      <c r="I541">
        <v>4.3099999999999996</v>
      </c>
      <c r="J541">
        <v>180</v>
      </c>
      <c r="K541">
        <v>553</v>
      </c>
      <c r="L541">
        <v>487</v>
      </c>
      <c r="M541" t="s">
        <v>39</v>
      </c>
      <c r="N541">
        <v>5</v>
      </c>
      <c r="O541" t="s">
        <v>57</v>
      </c>
      <c r="P541">
        <v>35.200000000000003</v>
      </c>
      <c r="Q541">
        <v>1518</v>
      </c>
      <c r="R541">
        <v>4</v>
      </c>
      <c r="S541">
        <v>2</v>
      </c>
      <c r="T541" t="s">
        <v>47</v>
      </c>
      <c r="U541" t="s">
        <v>38</v>
      </c>
      <c r="V541">
        <v>243479</v>
      </c>
      <c r="W541">
        <v>3.8</v>
      </c>
      <c r="X541">
        <v>5</v>
      </c>
      <c r="Y541" t="s">
        <v>43</v>
      </c>
      <c r="Z541">
        <v>3.38</v>
      </c>
      <c r="AA541" t="s">
        <v>35</v>
      </c>
    </row>
    <row r="542" spans="1:27" x14ac:dyDescent="0.3">
      <c r="A542" t="s">
        <v>36</v>
      </c>
      <c r="B542" t="s">
        <v>37</v>
      </c>
      <c r="C542">
        <v>2022</v>
      </c>
      <c r="D542" t="s">
        <v>29</v>
      </c>
      <c r="E542">
        <v>56751.98</v>
      </c>
      <c r="F542">
        <v>90.8</v>
      </c>
      <c r="G542">
        <v>324</v>
      </c>
      <c r="H542">
        <v>228.5</v>
      </c>
      <c r="I542">
        <v>3.6</v>
      </c>
      <c r="J542">
        <v>191</v>
      </c>
      <c r="K542">
        <v>598</v>
      </c>
      <c r="L542">
        <v>543</v>
      </c>
      <c r="M542" t="s">
        <v>54</v>
      </c>
      <c r="N542">
        <v>5</v>
      </c>
      <c r="O542" t="s">
        <v>40</v>
      </c>
      <c r="P542">
        <v>50.7</v>
      </c>
      <c r="Q542">
        <v>2143</v>
      </c>
      <c r="R542">
        <v>5</v>
      </c>
      <c r="S542">
        <v>1</v>
      </c>
      <c r="T542" t="s">
        <v>41</v>
      </c>
      <c r="U542" t="s">
        <v>42</v>
      </c>
      <c r="V542">
        <v>9887</v>
      </c>
      <c r="W542">
        <v>3.4</v>
      </c>
      <c r="X542">
        <v>3</v>
      </c>
      <c r="Y542" t="s">
        <v>34</v>
      </c>
      <c r="Z542">
        <v>3.57</v>
      </c>
      <c r="AA542" t="s">
        <v>43</v>
      </c>
    </row>
    <row r="543" spans="1:27" x14ac:dyDescent="0.3">
      <c r="A543" t="s">
        <v>48</v>
      </c>
      <c r="B543" t="s">
        <v>123</v>
      </c>
      <c r="C543">
        <v>2024</v>
      </c>
      <c r="D543" t="s">
        <v>63</v>
      </c>
      <c r="E543">
        <v>30277.360000000001</v>
      </c>
      <c r="F543">
        <v>62.3</v>
      </c>
      <c r="G543">
        <v>226</v>
      </c>
      <c r="H543">
        <v>143.80000000000001</v>
      </c>
      <c r="I543">
        <v>5.42</v>
      </c>
      <c r="J543">
        <v>172</v>
      </c>
      <c r="K543">
        <v>150</v>
      </c>
      <c r="L543">
        <v>200</v>
      </c>
      <c r="M543" t="s">
        <v>54</v>
      </c>
      <c r="N543">
        <v>5</v>
      </c>
      <c r="O543" t="s">
        <v>46</v>
      </c>
      <c r="P543">
        <v>75.2</v>
      </c>
      <c r="Q543">
        <v>1644</v>
      </c>
      <c r="R543">
        <v>5</v>
      </c>
      <c r="S543">
        <v>1</v>
      </c>
      <c r="T543" t="s">
        <v>51</v>
      </c>
      <c r="U543" t="s">
        <v>74</v>
      </c>
      <c r="V543">
        <v>130299</v>
      </c>
      <c r="W543">
        <v>3.2</v>
      </c>
      <c r="X543">
        <v>5</v>
      </c>
      <c r="Y543" t="s">
        <v>43</v>
      </c>
      <c r="Z543">
        <v>3.63</v>
      </c>
      <c r="AA543" t="s">
        <v>35</v>
      </c>
    </row>
    <row r="544" spans="1:27" x14ac:dyDescent="0.3">
      <c r="A544" t="s">
        <v>71</v>
      </c>
      <c r="B544" t="s">
        <v>115</v>
      </c>
      <c r="C544">
        <v>2024</v>
      </c>
      <c r="D544" t="s">
        <v>29</v>
      </c>
      <c r="E544">
        <v>103480.37</v>
      </c>
      <c r="F544">
        <v>104.9</v>
      </c>
      <c r="G544">
        <v>347</v>
      </c>
      <c r="H544">
        <v>176.2</v>
      </c>
      <c r="I544">
        <v>2.95</v>
      </c>
      <c r="J544">
        <v>200</v>
      </c>
      <c r="K544">
        <v>1000</v>
      </c>
      <c r="L544">
        <v>907</v>
      </c>
      <c r="M544" t="s">
        <v>54</v>
      </c>
      <c r="N544">
        <v>7</v>
      </c>
      <c r="O544" t="s">
        <v>40</v>
      </c>
      <c r="P544">
        <v>64.3</v>
      </c>
      <c r="Q544">
        <v>2052</v>
      </c>
      <c r="R544">
        <v>4</v>
      </c>
      <c r="S544">
        <v>0</v>
      </c>
      <c r="T544" t="s">
        <v>73</v>
      </c>
      <c r="U544" t="s">
        <v>33</v>
      </c>
      <c r="V544">
        <v>211837</v>
      </c>
      <c r="W544">
        <v>3.6</v>
      </c>
      <c r="X544">
        <v>5</v>
      </c>
      <c r="Y544" t="s">
        <v>34</v>
      </c>
      <c r="Z544">
        <v>3.31</v>
      </c>
      <c r="AA544" t="s">
        <v>35</v>
      </c>
    </row>
    <row r="545" spans="1:27" x14ac:dyDescent="0.3">
      <c r="A545" t="s">
        <v>91</v>
      </c>
      <c r="B545" t="s">
        <v>92</v>
      </c>
      <c r="C545">
        <v>2026</v>
      </c>
      <c r="D545" t="s">
        <v>63</v>
      </c>
      <c r="E545">
        <v>48107.44</v>
      </c>
      <c r="F545">
        <v>41.6</v>
      </c>
      <c r="G545">
        <v>150</v>
      </c>
      <c r="H545">
        <v>139</v>
      </c>
      <c r="I545">
        <v>5.91</v>
      </c>
      <c r="J545">
        <v>169</v>
      </c>
      <c r="K545">
        <v>156</v>
      </c>
      <c r="L545">
        <v>200</v>
      </c>
      <c r="M545" t="s">
        <v>30</v>
      </c>
      <c r="N545">
        <v>7</v>
      </c>
      <c r="O545" t="s">
        <v>40</v>
      </c>
      <c r="P545">
        <v>45.9</v>
      </c>
      <c r="Q545">
        <v>2060</v>
      </c>
      <c r="R545">
        <v>4</v>
      </c>
      <c r="S545">
        <v>1</v>
      </c>
      <c r="T545" t="s">
        <v>32</v>
      </c>
      <c r="U545" t="s">
        <v>42</v>
      </c>
      <c r="V545">
        <v>49300</v>
      </c>
      <c r="W545">
        <v>3</v>
      </c>
      <c r="X545">
        <v>7</v>
      </c>
      <c r="Y545" t="s">
        <v>43</v>
      </c>
      <c r="Z545">
        <v>3.61</v>
      </c>
      <c r="AA545" t="s">
        <v>35</v>
      </c>
    </row>
    <row r="546" spans="1:27" x14ac:dyDescent="0.3">
      <c r="A546" t="s">
        <v>48</v>
      </c>
      <c r="B546" t="s">
        <v>49</v>
      </c>
      <c r="C546">
        <v>2023</v>
      </c>
      <c r="D546" t="s">
        <v>38</v>
      </c>
      <c r="E546">
        <v>102070.65</v>
      </c>
      <c r="F546">
        <v>49.5</v>
      </c>
      <c r="G546">
        <v>174</v>
      </c>
      <c r="H546">
        <v>64.3</v>
      </c>
      <c r="I546">
        <v>5.56</v>
      </c>
      <c r="J546">
        <v>163</v>
      </c>
      <c r="K546">
        <v>1000</v>
      </c>
      <c r="L546">
        <v>940</v>
      </c>
      <c r="M546" t="s">
        <v>39</v>
      </c>
      <c r="N546">
        <v>7</v>
      </c>
      <c r="O546" t="s">
        <v>40</v>
      </c>
      <c r="P546">
        <v>50.1</v>
      </c>
      <c r="Q546">
        <v>1859</v>
      </c>
      <c r="R546">
        <v>3</v>
      </c>
      <c r="S546">
        <v>2</v>
      </c>
      <c r="T546" t="s">
        <v>51</v>
      </c>
      <c r="U546" t="s">
        <v>33</v>
      </c>
      <c r="V546">
        <v>148039</v>
      </c>
      <c r="W546">
        <v>3.4</v>
      </c>
      <c r="X546">
        <v>4</v>
      </c>
      <c r="Y546" t="s">
        <v>43</v>
      </c>
      <c r="Z546">
        <v>3.52</v>
      </c>
      <c r="AA546" t="s">
        <v>35</v>
      </c>
    </row>
    <row r="547" spans="1:27" x14ac:dyDescent="0.3">
      <c r="A547" t="s">
        <v>27</v>
      </c>
      <c r="B547" t="s">
        <v>93</v>
      </c>
      <c r="C547">
        <v>2025</v>
      </c>
      <c r="D547" t="s">
        <v>38</v>
      </c>
      <c r="E547">
        <v>94110.75</v>
      </c>
      <c r="F547">
        <v>60.5</v>
      </c>
      <c r="G547">
        <v>194</v>
      </c>
      <c r="H547">
        <v>64</v>
      </c>
      <c r="I547">
        <v>6.75</v>
      </c>
      <c r="J547">
        <v>149</v>
      </c>
      <c r="K547">
        <v>1000</v>
      </c>
      <c r="L547">
        <v>888</v>
      </c>
      <c r="M547" t="s">
        <v>30</v>
      </c>
      <c r="N547">
        <v>7</v>
      </c>
      <c r="O547" t="s">
        <v>46</v>
      </c>
      <c r="P547">
        <v>70.2</v>
      </c>
      <c r="Q547">
        <v>1687</v>
      </c>
      <c r="R547">
        <v>5</v>
      </c>
      <c r="S547">
        <v>1</v>
      </c>
      <c r="T547" t="s">
        <v>32</v>
      </c>
      <c r="U547" t="s">
        <v>38</v>
      </c>
      <c r="V547">
        <v>225387</v>
      </c>
      <c r="W547">
        <v>3.4</v>
      </c>
      <c r="X547">
        <v>4</v>
      </c>
      <c r="Y547" t="s">
        <v>43</v>
      </c>
      <c r="Z547">
        <v>3.21</v>
      </c>
      <c r="AA547" t="s">
        <v>35</v>
      </c>
    </row>
    <row r="548" spans="1:27" x14ac:dyDescent="0.3">
      <c r="A548" t="s">
        <v>52</v>
      </c>
      <c r="B548" t="s">
        <v>80</v>
      </c>
      <c r="C548">
        <v>2025</v>
      </c>
      <c r="D548" t="s">
        <v>68</v>
      </c>
      <c r="E548">
        <v>125305.65</v>
      </c>
      <c r="F548">
        <v>42</v>
      </c>
      <c r="G548">
        <v>158</v>
      </c>
      <c r="H548">
        <v>277.7</v>
      </c>
      <c r="I548">
        <v>6.96</v>
      </c>
      <c r="J548">
        <v>136</v>
      </c>
      <c r="K548">
        <v>868</v>
      </c>
      <c r="L548">
        <v>786</v>
      </c>
      <c r="M548" t="s">
        <v>30</v>
      </c>
      <c r="N548">
        <v>7</v>
      </c>
      <c r="O548" t="s">
        <v>31</v>
      </c>
      <c r="P548">
        <v>57.9</v>
      </c>
      <c r="Q548">
        <v>2372</v>
      </c>
      <c r="R548">
        <v>4</v>
      </c>
      <c r="S548">
        <v>2</v>
      </c>
      <c r="T548" t="s">
        <v>47</v>
      </c>
      <c r="U548" t="s">
        <v>33</v>
      </c>
      <c r="V548">
        <v>199754</v>
      </c>
      <c r="W548">
        <v>3.3</v>
      </c>
      <c r="X548">
        <v>5</v>
      </c>
      <c r="Y548" t="s">
        <v>43</v>
      </c>
      <c r="Z548">
        <v>3.76</v>
      </c>
      <c r="AA548" t="s">
        <v>35</v>
      </c>
    </row>
    <row r="549" spans="1:27" x14ac:dyDescent="0.3">
      <c r="A549" t="s">
        <v>91</v>
      </c>
      <c r="B549" t="s">
        <v>92</v>
      </c>
      <c r="C549">
        <v>2026</v>
      </c>
      <c r="D549" t="s">
        <v>29</v>
      </c>
      <c r="E549">
        <v>116974.41</v>
      </c>
      <c r="F549">
        <v>71.900000000000006</v>
      </c>
      <c r="G549">
        <v>251</v>
      </c>
      <c r="H549">
        <v>175.3</v>
      </c>
      <c r="I549">
        <v>3.87</v>
      </c>
      <c r="J549">
        <v>190</v>
      </c>
      <c r="K549">
        <v>1000</v>
      </c>
      <c r="L549">
        <v>909</v>
      </c>
      <c r="M549" t="s">
        <v>54</v>
      </c>
      <c r="N549">
        <v>5</v>
      </c>
      <c r="O549" t="s">
        <v>31</v>
      </c>
      <c r="P549">
        <v>53.7</v>
      </c>
      <c r="Q549">
        <v>2650</v>
      </c>
      <c r="R549">
        <v>5</v>
      </c>
      <c r="S549">
        <v>2</v>
      </c>
      <c r="T549" t="s">
        <v>32</v>
      </c>
      <c r="U549" t="s">
        <v>33</v>
      </c>
      <c r="V549">
        <v>50944</v>
      </c>
      <c r="W549">
        <v>3.4</v>
      </c>
      <c r="X549">
        <v>6</v>
      </c>
      <c r="Y549" t="s">
        <v>34</v>
      </c>
      <c r="Z549">
        <v>3.49</v>
      </c>
      <c r="AA549" t="s">
        <v>35</v>
      </c>
    </row>
    <row r="550" spans="1:27" x14ac:dyDescent="0.3">
      <c r="A550" t="s">
        <v>76</v>
      </c>
      <c r="B550" t="s">
        <v>87</v>
      </c>
      <c r="C550">
        <v>2024</v>
      </c>
      <c r="D550" t="s">
        <v>50</v>
      </c>
      <c r="E550">
        <v>84751.75</v>
      </c>
      <c r="F550">
        <v>83.1</v>
      </c>
      <c r="G550">
        <v>305</v>
      </c>
      <c r="H550">
        <v>97.4</v>
      </c>
      <c r="I550">
        <v>5.49</v>
      </c>
      <c r="J550">
        <v>169</v>
      </c>
      <c r="K550">
        <v>1000</v>
      </c>
      <c r="L550">
        <v>924</v>
      </c>
      <c r="M550" t="s">
        <v>54</v>
      </c>
      <c r="N550">
        <v>5</v>
      </c>
      <c r="O550" t="s">
        <v>46</v>
      </c>
      <c r="P550">
        <v>61</v>
      </c>
      <c r="Q550">
        <v>1511</v>
      </c>
      <c r="R550">
        <v>5</v>
      </c>
      <c r="S550">
        <v>0</v>
      </c>
      <c r="T550" t="s">
        <v>51</v>
      </c>
      <c r="U550" t="s">
        <v>38</v>
      </c>
      <c r="V550">
        <v>53893</v>
      </c>
      <c r="W550">
        <v>3.6</v>
      </c>
      <c r="X550">
        <v>3</v>
      </c>
      <c r="Y550" t="s">
        <v>43</v>
      </c>
      <c r="Z550">
        <v>3.67</v>
      </c>
      <c r="AA550" t="s">
        <v>35</v>
      </c>
    </row>
    <row r="551" spans="1:27" x14ac:dyDescent="0.3">
      <c r="A551" t="s">
        <v>84</v>
      </c>
      <c r="B551" t="s">
        <v>106</v>
      </c>
      <c r="C551">
        <v>2025</v>
      </c>
      <c r="D551" t="s">
        <v>68</v>
      </c>
      <c r="E551">
        <v>65329.39</v>
      </c>
      <c r="F551">
        <v>49.5</v>
      </c>
      <c r="G551">
        <v>157</v>
      </c>
      <c r="H551">
        <v>137.30000000000001</v>
      </c>
      <c r="I551">
        <v>6.01</v>
      </c>
      <c r="J551">
        <v>165</v>
      </c>
      <c r="K551">
        <v>671</v>
      </c>
      <c r="L551">
        <v>629</v>
      </c>
      <c r="M551" t="s">
        <v>54</v>
      </c>
      <c r="N551">
        <v>7</v>
      </c>
      <c r="O551" t="s">
        <v>57</v>
      </c>
      <c r="P551">
        <v>22</v>
      </c>
      <c r="Q551">
        <v>1592</v>
      </c>
      <c r="R551">
        <v>4</v>
      </c>
      <c r="S551">
        <v>2</v>
      </c>
      <c r="T551" t="s">
        <v>47</v>
      </c>
      <c r="U551" t="s">
        <v>38</v>
      </c>
      <c r="V551">
        <v>24686</v>
      </c>
      <c r="W551">
        <v>3.2</v>
      </c>
      <c r="X551">
        <v>4</v>
      </c>
      <c r="Y551" t="s">
        <v>43</v>
      </c>
      <c r="Z551">
        <v>3.17</v>
      </c>
      <c r="AA551" t="s">
        <v>35</v>
      </c>
    </row>
    <row r="552" spans="1:27" x14ac:dyDescent="0.3">
      <c r="A552" t="s">
        <v>76</v>
      </c>
      <c r="B552" t="s">
        <v>98</v>
      </c>
      <c r="C552">
        <v>2026</v>
      </c>
      <c r="D552" t="s">
        <v>50</v>
      </c>
      <c r="E552">
        <v>78614.710000000006</v>
      </c>
      <c r="F552">
        <v>78</v>
      </c>
      <c r="G552">
        <v>278</v>
      </c>
      <c r="H552">
        <v>57.5</v>
      </c>
      <c r="I552">
        <v>5.83</v>
      </c>
      <c r="J552">
        <v>159</v>
      </c>
      <c r="K552">
        <v>987</v>
      </c>
      <c r="L552">
        <v>924</v>
      </c>
      <c r="M552" t="s">
        <v>39</v>
      </c>
      <c r="N552">
        <v>5</v>
      </c>
      <c r="O552" t="s">
        <v>31</v>
      </c>
      <c r="P552">
        <v>67.3</v>
      </c>
      <c r="Q552">
        <v>2653</v>
      </c>
      <c r="R552">
        <v>5</v>
      </c>
      <c r="S552">
        <v>2</v>
      </c>
      <c r="T552" t="s">
        <v>51</v>
      </c>
      <c r="U552" t="s">
        <v>38</v>
      </c>
      <c r="V552">
        <v>126223</v>
      </c>
      <c r="W552">
        <v>3.7</v>
      </c>
      <c r="X552">
        <v>4</v>
      </c>
      <c r="Y552" t="s">
        <v>43</v>
      </c>
      <c r="Z552">
        <v>3.56</v>
      </c>
      <c r="AA552" t="s">
        <v>35</v>
      </c>
    </row>
    <row r="553" spans="1:27" x14ac:dyDescent="0.3">
      <c r="A553" t="s">
        <v>58</v>
      </c>
      <c r="B553" t="s">
        <v>111</v>
      </c>
      <c r="C553">
        <v>2026</v>
      </c>
      <c r="D553" t="s">
        <v>68</v>
      </c>
      <c r="E553">
        <v>135101.31</v>
      </c>
      <c r="F553">
        <v>74.2</v>
      </c>
      <c r="G553">
        <v>242</v>
      </c>
      <c r="H553">
        <v>110.8</v>
      </c>
      <c r="I553">
        <v>5.12</v>
      </c>
      <c r="J553">
        <v>181</v>
      </c>
      <c r="K553">
        <v>807</v>
      </c>
      <c r="L553">
        <v>733</v>
      </c>
      <c r="M553" t="s">
        <v>39</v>
      </c>
      <c r="N553">
        <v>5</v>
      </c>
      <c r="O553" t="s">
        <v>40</v>
      </c>
      <c r="P553">
        <v>59.2</v>
      </c>
      <c r="Q553">
        <v>2160</v>
      </c>
      <c r="R553">
        <v>4</v>
      </c>
      <c r="S553">
        <v>2</v>
      </c>
      <c r="T553" t="s">
        <v>32</v>
      </c>
      <c r="U553" t="s">
        <v>33</v>
      </c>
      <c r="V553">
        <v>54508</v>
      </c>
      <c r="W553">
        <v>3.8</v>
      </c>
      <c r="X553">
        <v>5</v>
      </c>
      <c r="Y553" t="s">
        <v>43</v>
      </c>
      <c r="Z553">
        <v>3.26</v>
      </c>
      <c r="AA553" t="s">
        <v>35</v>
      </c>
    </row>
    <row r="554" spans="1:27" x14ac:dyDescent="0.3">
      <c r="A554" t="s">
        <v>48</v>
      </c>
      <c r="B554" t="s">
        <v>60</v>
      </c>
      <c r="C554">
        <v>2023</v>
      </c>
      <c r="D554" t="s">
        <v>38</v>
      </c>
      <c r="E554">
        <v>96493.02</v>
      </c>
      <c r="F554">
        <v>59.1</v>
      </c>
      <c r="G554">
        <v>207</v>
      </c>
      <c r="H554">
        <v>89.9</v>
      </c>
      <c r="I554">
        <v>7.25</v>
      </c>
      <c r="J554">
        <v>146</v>
      </c>
      <c r="K554">
        <v>1000</v>
      </c>
      <c r="L554">
        <v>965</v>
      </c>
      <c r="M554" t="s">
        <v>54</v>
      </c>
      <c r="N554">
        <v>7</v>
      </c>
      <c r="O554" t="s">
        <v>46</v>
      </c>
      <c r="P554">
        <v>79</v>
      </c>
      <c r="Q554">
        <v>1729</v>
      </c>
      <c r="R554">
        <v>5</v>
      </c>
      <c r="S554">
        <v>2</v>
      </c>
      <c r="T554" t="s">
        <v>51</v>
      </c>
      <c r="U554" t="s">
        <v>38</v>
      </c>
      <c r="V554">
        <v>123691</v>
      </c>
      <c r="W554">
        <v>3.5</v>
      </c>
      <c r="X554">
        <v>4</v>
      </c>
      <c r="Y554" t="s">
        <v>61</v>
      </c>
      <c r="Z554">
        <v>3.5</v>
      </c>
      <c r="AA554" t="s">
        <v>35</v>
      </c>
    </row>
    <row r="555" spans="1:27" x14ac:dyDescent="0.3">
      <c r="A555" t="s">
        <v>48</v>
      </c>
      <c r="B555" t="s">
        <v>88</v>
      </c>
      <c r="C555">
        <v>2023</v>
      </c>
      <c r="D555" t="s">
        <v>63</v>
      </c>
      <c r="E555">
        <v>52108.05</v>
      </c>
      <c r="F555">
        <v>65.900000000000006</v>
      </c>
      <c r="G555">
        <v>230</v>
      </c>
      <c r="H555">
        <v>119.1</v>
      </c>
      <c r="I555">
        <v>6.72</v>
      </c>
      <c r="J555">
        <v>152</v>
      </c>
      <c r="K555">
        <v>531</v>
      </c>
      <c r="L555">
        <v>442</v>
      </c>
      <c r="M555" t="s">
        <v>39</v>
      </c>
      <c r="N555">
        <v>5</v>
      </c>
      <c r="O555" t="s">
        <v>40</v>
      </c>
      <c r="P555">
        <v>53</v>
      </c>
      <c r="Q555">
        <v>1976</v>
      </c>
      <c r="R555">
        <v>5</v>
      </c>
      <c r="S555">
        <v>0</v>
      </c>
      <c r="T555" t="s">
        <v>51</v>
      </c>
      <c r="U555" t="s">
        <v>42</v>
      </c>
      <c r="V555">
        <v>98868</v>
      </c>
      <c r="W555">
        <v>3.2</v>
      </c>
      <c r="X555">
        <v>3</v>
      </c>
      <c r="Y555" t="s">
        <v>43</v>
      </c>
      <c r="Z555">
        <v>3.49</v>
      </c>
      <c r="AA555" t="s">
        <v>35</v>
      </c>
    </row>
    <row r="556" spans="1:27" x14ac:dyDescent="0.3">
      <c r="A556" t="s">
        <v>94</v>
      </c>
      <c r="B556" t="s">
        <v>116</v>
      </c>
      <c r="C556">
        <v>2023</v>
      </c>
      <c r="D556" t="s">
        <v>63</v>
      </c>
      <c r="E556">
        <v>93510.78</v>
      </c>
      <c r="F556">
        <v>53</v>
      </c>
      <c r="G556">
        <v>195</v>
      </c>
      <c r="H556">
        <v>63.5</v>
      </c>
      <c r="I556">
        <v>5.08</v>
      </c>
      <c r="J556">
        <v>161</v>
      </c>
      <c r="K556">
        <v>659</v>
      </c>
      <c r="L556">
        <v>562</v>
      </c>
      <c r="M556" t="s">
        <v>30</v>
      </c>
      <c r="N556">
        <v>5</v>
      </c>
      <c r="O556" t="s">
        <v>56</v>
      </c>
      <c r="P556">
        <v>16.899999999999999</v>
      </c>
      <c r="Q556">
        <v>1834</v>
      </c>
      <c r="R556">
        <v>5</v>
      </c>
      <c r="S556">
        <v>1</v>
      </c>
      <c r="T556" t="s">
        <v>32</v>
      </c>
      <c r="U556" t="s">
        <v>38</v>
      </c>
      <c r="V556">
        <v>70832</v>
      </c>
      <c r="W556">
        <v>3.2</v>
      </c>
      <c r="X556">
        <v>6</v>
      </c>
      <c r="Y556" t="s">
        <v>43</v>
      </c>
      <c r="Z556">
        <v>3.68</v>
      </c>
      <c r="AA556" t="s">
        <v>35</v>
      </c>
    </row>
    <row r="557" spans="1:27" x14ac:dyDescent="0.3">
      <c r="A557" t="s">
        <v>27</v>
      </c>
      <c r="B557" t="s">
        <v>78</v>
      </c>
      <c r="C557">
        <v>2024</v>
      </c>
      <c r="D557" t="s">
        <v>68</v>
      </c>
      <c r="E557">
        <v>78233.39</v>
      </c>
      <c r="F557">
        <v>46.6</v>
      </c>
      <c r="G557">
        <v>161</v>
      </c>
      <c r="H557">
        <v>105</v>
      </c>
      <c r="I557">
        <v>7.69</v>
      </c>
      <c r="J557">
        <v>139</v>
      </c>
      <c r="K557">
        <v>824</v>
      </c>
      <c r="L557">
        <v>725</v>
      </c>
      <c r="M557" t="s">
        <v>39</v>
      </c>
      <c r="N557">
        <v>5</v>
      </c>
      <c r="O557" t="s">
        <v>57</v>
      </c>
      <c r="P557">
        <v>19.5</v>
      </c>
      <c r="Q557">
        <v>1684</v>
      </c>
      <c r="R557">
        <v>4</v>
      </c>
      <c r="S557">
        <v>1</v>
      </c>
      <c r="T557" t="s">
        <v>32</v>
      </c>
      <c r="U557" t="s">
        <v>38</v>
      </c>
      <c r="V557">
        <v>259295</v>
      </c>
      <c r="W557">
        <v>3.2</v>
      </c>
      <c r="X557">
        <v>3</v>
      </c>
      <c r="Y557" t="s">
        <v>61</v>
      </c>
      <c r="Z557">
        <v>3.45</v>
      </c>
      <c r="AA557" t="s">
        <v>35</v>
      </c>
    </row>
    <row r="558" spans="1:27" x14ac:dyDescent="0.3">
      <c r="A558" t="s">
        <v>52</v>
      </c>
      <c r="B558" t="s">
        <v>64</v>
      </c>
      <c r="C558">
        <v>2025</v>
      </c>
      <c r="D558" t="s">
        <v>63</v>
      </c>
      <c r="E558">
        <v>101976.23</v>
      </c>
      <c r="F558">
        <v>83.7</v>
      </c>
      <c r="G558">
        <v>284</v>
      </c>
      <c r="H558">
        <v>268.2</v>
      </c>
      <c r="I558">
        <v>7.24</v>
      </c>
      <c r="J558">
        <v>139</v>
      </c>
      <c r="K558">
        <v>754</v>
      </c>
      <c r="L558">
        <v>680</v>
      </c>
      <c r="M558" t="s">
        <v>39</v>
      </c>
      <c r="N558">
        <v>5</v>
      </c>
      <c r="O558" t="s">
        <v>56</v>
      </c>
      <c r="P558">
        <v>27.1</v>
      </c>
      <c r="Q558">
        <v>1882</v>
      </c>
      <c r="R558">
        <v>5</v>
      </c>
      <c r="S558">
        <v>2</v>
      </c>
      <c r="T558" t="s">
        <v>47</v>
      </c>
      <c r="U558" t="s">
        <v>33</v>
      </c>
      <c r="V558">
        <v>160905</v>
      </c>
      <c r="W558">
        <v>3.9</v>
      </c>
      <c r="X558">
        <v>5</v>
      </c>
      <c r="Y558" t="s">
        <v>61</v>
      </c>
      <c r="Z558">
        <v>3.39</v>
      </c>
      <c r="AA558" t="s">
        <v>35</v>
      </c>
    </row>
    <row r="559" spans="1:27" x14ac:dyDescent="0.3">
      <c r="A559" t="s">
        <v>52</v>
      </c>
      <c r="B559" t="s">
        <v>55</v>
      </c>
      <c r="C559">
        <v>2024</v>
      </c>
      <c r="D559" t="s">
        <v>68</v>
      </c>
      <c r="E559">
        <v>110000.94</v>
      </c>
      <c r="F559">
        <v>53.4</v>
      </c>
      <c r="G559">
        <v>163</v>
      </c>
      <c r="H559">
        <v>322.5</v>
      </c>
      <c r="I559">
        <v>5.33</v>
      </c>
      <c r="J559">
        <v>172</v>
      </c>
      <c r="K559">
        <v>809</v>
      </c>
      <c r="L559">
        <v>763</v>
      </c>
      <c r="M559" t="s">
        <v>30</v>
      </c>
      <c r="N559">
        <v>5</v>
      </c>
      <c r="O559" t="s">
        <v>65</v>
      </c>
      <c r="P559">
        <v>16.100000000000001</v>
      </c>
      <c r="Q559">
        <v>1577</v>
      </c>
      <c r="R559">
        <v>4</v>
      </c>
      <c r="S559">
        <v>2</v>
      </c>
      <c r="T559" t="s">
        <v>47</v>
      </c>
      <c r="U559" t="s">
        <v>33</v>
      </c>
      <c r="V559">
        <v>414109</v>
      </c>
      <c r="W559">
        <v>3.6</v>
      </c>
      <c r="X559">
        <v>4</v>
      </c>
      <c r="Y559" t="s">
        <v>43</v>
      </c>
      <c r="Z559">
        <v>3.05</v>
      </c>
      <c r="AA559" t="s">
        <v>35</v>
      </c>
    </row>
    <row r="560" spans="1:27" x14ac:dyDescent="0.3">
      <c r="A560" t="s">
        <v>44</v>
      </c>
      <c r="B560" t="s">
        <v>110</v>
      </c>
      <c r="C560">
        <v>2025</v>
      </c>
      <c r="D560" t="s">
        <v>29</v>
      </c>
      <c r="E560">
        <v>83117.350000000006</v>
      </c>
      <c r="F560">
        <v>106.5</v>
      </c>
      <c r="G560">
        <v>362</v>
      </c>
      <c r="H560">
        <v>215.7</v>
      </c>
      <c r="I560">
        <v>3.06</v>
      </c>
      <c r="J560">
        <v>200</v>
      </c>
      <c r="K560">
        <v>1000</v>
      </c>
      <c r="L560">
        <v>888</v>
      </c>
      <c r="M560" t="s">
        <v>30</v>
      </c>
      <c r="N560">
        <v>5</v>
      </c>
      <c r="O560" t="s">
        <v>40</v>
      </c>
      <c r="P560">
        <v>59.7</v>
      </c>
      <c r="Q560">
        <v>1801</v>
      </c>
      <c r="R560">
        <v>3</v>
      </c>
      <c r="S560">
        <v>1</v>
      </c>
      <c r="T560" t="s">
        <v>47</v>
      </c>
      <c r="U560" t="s">
        <v>38</v>
      </c>
      <c r="V560">
        <v>17250</v>
      </c>
      <c r="W560">
        <v>3.6</v>
      </c>
      <c r="X560">
        <v>4</v>
      </c>
      <c r="Y560" t="s">
        <v>34</v>
      </c>
      <c r="Z560">
        <v>3.4</v>
      </c>
      <c r="AA560" t="s">
        <v>43</v>
      </c>
    </row>
    <row r="561" spans="1:27" x14ac:dyDescent="0.3">
      <c r="A561" t="s">
        <v>91</v>
      </c>
      <c r="B561" t="s">
        <v>92</v>
      </c>
      <c r="C561">
        <v>2025</v>
      </c>
      <c r="D561" t="s">
        <v>38</v>
      </c>
      <c r="E561">
        <v>107462.71</v>
      </c>
      <c r="F561">
        <v>63</v>
      </c>
      <c r="G561">
        <v>242</v>
      </c>
      <c r="H561">
        <v>78.900000000000006</v>
      </c>
      <c r="I561">
        <v>5.42</v>
      </c>
      <c r="J561">
        <v>175</v>
      </c>
      <c r="K561">
        <v>929</v>
      </c>
      <c r="L561">
        <v>805</v>
      </c>
      <c r="M561" t="s">
        <v>54</v>
      </c>
      <c r="N561">
        <v>5</v>
      </c>
      <c r="O561" t="s">
        <v>65</v>
      </c>
      <c r="P561">
        <v>34.200000000000003</v>
      </c>
      <c r="Q561">
        <v>1736</v>
      </c>
      <c r="R561">
        <v>5</v>
      </c>
      <c r="S561">
        <v>2</v>
      </c>
      <c r="T561" t="s">
        <v>32</v>
      </c>
      <c r="U561" t="s">
        <v>33</v>
      </c>
      <c r="V561">
        <v>59946</v>
      </c>
      <c r="W561">
        <v>3.4</v>
      </c>
      <c r="X561">
        <v>7</v>
      </c>
      <c r="Y561" t="s">
        <v>43</v>
      </c>
      <c r="Z561">
        <v>3.84</v>
      </c>
      <c r="AA561" t="s">
        <v>35</v>
      </c>
    </row>
    <row r="562" spans="1:27" x14ac:dyDescent="0.3">
      <c r="A562" t="s">
        <v>44</v>
      </c>
      <c r="B562" t="s">
        <v>62</v>
      </c>
      <c r="C562">
        <v>2022</v>
      </c>
      <c r="D562" t="s">
        <v>68</v>
      </c>
      <c r="E562">
        <v>55685.25</v>
      </c>
      <c r="F562">
        <v>80.400000000000006</v>
      </c>
      <c r="G562">
        <v>288</v>
      </c>
      <c r="H562">
        <v>51.4</v>
      </c>
      <c r="I562">
        <v>6.05</v>
      </c>
      <c r="J562">
        <v>158</v>
      </c>
      <c r="K562">
        <v>670</v>
      </c>
      <c r="L562">
        <v>592</v>
      </c>
      <c r="M562" t="s">
        <v>39</v>
      </c>
      <c r="N562">
        <v>7</v>
      </c>
      <c r="O562" t="s">
        <v>65</v>
      </c>
      <c r="P562">
        <v>39.9</v>
      </c>
      <c r="Q562">
        <v>1642</v>
      </c>
      <c r="R562">
        <v>4</v>
      </c>
      <c r="S562">
        <v>0</v>
      </c>
      <c r="T562" t="s">
        <v>47</v>
      </c>
      <c r="U562" t="s">
        <v>42</v>
      </c>
      <c r="V562">
        <v>22694</v>
      </c>
      <c r="W562">
        <v>3.6</v>
      </c>
      <c r="X562">
        <v>4</v>
      </c>
      <c r="Y562" t="s">
        <v>43</v>
      </c>
      <c r="Z562">
        <v>3.58</v>
      </c>
      <c r="AA562" t="s">
        <v>35</v>
      </c>
    </row>
    <row r="563" spans="1:27" x14ac:dyDescent="0.3">
      <c r="A563" t="s">
        <v>71</v>
      </c>
      <c r="B563" t="s">
        <v>96</v>
      </c>
      <c r="C563">
        <v>2026</v>
      </c>
      <c r="D563" t="s">
        <v>29</v>
      </c>
      <c r="E563">
        <v>90766.48</v>
      </c>
      <c r="F563">
        <v>91</v>
      </c>
      <c r="G563">
        <v>318</v>
      </c>
      <c r="H563">
        <v>231.3</v>
      </c>
      <c r="I563">
        <v>2.7</v>
      </c>
      <c r="J563">
        <v>200</v>
      </c>
      <c r="K563">
        <v>1000</v>
      </c>
      <c r="L563">
        <v>928</v>
      </c>
      <c r="M563" t="s">
        <v>39</v>
      </c>
      <c r="N563">
        <v>5</v>
      </c>
      <c r="O563" t="s">
        <v>65</v>
      </c>
      <c r="P563">
        <v>29.3</v>
      </c>
      <c r="Q563">
        <v>1500</v>
      </c>
      <c r="R563">
        <v>4</v>
      </c>
      <c r="S563">
        <v>0</v>
      </c>
      <c r="T563" t="s">
        <v>73</v>
      </c>
      <c r="U563" t="s">
        <v>38</v>
      </c>
      <c r="V563">
        <v>205278</v>
      </c>
      <c r="W563">
        <v>3.5</v>
      </c>
      <c r="X563">
        <v>3</v>
      </c>
      <c r="Y563" t="s">
        <v>34</v>
      </c>
      <c r="Z563">
        <v>3.49</v>
      </c>
      <c r="AA563" t="s">
        <v>35</v>
      </c>
    </row>
    <row r="564" spans="1:27" x14ac:dyDescent="0.3">
      <c r="A564" t="s">
        <v>52</v>
      </c>
      <c r="B564" t="s">
        <v>55</v>
      </c>
      <c r="C564">
        <v>2026</v>
      </c>
      <c r="D564" t="s">
        <v>63</v>
      </c>
      <c r="E564">
        <v>111102.01</v>
      </c>
      <c r="F564">
        <v>57.5</v>
      </c>
      <c r="G564">
        <v>194</v>
      </c>
      <c r="H564">
        <v>273.3</v>
      </c>
      <c r="I564">
        <v>7.1</v>
      </c>
      <c r="J564">
        <v>140</v>
      </c>
      <c r="K564">
        <v>805</v>
      </c>
      <c r="L564">
        <v>733</v>
      </c>
      <c r="M564" t="s">
        <v>39</v>
      </c>
      <c r="N564">
        <v>5</v>
      </c>
      <c r="O564" t="s">
        <v>65</v>
      </c>
      <c r="P564">
        <v>30</v>
      </c>
      <c r="Q564">
        <v>1767</v>
      </c>
      <c r="R564">
        <v>5</v>
      </c>
      <c r="S564">
        <v>2</v>
      </c>
      <c r="T564" t="s">
        <v>47</v>
      </c>
      <c r="U564" t="s">
        <v>33</v>
      </c>
      <c r="V564">
        <v>457566</v>
      </c>
      <c r="W564">
        <v>3.8</v>
      </c>
      <c r="X564">
        <v>5</v>
      </c>
      <c r="Y564" t="s">
        <v>61</v>
      </c>
      <c r="Z564">
        <v>3.37</v>
      </c>
      <c r="AA564" t="s">
        <v>35</v>
      </c>
    </row>
    <row r="565" spans="1:27" x14ac:dyDescent="0.3">
      <c r="A565" t="s">
        <v>52</v>
      </c>
      <c r="B565" t="s">
        <v>80</v>
      </c>
      <c r="C565">
        <v>2026</v>
      </c>
      <c r="D565" t="s">
        <v>63</v>
      </c>
      <c r="E565">
        <v>121350.3</v>
      </c>
      <c r="F565">
        <v>82.3</v>
      </c>
      <c r="G565">
        <v>289</v>
      </c>
      <c r="H565">
        <v>226.3</v>
      </c>
      <c r="I565">
        <v>7.42</v>
      </c>
      <c r="J565">
        <v>130</v>
      </c>
      <c r="K565">
        <v>930</v>
      </c>
      <c r="L565">
        <v>825</v>
      </c>
      <c r="M565" t="s">
        <v>30</v>
      </c>
      <c r="N565">
        <v>5</v>
      </c>
      <c r="O565" t="s">
        <v>31</v>
      </c>
      <c r="P565">
        <v>72.599999999999994</v>
      </c>
      <c r="Q565">
        <v>2759</v>
      </c>
      <c r="R565">
        <v>5</v>
      </c>
      <c r="S565">
        <v>3</v>
      </c>
      <c r="T565" t="s">
        <v>47</v>
      </c>
      <c r="U565" t="s">
        <v>33</v>
      </c>
      <c r="V565">
        <v>144677</v>
      </c>
      <c r="W565">
        <v>3.9</v>
      </c>
      <c r="X565">
        <v>6</v>
      </c>
      <c r="Y565" t="s">
        <v>61</v>
      </c>
      <c r="Z565">
        <v>3.51</v>
      </c>
      <c r="AA565" t="s">
        <v>35</v>
      </c>
    </row>
    <row r="566" spans="1:27" x14ac:dyDescent="0.3">
      <c r="A566" t="s">
        <v>71</v>
      </c>
      <c r="B566" t="s">
        <v>115</v>
      </c>
      <c r="C566">
        <v>2025</v>
      </c>
      <c r="D566" t="s">
        <v>63</v>
      </c>
      <c r="E566">
        <v>43868.55</v>
      </c>
      <c r="F566">
        <v>77.3</v>
      </c>
      <c r="G566">
        <v>290</v>
      </c>
      <c r="H566">
        <v>123</v>
      </c>
      <c r="I566">
        <v>5.63</v>
      </c>
      <c r="J566">
        <v>165</v>
      </c>
      <c r="K566">
        <v>450</v>
      </c>
      <c r="L566">
        <v>423</v>
      </c>
      <c r="M566" t="s">
        <v>39</v>
      </c>
      <c r="N566">
        <v>5</v>
      </c>
      <c r="O566" t="s">
        <v>57</v>
      </c>
      <c r="P566">
        <v>35.5</v>
      </c>
      <c r="Q566">
        <v>1761</v>
      </c>
      <c r="R566">
        <v>5</v>
      </c>
      <c r="S566">
        <v>1</v>
      </c>
      <c r="T566" t="s">
        <v>73</v>
      </c>
      <c r="U566" t="s">
        <v>42</v>
      </c>
      <c r="V566">
        <v>211394</v>
      </c>
      <c r="W566">
        <v>3.7</v>
      </c>
      <c r="X566">
        <v>3</v>
      </c>
      <c r="Y566" t="s">
        <v>43</v>
      </c>
      <c r="Z566">
        <v>3.75</v>
      </c>
      <c r="AA566" t="s">
        <v>35</v>
      </c>
    </row>
    <row r="567" spans="1:27" x14ac:dyDescent="0.3">
      <c r="A567" t="s">
        <v>48</v>
      </c>
      <c r="B567" t="s">
        <v>88</v>
      </c>
      <c r="C567">
        <v>2026</v>
      </c>
      <c r="D567" t="s">
        <v>50</v>
      </c>
      <c r="E567">
        <v>37918.559999999998</v>
      </c>
      <c r="F567">
        <v>79.900000000000006</v>
      </c>
      <c r="G567">
        <v>304</v>
      </c>
      <c r="H567">
        <v>103.8</v>
      </c>
      <c r="I567">
        <v>4.71</v>
      </c>
      <c r="J567">
        <v>182</v>
      </c>
      <c r="K567">
        <v>284</v>
      </c>
      <c r="L567">
        <v>216</v>
      </c>
      <c r="M567" t="s">
        <v>30</v>
      </c>
      <c r="N567">
        <v>5</v>
      </c>
      <c r="O567" t="s">
        <v>40</v>
      </c>
      <c r="P567">
        <v>42.9</v>
      </c>
      <c r="Q567">
        <v>2341</v>
      </c>
      <c r="R567">
        <v>5</v>
      </c>
      <c r="S567">
        <v>0</v>
      </c>
      <c r="T567" t="s">
        <v>51</v>
      </c>
      <c r="U567" t="s">
        <v>42</v>
      </c>
      <c r="V567">
        <v>92798</v>
      </c>
      <c r="W567">
        <v>3.7</v>
      </c>
      <c r="X567">
        <v>3</v>
      </c>
      <c r="Y567" t="s">
        <v>43</v>
      </c>
      <c r="Z567">
        <v>3.8</v>
      </c>
      <c r="AA567" t="s">
        <v>35</v>
      </c>
    </row>
    <row r="568" spans="1:27" x14ac:dyDescent="0.3">
      <c r="A568" t="s">
        <v>27</v>
      </c>
      <c r="B568" t="s">
        <v>82</v>
      </c>
      <c r="C568">
        <v>2023</v>
      </c>
      <c r="D568" t="s">
        <v>38</v>
      </c>
      <c r="E568">
        <v>87378.559999999998</v>
      </c>
      <c r="F568">
        <v>46.6</v>
      </c>
      <c r="G568">
        <v>155</v>
      </c>
      <c r="H568">
        <v>73.900000000000006</v>
      </c>
      <c r="I568">
        <v>5.68</v>
      </c>
      <c r="J568">
        <v>162</v>
      </c>
      <c r="K568">
        <v>1000</v>
      </c>
      <c r="L568">
        <v>866</v>
      </c>
      <c r="M568" t="s">
        <v>30</v>
      </c>
      <c r="N568">
        <v>7</v>
      </c>
      <c r="O568" t="s">
        <v>31</v>
      </c>
      <c r="P568">
        <v>70.7</v>
      </c>
      <c r="Q568">
        <v>2532</v>
      </c>
      <c r="R568">
        <v>3</v>
      </c>
      <c r="S568">
        <v>0</v>
      </c>
      <c r="T568" t="s">
        <v>32</v>
      </c>
      <c r="U568" t="s">
        <v>38</v>
      </c>
      <c r="V568">
        <v>280958</v>
      </c>
      <c r="W568">
        <v>3.3</v>
      </c>
      <c r="X568">
        <v>5</v>
      </c>
      <c r="Y568" t="s">
        <v>43</v>
      </c>
      <c r="Z568">
        <v>3.33</v>
      </c>
      <c r="AA568" t="s">
        <v>35</v>
      </c>
    </row>
    <row r="569" spans="1:27" x14ac:dyDescent="0.3">
      <c r="A569" t="s">
        <v>27</v>
      </c>
      <c r="B569" t="s">
        <v>83</v>
      </c>
      <c r="C569">
        <v>2025</v>
      </c>
      <c r="D569" t="s">
        <v>50</v>
      </c>
      <c r="E569">
        <v>98049.57</v>
      </c>
      <c r="F569">
        <v>79.3</v>
      </c>
      <c r="G569">
        <v>271</v>
      </c>
      <c r="H569">
        <v>109.3</v>
      </c>
      <c r="I569">
        <v>5.08</v>
      </c>
      <c r="J569">
        <v>178</v>
      </c>
      <c r="K569">
        <v>1000</v>
      </c>
      <c r="L569">
        <v>925</v>
      </c>
      <c r="M569" t="s">
        <v>39</v>
      </c>
      <c r="N569">
        <v>7</v>
      </c>
      <c r="O569" t="s">
        <v>31</v>
      </c>
      <c r="P569">
        <v>78.8</v>
      </c>
      <c r="Q569">
        <v>2544</v>
      </c>
      <c r="R569">
        <v>4</v>
      </c>
      <c r="S569">
        <v>0</v>
      </c>
      <c r="T569" t="s">
        <v>32</v>
      </c>
      <c r="U569" t="s">
        <v>38</v>
      </c>
      <c r="V569">
        <v>232457</v>
      </c>
      <c r="W569">
        <v>3.5</v>
      </c>
      <c r="X569">
        <v>3</v>
      </c>
      <c r="Y569" t="s">
        <v>43</v>
      </c>
      <c r="Z569">
        <v>3.42</v>
      </c>
      <c r="AA569" t="s">
        <v>35</v>
      </c>
    </row>
    <row r="570" spans="1:27" x14ac:dyDescent="0.3">
      <c r="A570" t="s">
        <v>94</v>
      </c>
      <c r="B570" t="s">
        <v>113</v>
      </c>
      <c r="C570">
        <v>2025</v>
      </c>
      <c r="D570" t="s">
        <v>63</v>
      </c>
      <c r="E570">
        <v>91070.12</v>
      </c>
      <c r="F570">
        <v>66.400000000000006</v>
      </c>
      <c r="G570">
        <v>224</v>
      </c>
      <c r="H570">
        <v>134.5</v>
      </c>
      <c r="I570">
        <v>7.09</v>
      </c>
      <c r="J570">
        <v>152</v>
      </c>
      <c r="K570">
        <v>640</v>
      </c>
      <c r="L570">
        <v>596</v>
      </c>
      <c r="M570" t="s">
        <v>30</v>
      </c>
      <c r="N570">
        <v>5</v>
      </c>
      <c r="O570" t="s">
        <v>65</v>
      </c>
      <c r="P570">
        <v>21.5</v>
      </c>
      <c r="Q570">
        <v>1500</v>
      </c>
      <c r="R570">
        <v>3</v>
      </c>
      <c r="S570">
        <v>1</v>
      </c>
      <c r="T570" t="s">
        <v>32</v>
      </c>
      <c r="U570" t="s">
        <v>38</v>
      </c>
      <c r="V570">
        <v>69627</v>
      </c>
      <c r="W570">
        <v>3.7</v>
      </c>
      <c r="X570">
        <v>7</v>
      </c>
      <c r="Y570" t="s">
        <v>61</v>
      </c>
      <c r="Z570">
        <v>3.37</v>
      </c>
      <c r="AA570" t="s">
        <v>35</v>
      </c>
    </row>
    <row r="571" spans="1:27" x14ac:dyDescent="0.3">
      <c r="A571" t="s">
        <v>71</v>
      </c>
      <c r="B571" t="s">
        <v>104</v>
      </c>
      <c r="C571">
        <v>2026</v>
      </c>
      <c r="D571" t="s">
        <v>63</v>
      </c>
      <c r="E571">
        <v>33590.410000000003</v>
      </c>
      <c r="F571">
        <v>74.099999999999994</v>
      </c>
      <c r="G571">
        <v>252</v>
      </c>
      <c r="H571">
        <v>145.1</v>
      </c>
      <c r="I571">
        <v>7.81</v>
      </c>
      <c r="J571">
        <v>140</v>
      </c>
      <c r="K571">
        <v>320</v>
      </c>
      <c r="L571">
        <v>319</v>
      </c>
      <c r="M571" t="s">
        <v>30</v>
      </c>
      <c r="N571">
        <v>7</v>
      </c>
      <c r="O571" t="s">
        <v>31</v>
      </c>
      <c r="P571">
        <v>59.1</v>
      </c>
      <c r="Q571">
        <v>2166</v>
      </c>
      <c r="R571">
        <v>4</v>
      </c>
      <c r="S571">
        <v>1</v>
      </c>
      <c r="T571" t="s">
        <v>73</v>
      </c>
      <c r="U571" t="s">
        <v>74</v>
      </c>
      <c r="V571">
        <v>225478</v>
      </c>
      <c r="W571">
        <v>3.6</v>
      </c>
      <c r="X571">
        <v>5</v>
      </c>
      <c r="Y571" t="s">
        <v>61</v>
      </c>
      <c r="Z571">
        <v>3.4</v>
      </c>
      <c r="AA571" t="s">
        <v>35</v>
      </c>
    </row>
    <row r="572" spans="1:27" x14ac:dyDescent="0.3">
      <c r="A572" t="s">
        <v>76</v>
      </c>
      <c r="B572" t="s">
        <v>114</v>
      </c>
      <c r="C572">
        <v>2023</v>
      </c>
      <c r="D572" t="s">
        <v>50</v>
      </c>
      <c r="E572">
        <v>51553.1</v>
      </c>
      <c r="F572">
        <v>75.3</v>
      </c>
      <c r="G572">
        <v>265</v>
      </c>
      <c r="H572">
        <v>102.7</v>
      </c>
      <c r="I572">
        <v>5.85</v>
      </c>
      <c r="J572">
        <v>174</v>
      </c>
      <c r="K572">
        <v>530</v>
      </c>
      <c r="L572">
        <v>474</v>
      </c>
      <c r="M572" t="s">
        <v>54</v>
      </c>
      <c r="N572">
        <v>5</v>
      </c>
      <c r="O572" t="s">
        <v>57</v>
      </c>
      <c r="P572">
        <v>25.8</v>
      </c>
      <c r="Q572">
        <v>1500</v>
      </c>
      <c r="R572">
        <v>5</v>
      </c>
      <c r="S572">
        <v>0</v>
      </c>
      <c r="T572" t="s">
        <v>51</v>
      </c>
      <c r="U572" t="s">
        <v>42</v>
      </c>
      <c r="V572">
        <v>110986</v>
      </c>
      <c r="W572">
        <v>3.8</v>
      </c>
      <c r="X572">
        <v>4</v>
      </c>
      <c r="Y572" t="s">
        <v>43</v>
      </c>
      <c r="Z572">
        <v>3.52</v>
      </c>
      <c r="AA572" t="s">
        <v>35</v>
      </c>
    </row>
    <row r="573" spans="1:27" x14ac:dyDescent="0.3">
      <c r="A573" t="s">
        <v>84</v>
      </c>
      <c r="B573" t="s">
        <v>85</v>
      </c>
      <c r="C573">
        <v>2025</v>
      </c>
      <c r="D573" t="s">
        <v>63</v>
      </c>
      <c r="E573">
        <v>31921.1</v>
      </c>
      <c r="F573">
        <v>77.2</v>
      </c>
      <c r="G573">
        <v>284</v>
      </c>
      <c r="H573">
        <v>63.3</v>
      </c>
      <c r="I573">
        <v>5.86</v>
      </c>
      <c r="J573">
        <v>172</v>
      </c>
      <c r="K573">
        <v>250</v>
      </c>
      <c r="L573">
        <v>221</v>
      </c>
      <c r="M573" t="s">
        <v>30</v>
      </c>
      <c r="N573">
        <v>5</v>
      </c>
      <c r="O573" t="s">
        <v>57</v>
      </c>
      <c r="P573">
        <v>16</v>
      </c>
      <c r="Q573">
        <v>1500</v>
      </c>
      <c r="R573">
        <v>5</v>
      </c>
      <c r="S573">
        <v>2</v>
      </c>
      <c r="T573" t="s">
        <v>47</v>
      </c>
      <c r="U573" t="s">
        <v>74</v>
      </c>
      <c r="V573">
        <v>21264</v>
      </c>
      <c r="W573">
        <v>3.6</v>
      </c>
      <c r="X573">
        <v>5</v>
      </c>
      <c r="Y573" t="s">
        <v>43</v>
      </c>
      <c r="Z573">
        <v>3.68</v>
      </c>
      <c r="AA573" t="s">
        <v>35</v>
      </c>
    </row>
    <row r="574" spans="1:27" x14ac:dyDescent="0.3">
      <c r="A574" t="s">
        <v>27</v>
      </c>
      <c r="B574" t="s">
        <v>78</v>
      </c>
      <c r="C574">
        <v>2024</v>
      </c>
      <c r="D574" t="s">
        <v>50</v>
      </c>
      <c r="E574">
        <v>67460.11</v>
      </c>
      <c r="F574">
        <v>97.9</v>
      </c>
      <c r="G574">
        <v>324</v>
      </c>
      <c r="H574">
        <v>92.4</v>
      </c>
      <c r="I574">
        <v>4.29</v>
      </c>
      <c r="J574">
        <v>180</v>
      </c>
      <c r="K574">
        <v>681</v>
      </c>
      <c r="L574">
        <v>643</v>
      </c>
      <c r="M574" t="s">
        <v>39</v>
      </c>
      <c r="N574">
        <v>7</v>
      </c>
      <c r="O574" t="s">
        <v>31</v>
      </c>
      <c r="P574">
        <v>78.7</v>
      </c>
      <c r="Q574">
        <v>2596</v>
      </c>
      <c r="R574">
        <v>4</v>
      </c>
      <c r="S574">
        <v>0</v>
      </c>
      <c r="T574" t="s">
        <v>32</v>
      </c>
      <c r="U574" t="s">
        <v>38</v>
      </c>
      <c r="V574">
        <v>219503</v>
      </c>
      <c r="W574">
        <v>3.7</v>
      </c>
      <c r="X574">
        <v>3</v>
      </c>
      <c r="Y574" t="s">
        <v>43</v>
      </c>
      <c r="Z574">
        <v>3.31</v>
      </c>
      <c r="AA574" t="s">
        <v>35</v>
      </c>
    </row>
    <row r="575" spans="1:27" x14ac:dyDescent="0.3">
      <c r="A575" t="s">
        <v>91</v>
      </c>
      <c r="B575" t="s">
        <v>92</v>
      </c>
      <c r="C575">
        <v>2025</v>
      </c>
      <c r="D575" t="s">
        <v>68</v>
      </c>
      <c r="E575">
        <v>56108.72</v>
      </c>
      <c r="F575">
        <v>78.400000000000006</v>
      </c>
      <c r="G575">
        <v>280</v>
      </c>
      <c r="H575">
        <v>142.19999999999999</v>
      </c>
      <c r="I575">
        <v>5.1100000000000003</v>
      </c>
      <c r="J575">
        <v>178</v>
      </c>
      <c r="K575">
        <v>253</v>
      </c>
      <c r="L575">
        <v>262</v>
      </c>
      <c r="M575" t="s">
        <v>30</v>
      </c>
      <c r="N575">
        <v>5</v>
      </c>
      <c r="O575" t="s">
        <v>56</v>
      </c>
      <c r="P575">
        <v>24.8</v>
      </c>
      <c r="Q575">
        <v>1729</v>
      </c>
      <c r="R575">
        <v>5</v>
      </c>
      <c r="S575">
        <v>1</v>
      </c>
      <c r="T575" t="s">
        <v>32</v>
      </c>
      <c r="U575" t="s">
        <v>42</v>
      </c>
      <c r="V575">
        <v>32771</v>
      </c>
      <c r="W575">
        <v>3.6</v>
      </c>
      <c r="X575">
        <v>5</v>
      </c>
      <c r="Y575" t="s">
        <v>43</v>
      </c>
      <c r="Z575">
        <v>3.57</v>
      </c>
      <c r="AA575" t="s">
        <v>35</v>
      </c>
    </row>
    <row r="576" spans="1:27" x14ac:dyDescent="0.3">
      <c r="A576" t="s">
        <v>58</v>
      </c>
      <c r="B576" t="s">
        <v>59</v>
      </c>
      <c r="C576">
        <v>2024</v>
      </c>
      <c r="D576" t="s">
        <v>29</v>
      </c>
      <c r="E576">
        <v>175695.73</v>
      </c>
      <c r="F576">
        <v>119.3</v>
      </c>
      <c r="G576">
        <v>421</v>
      </c>
      <c r="H576">
        <v>160.5</v>
      </c>
      <c r="I576">
        <v>2.98</v>
      </c>
      <c r="J576">
        <v>200</v>
      </c>
      <c r="K576">
        <v>1000</v>
      </c>
      <c r="L576">
        <v>867</v>
      </c>
      <c r="M576" t="s">
        <v>30</v>
      </c>
      <c r="N576">
        <v>5</v>
      </c>
      <c r="O576" t="s">
        <v>31</v>
      </c>
      <c r="P576">
        <v>71.5</v>
      </c>
      <c r="Q576">
        <v>2775</v>
      </c>
      <c r="R576">
        <v>4</v>
      </c>
      <c r="S576">
        <v>1</v>
      </c>
      <c r="T576" t="s">
        <v>32</v>
      </c>
      <c r="U576" t="s">
        <v>33</v>
      </c>
      <c r="V576">
        <v>47072</v>
      </c>
      <c r="W576">
        <v>4.0999999999999996</v>
      </c>
      <c r="X576">
        <v>7</v>
      </c>
      <c r="Y576" t="s">
        <v>34</v>
      </c>
      <c r="Z576">
        <v>3.53</v>
      </c>
      <c r="AA576" t="s">
        <v>35</v>
      </c>
    </row>
    <row r="577" spans="1:27" x14ac:dyDescent="0.3">
      <c r="A577" t="s">
        <v>36</v>
      </c>
      <c r="B577" t="s">
        <v>37</v>
      </c>
      <c r="C577">
        <v>2020</v>
      </c>
      <c r="D577" t="s">
        <v>63</v>
      </c>
      <c r="E577">
        <v>47569.79</v>
      </c>
      <c r="F577">
        <v>41.5</v>
      </c>
      <c r="G577">
        <v>160</v>
      </c>
      <c r="H577">
        <v>86.2</v>
      </c>
      <c r="I577">
        <v>7.8</v>
      </c>
      <c r="J577">
        <v>133</v>
      </c>
      <c r="K577">
        <v>419</v>
      </c>
      <c r="L577">
        <v>383</v>
      </c>
      <c r="M577" t="s">
        <v>54</v>
      </c>
      <c r="N577">
        <v>5</v>
      </c>
      <c r="O577" t="s">
        <v>40</v>
      </c>
      <c r="P577">
        <v>43.1</v>
      </c>
      <c r="Q577">
        <v>1792</v>
      </c>
      <c r="R577">
        <v>4</v>
      </c>
      <c r="S577">
        <v>0</v>
      </c>
      <c r="T577" t="s">
        <v>41</v>
      </c>
      <c r="U577" t="s">
        <v>42</v>
      </c>
      <c r="V577">
        <v>28709</v>
      </c>
      <c r="W577">
        <v>3.2</v>
      </c>
      <c r="X577">
        <v>4</v>
      </c>
      <c r="Y577" t="s">
        <v>61</v>
      </c>
      <c r="Z577">
        <v>3.86</v>
      </c>
      <c r="AA577" t="s">
        <v>35</v>
      </c>
    </row>
    <row r="578" spans="1:27" x14ac:dyDescent="0.3">
      <c r="A578" t="s">
        <v>52</v>
      </c>
      <c r="B578" t="s">
        <v>80</v>
      </c>
      <c r="C578">
        <v>2024</v>
      </c>
      <c r="D578" t="s">
        <v>29</v>
      </c>
      <c r="E578">
        <v>68394.929999999993</v>
      </c>
      <c r="F578">
        <v>94.8</v>
      </c>
      <c r="G578">
        <v>315</v>
      </c>
      <c r="H578">
        <v>254.1</v>
      </c>
      <c r="I578">
        <v>4.1500000000000004</v>
      </c>
      <c r="J578">
        <v>179</v>
      </c>
      <c r="K578">
        <v>520</v>
      </c>
      <c r="L578">
        <v>388</v>
      </c>
      <c r="M578" t="s">
        <v>54</v>
      </c>
      <c r="N578">
        <v>5</v>
      </c>
      <c r="O578" t="s">
        <v>31</v>
      </c>
      <c r="P578">
        <v>64.599999999999994</v>
      </c>
      <c r="Q578">
        <v>2391</v>
      </c>
      <c r="R578">
        <v>5</v>
      </c>
      <c r="S578">
        <v>2</v>
      </c>
      <c r="T578" t="s">
        <v>47</v>
      </c>
      <c r="U578" t="s">
        <v>38</v>
      </c>
      <c r="V578">
        <v>230110</v>
      </c>
      <c r="W578">
        <v>4</v>
      </c>
      <c r="X578">
        <v>5</v>
      </c>
      <c r="Y578" t="s">
        <v>43</v>
      </c>
      <c r="Z578">
        <v>3.32</v>
      </c>
      <c r="AA578" t="s">
        <v>35</v>
      </c>
    </row>
    <row r="579" spans="1:27" x14ac:dyDescent="0.3">
      <c r="A579" t="s">
        <v>102</v>
      </c>
      <c r="B579" t="s">
        <v>141</v>
      </c>
      <c r="C579">
        <v>2025</v>
      </c>
      <c r="D579" t="s">
        <v>68</v>
      </c>
      <c r="E579">
        <v>78693.27</v>
      </c>
      <c r="F579">
        <v>63.6</v>
      </c>
      <c r="G579">
        <v>243</v>
      </c>
      <c r="H579">
        <v>115.4</v>
      </c>
      <c r="I579">
        <v>5.92</v>
      </c>
      <c r="J579">
        <v>171</v>
      </c>
      <c r="K579">
        <v>624</v>
      </c>
      <c r="L579">
        <v>547</v>
      </c>
      <c r="M579" t="s">
        <v>54</v>
      </c>
      <c r="N579">
        <v>4</v>
      </c>
      <c r="O579" t="s">
        <v>31</v>
      </c>
      <c r="P579">
        <v>67.099999999999994</v>
      </c>
      <c r="Q579">
        <v>2866</v>
      </c>
      <c r="R579">
        <v>4</v>
      </c>
      <c r="S579">
        <v>0</v>
      </c>
      <c r="T579" t="s">
        <v>47</v>
      </c>
      <c r="U579" t="s">
        <v>38</v>
      </c>
      <c r="V579">
        <v>14022</v>
      </c>
      <c r="W579">
        <v>3.1</v>
      </c>
      <c r="X579">
        <v>6</v>
      </c>
      <c r="Y579" t="s">
        <v>43</v>
      </c>
      <c r="Z579">
        <v>3.82</v>
      </c>
      <c r="AA579" t="s">
        <v>43</v>
      </c>
    </row>
    <row r="580" spans="1:27" x14ac:dyDescent="0.3">
      <c r="A580" t="s">
        <v>76</v>
      </c>
      <c r="B580" t="s">
        <v>87</v>
      </c>
      <c r="C580">
        <v>2025</v>
      </c>
      <c r="D580" t="s">
        <v>68</v>
      </c>
      <c r="E580">
        <v>46340.480000000003</v>
      </c>
      <c r="F580">
        <v>70.599999999999994</v>
      </c>
      <c r="G580">
        <v>240</v>
      </c>
      <c r="H580">
        <v>88.7</v>
      </c>
      <c r="I580">
        <v>7.3</v>
      </c>
      <c r="J580">
        <v>133</v>
      </c>
      <c r="K580">
        <v>473</v>
      </c>
      <c r="L580">
        <v>446</v>
      </c>
      <c r="M580" t="s">
        <v>39</v>
      </c>
      <c r="N580">
        <v>5</v>
      </c>
      <c r="O580" t="s">
        <v>65</v>
      </c>
      <c r="P580">
        <v>18.5</v>
      </c>
      <c r="Q580">
        <v>1585</v>
      </c>
      <c r="R580">
        <v>3</v>
      </c>
      <c r="S580">
        <v>0</v>
      </c>
      <c r="T580" t="s">
        <v>51</v>
      </c>
      <c r="U580" t="s">
        <v>42</v>
      </c>
      <c r="V580">
        <v>91894</v>
      </c>
      <c r="W580">
        <v>3.2</v>
      </c>
      <c r="X580">
        <v>4</v>
      </c>
      <c r="Y580" t="s">
        <v>61</v>
      </c>
      <c r="Z580">
        <v>3.4</v>
      </c>
      <c r="AA580" t="s">
        <v>35</v>
      </c>
    </row>
    <row r="581" spans="1:27" x14ac:dyDescent="0.3">
      <c r="A581" t="s">
        <v>71</v>
      </c>
      <c r="B581" t="s">
        <v>72</v>
      </c>
      <c r="C581">
        <v>2021</v>
      </c>
      <c r="D581" t="s">
        <v>68</v>
      </c>
      <c r="E581">
        <v>73231.02</v>
      </c>
      <c r="F581">
        <v>46.1</v>
      </c>
      <c r="G581">
        <v>166</v>
      </c>
      <c r="H581">
        <v>143.1</v>
      </c>
      <c r="I581">
        <v>7.63</v>
      </c>
      <c r="J581">
        <v>141</v>
      </c>
      <c r="K581">
        <v>844</v>
      </c>
      <c r="L581">
        <v>798</v>
      </c>
      <c r="M581" t="s">
        <v>30</v>
      </c>
      <c r="N581">
        <v>5</v>
      </c>
      <c r="O581" t="s">
        <v>65</v>
      </c>
      <c r="P581">
        <v>24.9</v>
      </c>
      <c r="Q581">
        <v>1547</v>
      </c>
      <c r="R581">
        <v>4</v>
      </c>
      <c r="S581">
        <v>1</v>
      </c>
      <c r="T581" t="s">
        <v>73</v>
      </c>
      <c r="U581" t="s">
        <v>38</v>
      </c>
      <c r="V581">
        <v>227938</v>
      </c>
      <c r="W581">
        <v>3.2</v>
      </c>
      <c r="X581">
        <v>4</v>
      </c>
      <c r="Y581" t="s">
        <v>61</v>
      </c>
      <c r="Z581">
        <v>3.6</v>
      </c>
      <c r="AA581" t="s">
        <v>35</v>
      </c>
    </row>
    <row r="582" spans="1:27" x14ac:dyDescent="0.3">
      <c r="A582" t="s">
        <v>76</v>
      </c>
      <c r="B582" t="s">
        <v>87</v>
      </c>
      <c r="C582">
        <v>2025</v>
      </c>
      <c r="D582" t="s">
        <v>68</v>
      </c>
      <c r="E582">
        <v>70402.19</v>
      </c>
      <c r="F582">
        <v>49.9</v>
      </c>
      <c r="G582">
        <v>170</v>
      </c>
      <c r="H582">
        <v>108.8</v>
      </c>
      <c r="I582">
        <v>7.04</v>
      </c>
      <c r="J582">
        <v>148</v>
      </c>
      <c r="K582">
        <v>866</v>
      </c>
      <c r="L582">
        <v>746</v>
      </c>
      <c r="M582" t="s">
        <v>39</v>
      </c>
      <c r="N582">
        <v>5</v>
      </c>
      <c r="O582" t="s">
        <v>65</v>
      </c>
      <c r="P582">
        <v>21.9</v>
      </c>
      <c r="Q582">
        <v>1500</v>
      </c>
      <c r="R582">
        <v>5</v>
      </c>
      <c r="S582">
        <v>1</v>
      </c>
      <c r="T582" t="s">
        <v>51</v>
      </c>
      <c r="U582" t="s">
        <v>38</v>
      </c>
      <c r="V582">
        <v>69074</v>
      </c>
      <c r="W582">
        <v>3.3</v>
      </c>
      <c r="X582">
        <v>4</v>
      </c>
      <c r="Y582" t="s">
        <v>61</v>
      </c>
      <c r="Z582">
        <v>3.41</v>
      </c>
      <c r="AA582" t="s">
        <v>35</v>
      </c>
    </row>
    <row r="583" spans="1:27" x14ac:dyDescent="0.3">
      <c r="A583" t="s">
        <v>142</v>
      </c>
      <c r="B583">
        <v>3</v>
      </c>
      <c r="C583">
        <v>2024</v>
      </c>
      <c r="D583" t="s">
        <v>38</v>
      </c>
      <c r="E583">
        <v>98223.61</v>
      </c>
      <c r="F583">
        <v>58.4</v>
      </c>
      <c r="G583">
        <v>219</v>
      </c>
      <c r="H583">
        <v>103.2</v>
      </c>
      <c r="I583">
        <v>7.31</v>
      </c>
      <c r="J583">
        <v>147</v>
      </c>
      <c r="K583">
        <v>701</v>
      </c>
      <c r="L583">
        <v>672</v>
      </c>
      <c r="M583" t="s">
        <v>54</v>
      </c>
      <c r="N583">
        <v>5</v>
      </c>
      <c r="O583" t="s">
        <v>57</v>
      </c>
      <c r="P583">
        <v>27.3</v>
      </c>
      <c r="Q583">
        <v>1500</v>
      </c>
      <c r="R583">
        <v>4</v>
      </c>
      <c r="S583">
        <v>2</v>
      </c>
      <c r="T583" t="s">
        <v>131</v>
      </c>
      <c r="U583" t="s">
        <v>38</v>
      </c>
      <c r="V583">
        <v>3904</v>
      </c>
      <c r="W583">
        <v>3.7</v>
      </c>
      <c r="X583">
        <v>4</v>
      </c>
      <c r="Y583" t="s">
        <v>61</v>
      </c>
      <c r="Z583">
        <v>3.75</v>
      </c>
      <c r="AA583" t="s">
        <v>69</v>
      </c>
    </row>
    <row r="584" spans="1:27" x14ac:dyDescent="0.3">
      <c r="A584" t="s">
        <v>76</v>
      </c>
      <c r="B584" t="s">
        <v>98</v>
      </c>
      <c r="C584">
        <v>2024</v>
      </c>
      <c r="D584" t="s">
        <v>38</v>
      </c>
      <c r="E584">
        <v>39646.49</v>
      </c>
      <c r="F584">
        <v>41</v>
      </c>
      <c r="G584">
        <v>150</v>
      </c>
      <c r="H584">
        <v>94.3</v>
      </c>
      <c r="I584">
        <v>5.91</v>
      </c>
      <c r="J584">
        <v>174</v>
      </c>
      <c r="K584">
        <v>271</v>
      </c>
      <c r="L584">
        <v>236</v>
      </c>
      <c r="M584" t="s">
        <v>30</v>
      </c>
      <c r="N584">
        <v>5</v>
      </c>
      <c r="O584" t="s">
        <v>56</v>
      </c>
      <c r="P584">
        <v>31.2</v>
      </c>
      <c r="Q584">
        <v>1595</v>
      </c>
      <c r="R584">
        <v>5</v>
      </c>
      <c r="S584">
        <v>0</v>
      </c>
      <c r="T584" t="s">
        <v>51</v>
      </c>
      <c r="U584" t="s">
        <v>42</v>
      </c>
      <c r="V584">
        <v>129173</v>
      </c>
      <c r="W584">
        <v>3</v>
      </c>
      <c r="X584">
        <v>3</v>
      </c>
      <c r="Y584" t="s">
        <v>43</v>
      </c>
      <c r="Z584">
        <v>3.66</v>
      </c>
      <c r="AA584" t="s">
        <v>35</v>
      </c>
    </row>
    <row r="585" spans="1:27" x14ac:dyDescent="0.3">
      <c r="A585" t="s">
        <v>71</v>
      </c>
      <c r="B585" t="s">
        <v>81</v>
      </c>
      <c r="C585">
        <v>2023</v>
      </c>
      <c r="D585" t="s">
        <v>68</v>
      </c>
      <c r="E585">
        <v>70732.36</v>
      </c>
      <c r="F585">
        <v>45.3</v>
      </c>
      <c r="G585">
        <v>151</v>
      </c>
      <c r="H585">
        <v>118.3</v>
      </c>
      <c r="I585">
        <v>5.92</v>
      </c>
      <c r="J585">
        <v>161</v>
      </c>
      <c r="K585">
        <v>801</v>
      </c>
      <c r="L585">
        <v>724</v>
      </c>
      <c r="M585" t="s">
        <v>39</v>
      </c>
      <c r="N585">
        <v>5</v>
      </c>
      <c r="O585" t="s">
        <v>56</v>
      </c>
      <c r="P585">
        <v>38.9</v>
      </c>
      <c r="Q585">
        <v>1764</v>
      </c>
      <c r="R585">
        <v>4</v>
      </c>
      <c r="S585">
        <v>1</v>
      </c>
      <c r="T585" t="s">
        <v>73</v>
      </c>
      <c r="U585" t="s">
        <v>38</v>
      </c>
      <c r="V585">
        <v>198624</v>
      </c>
      <c r="W585">
        <v>3.1</v>
      </c>
      <c r="X585">
        <v>3</v>
      </c>
      <c r="Y585" t="s">
        <v>43</v>
      </c>
      <c r="Z585">
        <v>3.33</v>
      </c>
      <c r="AA585" t="s">
        <v>35</v>
      </c>
    </row>
    <row r="586" spans="1:27" x14ac:dyDescent="0.3">
      <c r="A586" t="s">
        <v>91</v>
      </c>
      <c r="B586" t="s">
        <v>122</v>
      </c>
      <c r="C586">
        <v>2023</v>
      </c>
      <c r="D586" t="s">
        <v>68</v>
      </c>
      <c r="E586">
        <v>106048.4</v>
      </c>
      <c r="F586">
        <v>47.8</v>
      </c>
      <c r="G586">
        <v>195</v>
      </c>
      <c r="H586">
        <v>87</v>
      </c>
      <c r="I586">
        <v>6.06</v>
      </c>
      <c r="J586">
        <v>167</v>
      </c>
      <c r="K586">
        <v>866</v>
      </c>
      <c r="L586">
        <v>827</v>
      </c>
      <c r="M586" t="s">
        <v>30</v>
      </c>
      <c r="N586">
        <v>5</v>
      </c>
      <c r="O586" t="s">
        <v>56</v>
      </c>
      <c r="P586">
        <v>16.399999999999999</v>
      </c>
      <c r="Q586">
        <v>1511</v>
      </c>
      <c r="R586">
        <v>5</v>
      </c>
      <c r="S586">
        <v>1</v>
      </c>
      <c r="T586" t="s">
        <v>32</v>
      </c>
      <c r="U586" t="s">
        <v>33</v>
      </c>
      <c r="V586">
        <v>52016</v>
      </c>
      <c r="W586">
        <v>3.3</v>
      </c>
      <c r="X586">
        <v>5</v>
      </c>
      <c r="Y586" t="s">
        <v>43</v>
      </c>
      <c r="Z586">
        <v>4.08</v>
      </c>
      <c r="AA586" t="s">
        <v>35</v>
      </c>
    </row>
    <row r="587" spans="1:27" x14ac:dyDescent="0.3">
      <c r="A587" t="s">
        <v>71</v>
      </c>
      <c r="B587" t="s">
        <v>72</v>
      </c>
      <c r="C587">
        <v>2026</v>
      </c>
      <c r="D587" t="s">
        <v>68</v>
      </c>
      <c r="E587">
        <v>75687.78</v>
      </c>
      <c r="F587">
        <v>57.9</v>
      </c>
      <c r="G587">
        <v>223</v>
      </c>
      <c r="H587">
        <v>77.400000000000006</v>
      </c>
      <c r="I587">
        <v>7.1</v>
      </c>
      <c r="J587">
        <v>136</v>
      </c>
      <c r="K587">
        <v>911</v>
      </c>
      <c r="L587">
        <v>866</v>
      </c>
      <c r="M587" t="s">
        <v>30</v>
      </c>
      <c r="N587">
        <v>7</v>
      </c>
      <c r="O587" t="s">
        <v>65</v>
      </c>
      <c r="P587">
        <v>31.9</v>
      </c>
      <c r="Q587">
        <v>1545</v>
      </c>
      <c r="R587">
        <v>3</v>
      </c>
      <c r="S587">
        <v>2</v>
      </c>
      <c r="T587" t="s">
        <v>73</v>
      </c>
      <c r="U587" t="s">
        <v>38</v>
      </c>
      <c r="V587">
        <v>230330</v>
      </c>
      <c r="W587">
        <v>3.4</v>
      </c>
      <c r="X587">
        <v>4</v>
      </c>
      <c r="Y587" t="s">
        <v>61</v>
      </c>
      <c r="Z587">
        <v>3.85</v>
      </c>
      <c r="AA587" t="s">
        <v>35</v>
      </c>
    </row>
    <row r="588" spans="1:27" x14ac:dyDescent="0.3">
      <c r="A588" t="s">
        <v>52</v>
      </c>
      <c r="B588" t="s">
        <v>53</v>
      </c>
      <c r="C588">
        <v>2024</v>
      </c>
      <c r="D588" t="s">
        <v>38</v>
      </c>
      <c r="E588">
        <v>164903.76</v>
      </c>
      <c r="F588">
        <v>51.1</v>
      </c>
      <c r="G588">
        <v>184</v>
      </c>
      <c r="H588">
        <v>261.5</v>
      </c>
      <c r="I588">
        <v>6.48</v>
      </c>
      <c r="J588">
        <v>159</v>
      </c>
      <c r="K588">
        <v>1000</v>
      </c>
      <c r="L588">
        <v>922</v>
      </c>
      <c r="M588" t="s">
        <v>30</v>
      </c>
      <c r="N588">
        <v>5</v>
      </c>
      <c r="O588" t="s">
        <v>57</v>
      </c>
      <c r="P588">
        <v>30.2</v>
      </c>
      <c r="Q588">
        <v>1747</v>
      </c>
      <c r="R588">
        <v>3</v>
      </c>
      <c r="S588">
        <v>2</v>
      </c>
      <c r="T588" t="s">
        <v>47</v>
      </c>
      <c r="U588" t="s">
        <v>33</v>
      </c>
      <c r="V588">
        <v>238934</v>
      </c>
      <c r="W588">
        <v>3.6</v>
      </c>
      <c r="X588">
        <v>5</v>
      </c>
      <c r="Y588" t="s">
        <v>43</v>
      </c>
      <c r="Z588">
        <v>3.6</v>
      </c>
      <c r="AA588" t="s">
        <v>35</v>
      </c>
    </row>
    <row r="589" spans="1:27" x14ac:dyDescent="0.3">
      <c r="A589" t="s">
        <v>52</v>
      </c>
      <c r="B589" t="s">
        <v>80</v>
      </c>
      <c r="C589">
        <v>2025</v>
      </c>
      <c r="D589" t="s">
        <v>38</v>
      </c>
      <c r="E589">
        <v>104330.24000000001</v>
      </c>
      <c r="F589">
        <v>50.1</v>
      </c>
      <c r="G589">
        <v>185</v>
      </c>
      <c r="H589">
        <v>261.5</v>
      </c>
      <c r="I589">
        <v>7.04</v>
      </c>
      <c r="J589">
        <v>145</v>
      </c>
      <c r="K589">
        <v>792</v>
      </c>
      <c r="L589">
        <v>738</v>
      </c>
      <c r="M589" t="s">
        <v>54</v>
      </c>
      <c r="N589">
        <v>7</v>
      </c>
      <c r="O589" t="s">
        <v>31</v>
      </c>
      <c r="P589">
        <v>79.099999999999994</v>
      </c>
      <c r="Q589">
        <v>2220</v>
      </c>
      <c r="R589">
        <v>4</v>
      </c>
      <c r="S589">
        <v>2</v>
      </c>
      <c r="T589" t="s">
        <v>47</v>
      </c>
      <c r="U589" t="s">
        <v>33</v>
      </c>
      <c r="V589">
        <v>241443</v>
      </c>
      <c r="W589">
        <v>3.8</v>
      </c>
      <c r="X589">
        <v>6</v>
      </c>
      <c r="Y589" t="s">
        <v>61</v>
      </c>
      <c r="Z589">
        <v>3.69</v>
      </c>
      <c r="AA589" t="s">
        <v>35</v>
      </c>
    </row>
    <row r="590" spans="1:27" x14ac:dyDescent="0.3">
      <c r="A590" t="s">
        <v>52</v>
      </c>
      <c r="B590" t="s">
        <v>53</v>
      </c>
      <c r="C590">
        <v>2022</v>
      </c>
      <c r="D590" t="s">
        <v>38</v>
      </c>
      <c r="E590">
        <v>74667.63</v>
      </c>
      <c r="F590">
        <v>60.5</v>
      </c>
      <c r="G590">
        <v>201</v>
      </c>
      <c r="H590">
        <v>228.2</v>
      </c>
      <c r="I590">
        <v>6.62</v>
      </c>
      <c r="J590">
        <v>159</v>
      </c>
      <c r="K590">
        <v>552</v>
      </c>
      <c r="L590">
        <v>490</v>
      </c>
      <c r="M590" t="s">
        <v>30</v>
      </c>
      <c r="N590">
        <v>5</v>
      </c>
      <c r="O590" t="s">
        <v>31</v>
      </c>
      <c r="P590">
        <v>78.2</v>
      </c>
      <c r="Q590">
        <v>2148</v>
      </c>
      <c r="R590">
        <v>5</v>
      </c>
      <c r="S590">
        <v>2</v>
      </c>
      <c r="T590" t="s">
        <v>47</v>
      </c>
      <c r="U590" t="s">
        <v>38</v>
      </c>
      <c r="V590">
        <v>245609</v>
      </c>
      <c r="W590">
        <v>3.7</v>
      </c>
      <c r="X590">
        <v>4</v>
      </c>
      <c r="Y590" t="s">
        <v>43</v>
      </c>
      <c r="Z590">
        <v>3.32</v>
      </c>
      <c r="AA590" t="s">
        <v>35</v>
      </c>
    </row>
    <row r="591" spans="1:27" x14ac:dyDescent="0.3">
      <c r="A591" t="s">
        <v>52</v>
      </c>
      <c r="B591" t="s">
        <v>64</v>
      </c>
      <c r="C591">
        <v>2024</v>
      </c>
      <c r="D591" t="s">
        <v>68</v>
      </c>
      <c r="E591">
        <v>132957.6</v>
      </c>
      <c r="F591">
        <v>57.4</v>
      </c>
      <c r="G591">
        <v>197</v>
      </c>
      <c r="H591">
        <v>313</v>
      </c>
      <c r="I591">
        <v>5.66</v>
      </c>
      <c r="J591">
        <v>168</v>
      </c>
      <c r="K591">
        <v>1000</v>
      </c>
      <c r="L591">
        <v>900</v>
      </c>
      <c r="M591" t="s">
        <v>54</v>
      </c>
      <c r="N591">
        <v>7</v>
      </c>
      <c r="O591" t="s">
        <v>65</v>
      </c>
      <c r="P591">
        <v>24.8</v>
      </c>
      <c r="Q591">
        <v>1603</v>
      </c>
      <c r="R591">
        <v>5</v>
      </c>
      <c r="S591">
        <v>2</v>
      </c>
      <c r="T591" t="s">
        <v>47</v>
      </c>
      <c r="U591" t="s">
        <v>33</v>
      </c>
      <c r="V591">
        <v>220563</v>
      </c>
      <c r="W591">
        <v>3.5</v>
      </c>
      <c r="X591">
        <v>5</v>
      </c>
      <c r="Y591" t="s">
        <v>43</v>
      </c>
      <c r="Z591">
        <v>3.43</v>
      </c>
      <c r="AA591" t="s">
        <v>35</v>
      </c>
    </row>
    <row r="592" spans="1:27" x14ac:dyDescent="0.3">
      <c r="A592" t="s">
        <v>52</v>
      </c>
      <c r="B592" t="s">
        <v>55</v>
      </c>
      <c r="C592">
        <v>2025</v>
      </c>
      <c r="D592" t="s">
        <v>29</v>
      </c>
      <c r="E592">
        <v>146521.88</v>
      </c>
      <c r="F592">
        <v>91.7</v>
      </c>
      <c r="G592">
        <v>343</v>
      </c>
      <c r="H592">
        <v>226.2</v>
      </c>
      <c r="I592">
        <v>3.18</v>
      </c>
      <c r="J592">
        <v>200</v>
      </c>
      <c r="K592">
        <v>1000</v>
      </c>
      <c r="L592">
        <v>863</v>
      </c>
      <c r="M592" t="s">
        <v>30</v>
      </c>
      <c r="N592">
        <v>5</v>
      </c>
      <c r="O592" t="s">
        <v>40</v>
      </c>
      <c r="P592">
        <v>58.9</v>
      </c>
      <c r="Q592">
        <v>1942</v>
      </c>
      <c r="R592">
        <v>4</v>
      </c>
      <c r="S592">
        <v>2</v>
      </c>
      <c r="T592" t="s">
        <v>47</v>
      </c>
      <c r="U592" t="s">
        <v>33</v>
      </c>
      <c r="V592">
        <v>406719</v>
      </c>
      <c r="W592">
        <v>4.0999999999999996</v>
      </c>
      <c r="X592">
        <v>5</v>
      </c>
      <c r="Y592" t="s">
        <v>34</v>
      </c>
      <c r="Z592">
        <v>3.74</v>
      </c>
      <c r="AA592" t="s">
        <v>35</v>
      </c>
    </row>
    <row r="593" spans="1:27" x14ac:dyDescent="0.3">
      <c r="A593" t="s">
        <v>91</v>
      </c>
      <c r="B593" t="s">
        <v>92</v>
      </c>
      <c r="C593">
        <v>2024</v>
      </c>
      <c r="D593" t="s">
        <v>50</v>
      </c>
      <c r="E593">
        <v>126323.43</v>
      </c>
      <c r="F593">
        <v>92.6</v>
      </c>
      <c r="G593">
        <v>337</v>
      </c>
      <c r="H593">
        <v>134.19999999999999</v>
      </c>
      <c r="I593">
        <v>4.57</v>
      </c>
      <c r="J593">
        <v>190</v>
      </c>
      <c r="K593">
        <v>1000</v>
      </c>
      <c r="L593">
        <v>906</v>
      </c>
      <c r="M593" t="s">
        <v>39</v>
      </c>
      <c r="N593">
        <v>7</v>
      </c>
      <c r="O593" t="s">
        <v>56</v>
      </c>
      <c r="P593">
        <v>38.1</v>
      </c>
      <c r="Q593">
        <v>1500</v>
      </c>
      <c r="R593">
        <v>5</v>
      </c>
      <c r="S593">
        <v>1</v>
      </c>
      <c r="T593" t="s">
        <v>32</v>
      </c>
      <c r="U593" t="s">
        <v>33</v>
      </c>
      <c r="V593">
        <v>51591</v>
      </c>
      <c r="W593">
        <v>3.9</v>
      </c>
      <c r="X593">
        <v>6</v>
      </c>
      <c r="Y593" t="s">
        <v>43</v>
      </c>
      <c r="Z593">
        <v>3.64</v>
      </c>
      <c r="AA593" t="s">
        <v>35</v>
      </c>
    </row>
    <row r="594" spans="1:27" x14ac:dyDescent="0.3">
      <c r="A594" t="s">
        <v>52</v>
      </c>
      <c r="B594" t="s">
        <v>86</v>
      </c>
      <c r="C594">
        <v>2025</v>
      </c>
      <c r="D594" t="s">
        <v>63</v>
      </c>
      <c r="E594">
        <v>42945.26</v>
      </c>
      <c r="F594">
        <v>77</v>
      </c>
      <c r="G594">
        <v>266</v>
      </c>
      <c r="H594">
        <v>309.89999999999998</v>
      </c>
      <c r="I594">
        <v>6.79</v>
      </c>
      <c r="J594">
        <v>148</v>
      </c>
      <c r="K594">
        <v>248</v>
      </c>
      <c r="L594">
        <v>200</v>
      </c>
      <c r="M594" t="s">
        <v>30</v>
      </c>
      <c r="N594">
        <v>7</v>
      </c>
      <c r="O594" t="s">
        <v>40</v>
      </c>
      <c r="P594">
        <v>66.099999999999994</v>
      </c>
      <c r="Q594">
        <v>1861</v>
      </c>
      <c r="R594">
        <v>5</v>
      </c>
      <c r="S594">
        <v>3</v>
      </c>
      <c r="T594" t="s">
        <v>47</v>
      </c>
      <c r="U594" t="s">
        <v>42</v>
      </c>
      <c r="V594">
        <v>202664</v>
      </c>
      <c r="W594">
        <v>3.8</v>
      </c>
      <c r="X594">
        <v>5</v>
      </c>
      <c r="Y594" t="s">
        <v>43</v>
      </c>
      <c r="Z594">
        <v>3.45</v>
      </c>
      <c r="AA594" t="s">
        <v>35</v>
      </c>
    </row>
    <row r="595" spans="1:27" x14ac:dyDescent="0.3">
      <c r="A595" t="s">
        <v>71</v>
      </c>
      <c r="B595" t="s">
        <v>104</v>
      </c>
      <c r="C595">
        <v>2024</v>
      </c>
      <c r="D595" t="s">
        <v>50</v>
      </c>
      <c r="E595">
        <v>38014.51</v>
      </c>
      <c r="F595">
        <v>86.6</v>
      </c>
      <c r="G595">
        <v>325</v>
      </c>
      <c r="H595">
        <v>141.9</v>
      </c>
      <c r="I595">
        <v>4.79</v>
      </c>
      <c r="J595">
        <v>169</v>
      </c>
      <c r="K595">
        <v>383</v>
      </c>
      <c r="L595">
        <v>328</v>
      </c>
      <c r="M595" t="s">
        <v>30</v>
      </c>
      <c r="N595">
        <v>7</v>
      </c>
      <c r="O595" t="s">
        <v>40</v>
      </c>
      <c r="P595">
        <v>45.2</v>
      </c>
      <c r="Q595">
        <v>1687</v>
      </c>
      <c r="R595">
        <v>5</v>
      </c>
      <c r="S595">
        <v>0</v>
      </c>
      <c r="T595" t="s">
        <v>73</v>
      </c>
      <c r="U595" t="s">
        <v>42</v>
      </c>
      <c r="V595">
        <v>241420</v>
      </c>
      <c r="W595">
        <v>3.7</v>
      </c>
      <c r="X595">
        <v>3</v>
      </c>
      <c r="Y595" t="s">
        <v>43</v>
      </c>
      <c r="Z595">
        <v>3.75</v>
      </c>
      <c r="AA595" t="s">
        <v>35</v>
      </c>
    </row>
    <row r="596" spans="1:27" x14ac:dyDescent="0.3">
      <c r="A596" t="s">
        <v>94</v>
      </c>
      <c r="B596" t="s">
        <v>116</v>
      </c>
      <c r="C596">
        <v>2025</v>
      </c>
      <c r="D596" t="s">
        <v>68</v>
      </c>
      <c r="E596">
        <v>109441.61</v>
      </c>
      <c r="F596">
        <v>51.1</v>
      </c>
      <c r="G596">
        <v>161</v>
      </c>
      <c r="H596">
        <v>100.9</v>
      </c>
      <c r="I596">
        <v>7.02</v>
      </c>
      <c r="J596">
        <v>151</v>
      </c>
      <c r="K596">
        <v>876</v>
      </c>
      <c r="L596">
        <v>844</v>
      </c>
      <c r="M596" t="s">
        <v>30</v>
      </c>
      <c r="N596">
        <v>5</v>
      </c>
      <c r="O596" t="s">
        <v>56</v>
      </c>
      <c r="P596">
        <v>21.6</v>
      </c>
      <c r="Q596">
        <v>1589</v>
      </c>
      <c r="R596">
        <v>4</v>
      </c>
      <c r="S596">
        <v>1</v>
      </c>
      <c r="T596" t="s">
        <v>32</v>
      </c>
      <c r="U596" t="s">
        <v>33</v>
      </c>
      <c r="V596">
        <v>27623</v>
      </c>
      <c r="W596">
        <v>3.3</v>
      </c>
      <c r="X596">
        <v>7</v>
      </c>
      <c r="Y596" t="s">
        <v>61</v>
      </c>
      <c r="Z596">
        <v>3.15</v>
      </c>
      <c r="AA596" t="s">
        <v>35</v>
      </c>
    </row>
    <row r="597" spans="1:27" x14ac:dyDescent="0.3">
      <c r="A597" t="s">
        <v>76</v>
      </c>
      <c r="B597" t="s">
        <v>87</v>
      </c>
      <c r="C597">
        <v>2026</v>
      </c>
      <c r="D597" t="s">
        <v>50</v>
      </c>
      <c r="E597">
        <v>93179.93</v>
      </c>
      <c r="F597">
        <v>102.1</v>
      </c>
      <c r="G597">
        <v>351</v>
      </c>
      <c r="H597">
        <v>126.1</v>
      </c>
      <c r="I597">
        <v>4.97</v>
      </c>
      <c r="J597">
        <v>181</v>
      </c>
      <c r="K597">
        <v>1000</v>
      </c>
      <c r="L597">
        <v>892</v>
      </c>
      <c r="M597" t="s">
        <v>39</v>
      </c>
      <c r="N597">
        <v>5</v>
      </c>
      <c r="O597" t="s">
        <v>65</v>
      </c>
      <c r="P597">
        <v>16.2</v>
      </c>
      <c r="Q597">
        <v>1500</v>
      </c>
      <c r="R597">
        <v>4</v>
      </c>
      <c r="S597">
        <v>1</v>
      </c>
      <c r="T597" t="s">
        <v>51</v>
      </c>
      <c r="U597" t="s">
        <v>38</v>
      </c>
      <c r="V597">
        <v>64997</v>
      </c>
      <c r="W597">
        <v>3.4</v>
      </c>
      <c r="X597">
        <v>4</v>
      </c>
      <c r="Y597" t="s">
        <v>43</v>
      </c>
      <c r="Z597">
        <v>3.44</v>
      </c>
      <c r="AA597" t="s">
        <v>35</v>
      </c>
    </row>
    <row r="598" spans="1:27" x14ac:dyDescent="0.3">
      <c r="A598" t="s">
        <v>91</v>
      </c>
      <c r="B598" t="s">
        <v>122</v>
      </c>
      <c r="C598">
        <v>2025</v>
      </c>
      <c r="D598" t="s">
        <v>38</v>
      </c>
      <c r="E598">
        <v>79696.27</v>
      </c>
      <c r="F598">
        <v>76.5</v>
      </c>
      <c r="G598">
        <v>251</v>
      </c>
      <c r="H598">
        <v>103.6</v>
      </c>
      <c r="I598">
        <v>6.21</v>
      </c>
      <c r="J598">
        <v>161</v>
      </c>
      <c r="K598">
        <v>550</v>
      </c>
      <c r="L598">
        <v>514</v>
      </c>
      <c r="M598" t="s">
        <v>30</v>
      </c>
      <c r="N598">
        <v>5</v>
      </c>
      <c r="O598" t="s">
        <v>31</v>
      </c>
      <c r="P598">
        <v>60</v>
      </c>
      <c r="Q598">
        <v>2846</v>
      </c>
      <c r="R598">
        <v>5</v>
      </c>
      <c r="S598">
        <v>1</v>
      </c>
      <c r="T598" t="s">
        <v>32</v>
      </c>
      <c r="U598" t="s">
        <v>38</v>
      </c>
      <c r="V598">
        <v>32509</v>
      </c>
      <c r="W598">
        <v>3.2</v>
      </c>
      <c r="X598">
        <v>5</v>
      </c>
      <c r="Y598" t="s">
        <v>43</v>
      </c>
      <c r="Z598">
        <v>3.28</v>
      </c>
      <c r="AA598" t="s">
        <v>35</v>
      </c>
    </row>
    <row r="599" spans="1:27" x14ac:dyDescent="0.3">
      <c r="A599" t="s">
        <v>52</v>
      </c>
      <c r="B599" t="s">
        <v>55</v>
      </c>
      <c r="C599">
        <v>2025</v>
      </c>
      <c r="D599" t="s">
        <v>68</v>
      </c>
      <c r="E599">
        <v>85878.17</v>
      </c>
      <c r="F599">
        <v>49.2</v>
      </c>
      <c r="G599">
        <v>188</v>
      </c>
      <c r="H599">
        <v>238.9</v>
      </c>
      <c r="I599">
        <v>6.03</v>
      </c>
      <c r="J599">
        <v>164</v>
      </c>
      <c r="K599">
        <v>605</v>
      </c>
      <c r="L599">
        <v>592</v>
      </c>
      <c r="M599" t="s">
        <v>54</v>
      </c>
      <c r="N599">
        <v>7</v>
      </c>
      <c r="O599" t="s">
        <v>65</v>
      </c>
      <c r="P599">
        <v>29.6</v>
      </c>
      <c r="Q599">
        <v>2009</v>
      </c>
      <c r="R599">
        <v>4</v>
      </c>
      <c r="S599">
        <v>2</v>
      </c>
      <c r="T599" t="s">
        <v>47</v>
      </c>
      <c r="U599" t="s">
        <v>38</v>
      </c>
      <c r="V599">
        <v>499717</v>
      </c>
      <c r="W599">
        <v>3.4</v>
      </c>
      <c r="X599">
        <v>5</v>
      </c>
      <c r="Y599" t="s">
        <v>43</v>
      </c>
      <c r="Z599">
        <v>3.82</v>
      </c>
      <c r="AA599" t="s">
        <v>35</v>
      </c>
    </row>
    <row r="600" spans="1:27" x14ac:dyDescent="0.3">
      <c r="A600" t="s">
        <v>52</v>
      </c>
      <c r="B600" t="s">
        <v>55</v>
      </c>
      <c r="C600">
        <v>2021</v>
      </c>
      <c r="D600" t="s">
        <v>68</v>
      </c>
      <c r="E600">
        <v>49771.040000000001</v>
      </c>
      <c r="F600">
        <v>62.5</v>
      </c>
      <c r="G600">
        <v>225</v>
      </c>
      <c r="H600">
        <v>212.5</v>
      </c>
      <c r="I600">
        <v>5.56</v>
      </c>
      <c r="J600">
        <v>175</v>
      </c>
      <c r="K600">
        <v>317</v>
      </c>
      <c r="L600">
        <v>261</v>
      </c>
      <c r="M600" t="s">
        <v>39</v>
      </c>
      <c r="N600">
        <v>5</v>
      </c>
      <c r="O600" t="s">
        <v>57</v>
      </c>
      <c r="P600">
        <v>34.200000000000003</v>
      </c>
      <c r="Q600">
        <v>1578</v>
      </c>
      <c r="R600">
        <v>3</v>
      </c>
      <c r="S600">
        <v>3</v>
      </c>
      <c r="T600" t="s">
        <v>47</v>
      </c>
      <c r="U600" t="s">
        <v>42</v>
      </c>
      <c r="V600">
        <v>483023</v>
      </c>
      <c r="W600">
        <v>3.7</v>
      </c>
      <c r="X600">
        <v>5</v>
      </c>
      <c r="Y600" t="s">
        <v>43</v>
      </c>
      <c r="Z600">
        <v>3.6</v>
      </c>
      <c r="AA600" t="s">
        <v>35</v>
      </c>
    </row>
    <row r="601" spans="1:27" x14ac:dyDescent="0.3">
      <c r="A601" t="s">
        <v>52</v>
      </c>
      <c r="B601" t="s">
        <v>53</v>
      </c>
      <c r="C601">
        <v>2025</v>
      </c>
      <c r="D601" t="s">
        <v>38</v>
      </c>
      <c r="E601">
        <v>60544.17</v>
      </c>
      <c r="F601">
        <v>81.599999999999994</v>
      </c>
      <c r="G601">
        <v>287</v>
      </c>
      <c r="H601">
        <v>247.1</v>
      </c>
      <c r="I601">
        <v>5.81</v>
      </c>
      <c r="J601">
        <v>158</v>
      </c>
      <c r="K601">
        <v>384</v>
      </c>
      <c r="L601">
        <v>366</v>
      </c>
      <c r="M601" t="s">
        <v>54</v>
      </c>
      <c r="N601">
        <v>5</v>
      </c>
      <c r="O601" t="s">
        <v>31</v>
      </c>
      <c r="P601">
        <v>51.2</v>
      </c>
      <c r="Q601">
        <v>2538</v>
      </c>
      <c r="R601">
        <v>5</v>
      </c>
      <c r="S601">
        <v>2</v>
      </c>
      <c r="T601" t="s">
        <v>47</v>
      </c>
      <c r="U601" t="s">
        <v>42</v>
      </c>
      <c r="V601">
        <v>170776</v>
      </c>
      <c r="W601">
        <v>4</v>
      </c>
      <c r="X601">
        <v>6</v>
      </c>
      <c r="Y601" t="s">
        <v>43</v>
      </c>
      <c r="Z601">
        <v>3.52</v>
      </c>
      <c r="AA601" t="s">
        <v>35</v>
      </c>
    </row>
    <row r="602" spans="1:27" x14ac:dyDescent="0.3">
      <c r="A602" t="s">
        <v>52</v>
      </c>
      <c r="B602" t="s">
        <v>64</v>
      </c>
      <c r="C602">
        <v>2026</v>
      </c>
      <c r="D602" t="s">
        <v>50</v>
      </c>
      <c r="E602">
        <v>125990.82</v>
      </c>
      <c r="F602">
        <v>75.3</v>
      </c>
      <c r="G602">
        <v>272</v>
      </c>
      <c r="H602">
        <v>209.9</v>
      </c>
      <c r="I602">
        <v>4.9400000000000004</v>
      </c>
      <c r="J602">
        <v>171</v>
      </c>
      <c r="K602">
        <v>955</v>
      </c>
      <c r="L602">
        <v>881</v>
      </c>
      <c r="M602" t="s">
        <v>39</v>
      </c>
      <c r="N602">
        <v>7</v>
      </c>
      <c r="O602" t="s">
        <v>56</v>
      </c>
      <c r="P602">
        <v>17.100000000000001</v>
      </c>
      <c r="Q602">
        <v>1589</v>
      </c>
      <c r="R602">
        <v>5</v>
      </c>
      <c r="S602">
        <v>2</v>
      </c>
      <c r="T602" t="s">
        <v>47</v>
      </c>
      <c r="U602" t="s">
        <v>33</v>
      </c>
      <c r="V602">
        <v>200607</v>
      </c>
      <c r="W602">
        <v>4</v>
      </c>
      <c r="X602">
        <v>4</v>
      </c>
      <c r="Y602" t="s">
        <v>43</v>
      </c>
      <c r="Z602">
        <v>3.61</v>
      </c>
      <c r="AA602" t="s">
        <v>35</v>
      </c>
    </row>
    <row r="603" spans="1:27" x14ac:dyDescent="0.3">
      <c r="A603" t="s">
        <v>71</v>
      </c>
      <c r="B603" t="s">
        <v>72</v>
      </c>
      <c r="C603">
        <v>2020</v>
      </c>
      <c r="D603" t="s">
        <v>50</v>
      </c>
      <c r="E603">
        <v>48719.93</v>
      </c>
      <c r="F603">
        <v>95.3</v>
      </c>
      <c r="G603">
        <v>342</v>
      </c>
      <c r="H603">
        <v>125.3</v>
      </c>
      <c r="I603">
        <v>5.39</v>
      </c>
      <c r="J603">
        <v>166</v>
      </c>
      <c r="K603">
        <v>449</v>
      </c>
      <c r="L603">
        <v>397</v>
      </c>
      <c r="M603" t="s">
        <v>39</v>
      </c>
      <c r="N603">
        <v>5</v>
      </c>
      <c r="O603" t="s">
        <v>57</v>
      </c>
      <c r="P603">
        <v>30.4</v>
      </c>
      <c r="Q603">
        <v>1511</v>
      </c>
      <c r="R603">
        <v>4</v>
      </c>
      <c r="S603">
        <v>0</v>
      </c>
      <c r="T603" t="s">
        <v>73</v>
      </c>
      <c r="U603" t="s">
        <v>42</v>
      </c>
      <c r="V603">
        <v>158941</v>
      </c>
      <c r="W603">
        <v>3.7</v>
      </c>
      <c r="X603">
        <v>4</v>
      </c>
      <c r="Y603" t="s">
        <v>43</v>
      </c>
      <c r="Z603">
        <v>3.59</v>
      </c>
      <c r="AA603" t="s">
        <v>35</v>
      </c>
    </row>
    <row r="604" spans="1:27" x14ac:dyDescent="0.3">
      <c r="A604" t="s">
        <v>52</v>
      </c>
      <c r="B604" t="s">
        <v>86</v>
      </c>
      <c r="C604">
        <v>2022</v>
      </c>
      <c r="D604" t="s">
        <v>29</v>
      </c>
      <c r="E604">
        <v>66277.97</v>
      </c>
      <c r="F604">
        <v>97.7</v>
      </c>
      <c r="G604">
        <v>340</v>
      </c>
      <c r="H604">
        <v>285.5</v>
      </c>
      <c r="I604">
        <v>3.71</v>
      </c>
      <c r="J604">
        <v>189</v>
      </c>
      <c r="K604">
        <v>445</v>
      </c>
      <c r="L604">
        <v>394</v>
      </c>
      <c r="M604" t="s">
        <v>54</v>
      </c>
      <c r="N604">
        <v>5</v>
      </c>
      <c r="O604" t="s">
        <v>31</v>
      </c>
      <c r="P604">
        <v>59.1</v>
      </c>
      <c r="Q604">
        <v>2882</v>
      </c>
      <c r="R604">
        <v>3</v>
      </c>
      <c r="S604">
        <v>2</v>
      </c>
      <c r="T604" t="s">
        <v>47</v>
      </c>
      <c r="U604" t="s">
        <v>38</v>
      </c>
      <c r="V604">
        <v>108652</v>
      </c>
      <c r="W604">
        <v>4.0999999999999996</v>
      </c>
      <c r="X604">
        <v>4</v>
      </c>
      <c r="Y604" t="s">
        <v>34</v>
      </c>
      <c r="Z604">
        <v>3.48</v>
      </c>
      <c r="AA604" t="s">
        <v>35</v>
      </c>
    </row>
    <row r="605" spans="1:27" x14ac:dyDescent="0.3">
      <c r="A605" t="s">
        <v>52</v>
      </c>
      <c r="B605" t="s">
        <v>55</v>
      </c>
      <c r="C605">
        <v>2025</v>
      </c>
      <c r="D605" t="s">
        <v>68</v>
      </c>
      <c r="E605">
        <v>122990.85</v>
      </c>
      <c r="F605">
        <v>43.1</v>
      </c>
      <c r="G605">
        <v>177</v>
      </c>
      <c r="H605">
        <v>222.1</v>
      </c>
      <c r="I605">
        <v>7.3</v>
      </c>
      <c r="J605">
        <v>132</v>
      </c>
      <c r="K605">
        <v>909</v>
      </c>
      <c r="L605">
        <v>826</v>
      </c>
      <c r="M605" t="s">
        <v>30</v>
      </c>
      <c r="N605">
        <v>5</v>
      </c>
      <c r="O605" t="s">
        <v>56</v>
      </c>
      <c r="P605">
        <v>25.4</v>
      </c>
      <c r="Q605">
        <v>1500</v>
      </c>
      <c r="R605">
        <v>4</v>
      </c>
      <c r="S605">
        <v>2</v>
      </c>
      <c r="T605" t="s">
        <v>47</v>
      </c>
      <c r="U605" t="s">
        <v>33</v>
      </c>
      <c r="V605">
        <v>444103</v>
      </c>
      <c r="W605">
        <v>3.5</v>
      </c>
      <c r="X605">
        <v>5</v>
      </c>
      <c r="Y605" t="s">
        <v>61</v>
      </c>
      <c r="Z605">
        <v>4.1100000000000003</v>
      </c>
      <c r="AA605" t="s">
        <v>35</v>
      </c>
    </row>
    <row r="606" spans="1:27" x14ac:dyDescent="0.3">
      <c r="A606" t="s">
        <v>52</v>
      </c>
      <c r="B606" t="s">
        <v>53</v>
      </c>
      <c r="C606">
        <v>2025</v>
      </c>
      <c r="D606" t="s">
        <v>68</v>
      </c>
      <c r="E606">
        <v>77509.320000000007</v>
      </c>
      <c r="F606">
        <v>78.599999999999994</v>
      </c>
      <c r="G606">
        <v>256</v>
      </c>
      <c r="H606">
        <v>347.7</v>
      </c>
      <c r="I606">
        <v>7.73</v>
      </c>
      <c r="J606">
        <v>130</v>
      </c>
      <c r="K606">
        <v>522</v>
      </c>
      <c r="L606">
        <v>442</v>
      </c>
      <c r="M606" t="s">
        <v>54</v>
      </c>
      <c r="N606">
        <v>7</v>
      </c>
      <c r="O606" t="s">
        <v>56</v>
      </c>
      <c r="P606">
        <v>18</v>
      </c>
      <c r="Q606">
        <v>1500</v>
      </c>
      <c r="R606">
        <v>3</v>
      </c>
      <c r="S606">
        <v>2</v>
      </c>
      <c r="T606" t="s">
        <v>47</v>
      </c>
      <c r="U606" t="s">
        <v>38</v>
      </c>
      <c r="V606">
        <v>156028</v>
      </c>
      <c r="W606">
        <v>3.9</v>
      </c>
      <c r="X606">
        <v>4</v>
      </c>
      <c r="Y606" t="s">
        <v>61</v>
      </c>
      <c r="Z606">
        <v>3.26</v>
      </c>
      <c r="AA606" t="s">
        <v>35</v>
      </c>
    </row>
    <row r="607" spans="1:27" x14ac:dyDescent="0.3">
      <c r="A607" t="s">
        <v>76</v>
      </c>
      <c r="B607" t="s">
        <v>114</v>
      </c>
      <c r="C607">
        <v>2025</v>
      </c>
      <c r="D607" t="s">
        <v>63</v>
      </c>
      <c r="E607">
        <v>42592.08</v>
      </c>
      <c r="F607">
        <v>73.400000000000006</v>
      </c>
      <c r="G607">
        <v>215</v>
      </c>
      <c r="H607">
        <v>90.7</v>
      </c>
      <c r="I607">
        <v>6.29</v>
      </c>
      <c r="J607">
        <v>154</v>
      </c>
      <c r="K607">
        <v>432</v>
      </c>
      <c r="L607">
        <v>362</v>
      </c>
      <c r="M607" t="s">
        <v>39</v>
      </c>
      <c r="N607">
        <v>5</v>
      </c>
      <c r="O607" t="s">
        <v>31</v>
      </c>
      <c r="P607">
        <v>54.8</v>
      </c>
      <c r="Q607">
        <v>2777</v>
      </c>
      <c r="R607">
        <v>4</v>
      </c>
      <c r="S607">
        <v>0</v>
      </c>
      <c r="T607" t="s">
        <v>51</v>
      </c>
      <c r="U607" t="s">
        <v>42</v>
      </c>
      <c r="V607">
        <v>124929</v>
      </c>
      <c r="W607">
        <v>3.4</v>
      </c>
      <c r="X607">
        <v>4</v>
      </c>
      <c r="Y607" t="s">
        <v>43</v>
      </c>
      <c r="Z607">
        <v>2.93</v>
      </c>
      <c r="AA607" t="s">
        <v>35</v>
      </c>
    </row>
    <row r="608" spans="1:27" x14ac:dyDescent="0.3">
      <c r="A608" t="s">
        <v>71</v>
      </c>
      <c r="B608" t="s">
        <v>96</v>
      </c>
      <c r="C608">
        <v>2026</v>
      </c>
      <c r="D608" t="s">
        <v>68</v>
      </c>
      <c r="E608">
        <v>42445.79</v>
      </c>
      <c r="F608">
        <v>53</v>
      </c>
      <c r="G608">
        <v>173</v>
      </c>
      <c r="H608">
        <v>61.8</v>
      </c>
      <c r="I608">
        <v>5.53</v>
      </c>
      <c r="J608">
        <v>167</v>
      </c>
      <c r="K608">
        <v>444</v>
      </c>
      <c r="L608">
        <v>446</v>
      </c>
      <c r="M608" t="s">
        <v>30</v>
      </c>
      <c r="N608">
        <v>7</v>
      </c>
      <c r="O608" t="s">
        <v>57</v>
      </c>
      <c r="P608">
        <v>34.200000000000003</v>
      </c>
      <c r="Q608">
        <v>1642</v>
      </c>
      <c r="R608">
        <v>4</v>
      </c>
      <c r="S608">
        <v>1</v>
      </c>
      <c r="T608" t="s">
        <v>73</v>
      </c>
      <c r="U608" t="s">
        <v>42</v>
      </c>
      <c r="V608">
        <v>217748</v>
      </c>
      <c r="W608">
        <v>3.1</v>
      </c>
      <c r="X608">
        <v>5</v>
      </c>
      <c r="Y608" t="s">
        <v>43</v>
      </c>
      <c r="Z608">
        <v>3.26</v>
      </c>
      <c r="AA608" t="s">
        <v>35</v>
      </c>
    </row>
    <row r="609" spans="1:27" x14ac:dyDescent="0.3">
      <c r="A609" t="s">
        <v>27</v>
      </c>
      <c r="B609" t="s">
        <v>83</v>
      </c>
      <c r="C609">
        <v>2023</v>
      </c>
      <c r="D609" t="s">
        <v>29</v>
      </c>
      <c r="E609">
        <v>44275.35</v>
      </c>
      <c r="F609">
        <v>90.4</v>
      </c>
      <c r="G609">
        <v>308</v>
      </c>
      <c r="H609">
        <v>211.5</v>
      </c>
      <c r="I609">
        <v>4.49</v>
      </c>
      <c r="J609">
        <v>180</v>
      </c>
      <c r="K609">
        <v>363</v>
      </c>
      <c r="L609">
        <v>288</v>
      </c>
      <c r="M609" t="s">
        <v>30</v>
      </c>
      <c r="N609">
        <v>7</v>
      </c>
      <c r="O609" t="s">
        <v>56</v>
      </c>
      <c r="P609">
        <v>36.4</v>
      </c>
      <c r="Q609">
        <v>1606</v>
      </c>
      <c r="R609">
        <v>5</v>
      </c>
      <c r="S609">
        <v>2</v>
      </c>
      <c r="T609" t="s">
        <v>32</v>
      </c>
      <c r="U609" t="s">
        <v>42</v>
      </c>
      <c r="V609">
        <v>209760</v>
      </c>
      <c r="W609">
        <v>3.5</v>
      </c>
      <c r="X609">
        <v>3</v>
      </c>
      <c r="Y609" t="s">
        <v>43</v>
      </c>
      <c r="Z609">
        <v>3.41</v>
      </c>
      <c r="AA609" t="s">
        <v>35</v>
      </c>
    </row>
    <row r="610" spans="1:27" x14ac:dyDescent="0.3">
      <c r="A610" t="s">
        <v>76</v>
      </c>
      <c r="B610" t="s">
        <v>87</v>
      </c>
      <c r="C610">
        <v>2025</v>
      </c>
      <c r="D610" t="s">
        <v>29</v>
      </c>
      <c r="E610">
        <v>107109.36</v>
      </c>
      <c r="F610">
        <v>119.6</v>
      </c>
      <c r="G610">
        <v>434</v>
      </c>
      <c r="H610">
        <v>239.3</v>
      </c>
      <c r="I610">
        <v>2.87</v>
      </c>
      <c r="J610">
        <v>200</v>
      </c>
      <c r="K610">
        <v>1000</v>
      </c>
      <c r="L610">
        <v>906</v>
      </c>
      <c r="M610" t="s">
        <v>30</v>
      </c>
      <c r="N610">
        <v>5</v>
      </c>
      <c r="O610" t="s">
        <v>40</v>
      </c>
      <c r="P610">
        <v>68.7</v>
      </c>
      <c r="Q610">
        <v>2249</v>
      </c>
      <c r="R610">
        <v>5</v>
      </c>
      <c r="S610">
        <v>1</v>
      </c>
      <c r="T610" t="s">
        <v>51</v>
      </c>
      <c r="U610" t="s">
        <v>33</v>
      </c>
      <c r="V610">
        <v>92278</v>
      </c>
      <c r="W610">
        <v>3.9</v>
      </c>
      <c r="X610">
        <v>3</v>
      </c>
      <c r="Y610" t="s">
        <v>34</v>
      </c>
      <c r="Z610">
        <v>3.63</v>
      </c>
      <c r="AA610" t="s">
        <v>35</v>
      </c>
    </row>
    <row r="611" spans="1:27" x14ac:dyDescent="0.3">
      <c r="A611" t="s">
        <v>44</v>
      </c>
      <c r="B611" t="s">
        <v>45</v>
      </c>
      <c r="C611">
        <v>2023</v>
      </c>
      <c r="D611" t="s">
        <v>63</v>
      </c>
      <c r="E611">
        <v>38369.910000000003</v>
      </c>
      <c r="F611">
        <v>46.8</v>
      </c>
      <c r="G611">
        <v>177</v>
      </c>
      <c r="H611">
        <v>81.7</v>
      </c>
      <c r="I611">
        <v>6.83</v>
      </c>
      <c r="J611">
        <v>139</v>
      </c>
      <c r="K611">
        <v>363</v>
      </c>
      <c r="L611">
        <v>331</v>
      </c>
      <c r="M611" t="s">
        <v>39</v>
      </c>
      <c r="N611">
        <v>7</v>
      </c>
      <c r="O611" t="s">
        <v>40</v>
      </c>
      <c r="P611">
        <v>57.5</v>
      </c>
      <c r="Q611">
        <v>2174</v>
      </c>
      <c r="R611">
        <v>5</v>
      </c>
      <c r="S611">
        <v>0</v>
      </c>
      <c r="T611" t="s">
        <v>47</v>
      </c>
      <c r="U611" t="s">
        <v>42</v>
      </c>
      <c r="V611">
        <v>19280</v>
      </c>
      <c r="W611">
        <v>3.3</v>
      </c>
      <c r="X611">
        <v>3</v>
      </c>
      <c r="Y611" t="s">
        <v>43</v>
      </c>
      <c r="Z611">
        <v>3.78</v>
      </c>
      <c r="AA611" t="s">
        <v>43</v>
      </c>
    </row>
    <row r="612" spans="1:27" x14ac:dyDescent="0.3">
      <c r="A612" t="s">
        <v>52</v>
      </c>
      <c r="B612" t="s">
        <v>64</v>
      </c>
      <c r="C612">
        <v>2023</v>
      </c>
      <c r="D612" t="s">
        <v>50</v>
      </c>
      <c r="E612">
        <v>82872.710000000006</v>
      </c>
      <c r="F612">
        <v>88.9</v>
      </c>
      <c r="G612">
        <v>322</v>
      </c>
      <c r="H612">
        <v>293.39999999999998</v>
      </c>
      <c r="I612">
        <v>4.3099999999999996</v>
      </c>
      <c r="J612">
        <v>182</v>
      </c>
      <c r="K612">
        <v>559</v>
      </c>
      <c r="L612">
        <v>488</v>
      </c>
      <c r="M612" t="s">
        <v>30</v>
      </c>
      <c r="N612">
        <v>7</v>
      </c>
      <c r="O612" t="s">
        <v>57</v>
      </c>
      <c r="P612">
        <v>38</v>
      </c>
      <c r="Q612">
        <v>1852</v>
      </c>
      <c r="R612">
        <v>5</v>
      </c>
      <c r="S612">
        <v>2</v>
      </c>
      <c r="T612" t="s">
        <v>47</v>
      </c>
      <c r="U612" t="s">
        <v>38</v>
      </c>
      <c r="V612">
        <v>233601</v>
      </c>
      <c r="W612">
        <v>3.6</v>
      </c>
      <c r="X612">
        <v>5</v>
      </c>
      <c r="Y612" t="s">
        <v>43</v>
      </c>
      <c r="Z612">
        <v>3.62</v>
      </c>
      <c r="AA612" t="s">
        <v>35</v>
      </c>
    </row>
    <row r="613" spans="1:27" x14ac:dyDescent="0.3">
      <c r="A613" t="s">
        <v>84</v>
      </c>
      <c r="B613" t="s">
        <v>85</v>
      </c>
      <c r="C613">
        <v>2024</v>
      </c>
      <c r="D613" t="s">
        <v>38</v>
      </c>
      <c r="E613">
        <v>96727.35</v>
      </c>
      <c r="F613">
        <v>71.400000000000006</v>
      </c>
      <c r="G613">
        <v>233</v>
      </c>
      <c r="H613">
        <v>128.6</v>
      </c>
      <c r="I613">
        <v>7.7</v>
      </c>
      <c r="J613">
        <v>140</v>
      </c>
      <c r="K613">
        <v>1000</v>
      </c>
      <c r="L613">
        <v>862</v>
      </c>
      <c r="M613" t="s">
        <v>30</v>
      </c>
      <c r="N613">
        <v>7</v>
      </c>
      <c r="O613" t="s">
        <v>56</v>
      </c>
      <c r="P613">
        <v>20.7</v>
      </c>
      <c r="Q613">
        <v>1832</v>
      </c>
      <c r="R613">
        <v>3</v>
      </c>
      <c r="S613">
        <v>1</v>
      </c>
      <c r="T613" t="s">
        <v>47</v>
      </c>
      <c r="U613" t="s">
        <v>38</v>
      </c>
      <c r="V613">
        <v>75873</v>
      </c>
      <c r="W613">
        <v>3.2</v>
      </c>
      <c r="X613">
        <v>5</v>
      </c>
      <c r="Y613" t="s">
        <v>61</v>
      </c>
      <c r="Z613">
        <v>3.26</v>
      </c>
      <c r="AA613" t="s">
        <v>35</v>
      </c>
    </row>
    <row r="614" spans="1:27" x14ac:dyDescent="0.3">
      <c r="A614" t="s">
        <v>91</v>
      </c>
      <c r="B614" t="s">
        <v>92</v>
      </c>
      <c r="C614">
        <v>2024</v>
      </c>
      <c r="D614" t="s">
        <v>63</v>
      </c>
      <c r="E614">
        <v>84385.88</v>
      </c>
      <c r="F614">
        <v>47.3</v>
      </c>
      <c r="G614">
        <v>177</v>
      </c>
      <c r="H614">
        <v>108.6</v>
      </c>
      <c r="I614">
        <v>7.35</v>
      </c>
      <c r="J614">
        <v>136</v>
      </c>
      <c r="K614">
        <v>601</v>
      </c>
      <c r="L614">
        <v>552</v>
      </c>
      <c r="M614" t="s">
        <v>39</v>
      </c>
      <c r="N614">
        <v>7</v>
      </c>
      <c r="O614" t="s">
        <v>65</v>
      </c>
      <c r="P614">
        <v>23.5</v>
      </c>
      <c r="Q614">
        <v>1500</v>
      </c>
      <c r="R614">
        <v>5</v>
      </c>
      <c r="S614">
        <v>1</v>
      </c>
      <c r="T614" t="s">
        <v>32</v>
      </c>
      <c r="U614" t="s">
        <v>38</v>
      </c>
      <c r="V614">
        <v>74771</v>
      </c>
      <c r="W614">
        <v>3.1</v>
      </c>
      <c r="X614">
        <v>6</v>
      </c>
      <c r="Y614" t="s">
        <v>61</v>
      </c>
      <c r="Z614">
        <v>3.74</v>
      </c>
      <c r="AA614" t="s">
        <v>35</v>
      </c>
    </row>
    <row r="615" spans="1:27" x14ac:dyDescent="0.3">
      <c r="A615" t="s">
        <v>52</v>
      </c>
      <c r="B615" t="s">
        <v>55</v>
      </c>
      <c r="C615">
        <v>2025</v>
      </c>
      <c r="D615" t="s">
        <v>50</v>
      </c>
      <c r="E615">
        <v>33796.25</v>
      </c>
      <c r="F615">
        <v>90.1</v>
      </c>
      <c r="G615">
        <v>295</v>
      </c>
      <c r="H615">
        <v>250.6</v>
      </c>
      <c r="I615">
        <v>4.0599999999999996</v>
      </c>
      <c r="J615">
        <v>183</v>
      </c>
      <c r="K615">
        <v>215</v>
      </c>
      <c r="L615">
        <v>200</v>
      </c>
      <c r="M615" t="s">
        <v>54</v>
      </c>
      <c r="N615">
        <v>5</v>
      </c>
      <c r="O615" t="s">
        <v>40</v>
      </c>
      <c r="P615">
        <v>43</v>
      </c>
      <c r="Q615">
        <v>2400</v>
      </c>
      <c r="R615">
        <v>5</v>
      </c>
      <c r="S615">
        <v>2</v>
      </c>
      <c r="T615" t="s">
        <v>47</v>
      </c>
      <c r="U615" t="s">
        <v>74</v>
      </c>
      <c r="V615">
        <v>476519</v>
      </c>
      <c r="W615">
        <v>3.9</v>
      </c>
      <c r="X615">
        <v>5</v>
      </c>
      <c r="Y615" t="s">
        <v>43</v>
      </c>
      <c r="Z615">
        <v>3.27</v>
      </c>
      <c r="AA615" t="s">
        <v>35</v>
      </c>
    </row>
    <row r="616" spans="1:27" x14ac:dyDescent="0.3">
      <c r="A616" t="s">
        <v>94</v>
      </c>
      <c r="B616" t="s">
        <v>95</v>
      </c>
      <c r="C616">
        <v>2025</v>
      </c>
      <c r="D616" t="s">
        <v>63</v>
      </c>
      <c r="E616">
        <v>67634.789999999994</v>
      </c>
      <c r="F616">
        <v>79.900000000000006</v>
      </c>
      <c r="G616">
        <v>278</v>
      </c>
      <c r="H616">
        <v>90.2</v>
      </c>
      <c r="I616">
        <v>5.56</v>
      </c>
      <c r="J616">
        <v>167</v>
      </c>
      <c r="K616">
        <v>396</v>
      </c>
      <c r="L616">
        <v>388</v>
      </c>
      <c r="M616" t="s">
        <v>39</v>
      </c>
      <c r="N616">
        <v>5</v>
      </c>
      <c r="O616" t="s">
        <v>65</v>
      </c>
      <c r="P616">
        <v>24.9</v>
      </c>
      <c r="Q616">
        <v>1712</v>
      </c>
      <c r="R616">
        <v>4</v>
      </c>
      <c r="S616">
        <v>2</v>
      </c>
      <c r="T616" t="s">
        <v>32</v>
      </c>
      <c r="U616" t="s">
        <v>38</v>
      </c>
      <c r="V616">
        <v>62437</v>
      </c>
      <c r="W616">
        <v>3.5</v>
      </c>
      <c r="X616">
        <v>8</v>
      </c>
      <c r="Y616" t="s">
        <v>43</v>
      </c>
      <c r="Z616">
        <v>3.48</v>
      </c>
      <c r="AA616" t="s">
        <v>35</v>
      </c>
    </row>
    <row r="617" spans="1:27" x14ac:dyDescent="0.3">
      <c r="A617" t="s">
        <v>102</v>
      </c>
      <c r="B617" t="s">
        <v>128</v>
      </c>
      <c r="C617">
        <v>2025</v>
      </c>
      <c r="D617" t="s">
        <v>50</v>
      </c>
      <c r="E617">
        <v>105675.37</v>
      </c>
      <c r="F617">
        <v>104</v>
      </c>
      <c r="G617">
        <v>386</v>
      </c>
      <c r="H617">
        <v>102.2</v>
      </c>
      <c r="I617">
        <v>4.6399999999999997</v>
      </c>
      <c r="J617">
        <v>173</v>
      </c>
      <c r="K617">
        <v>1000</v>
      </c>
      <c r="L617">
        <v>866</v>
      </c>
      <c r="M617" t="s">
        <v>30</v>
      </c>
      <c r="N617">
        <v>5</v>
      </c>
      <c r="O617" t="s">
        <v>40</v>
      </c>
      <c r="P617">
        <v>63.1</v>
      </c>
      <c r="Q617">
        <v>2353</v>
      </c>
      <c r="R617">
        <v>5</v>
      </c>
      <c r="S617">
        <v>0</v>
      </c>
      <c r="T617" t="s">
        <v>47</v>
      </c>
      <c r="U617" t="s">
        <v>33</v>
      </c>
      <c r="V617">
        <v>25421</v>
      </c>
      <c r="W617">
        <v>3.9</v>
      </c>
      <c r="X617">
        <v>4</v>
      </c>
      <c r="Y617" t="s">
        <v>43</v>
      </c>
      <c r="Z617">
        <v>3.71</v>
      </c>
      <c r="AA617" t="s">
        <v>35</v>
      </c>
    </row>
    <row r="618" spans="1:27" x14ac:dyDescent="0.3">
      <c r="A618" t="s">
        <v>52</v>
      </c>
      <c r="B618" t="s">
        <v>86</v>
      </c>
      <c r="C618">
        <v>2023</v>
      </c>
      <c r="D618" t="s">
        <v>68</v>
      </c>
      <c r="E618">
        <v>43959.45</v>
      </c>
      <c r="F618">
        <v>63.9</v>
      </c>
      <c r="G618">
        <v>211</v>
      </c>
      <c r="H618">
        <v>207.5</v>
      </c>
      <c r="I618">
        <v>6.67</v>
      </c>
      <c r="J618">
        <v>148</v>
      </c>
      <c r="K618">
        <v>283</v>
      </c>
      <c r="L618">
        <v>251</v>
      </c>
      <c r="M618" t="s">
        <v>39</v>
      </c>
      <c r="N618">
        <v>5</v>
      </c>
      <c r="O618" t="s">
        <v>40</v>
      </c>
      <c r="P618">
        <v>62.7</v>
      </c>
      <c r="Q618">
        <v>1838</v>
      </c>
      <c r="R618">
        <v>3</v>
      </c>
      <c r="S618">
        <v>2</v>
      </c>
      <c r="T618" t="s">
        <v>47</v>
      </c>
      <c r="U618" t="s">
        <v>42</v>
      </c>
      <c r="V618">
        <v>124556</v>
      </c>
      <c r="W618">
        <v>4</v>
      </c>
      <c r="X618">
        <v>4</v>
      </c>
      <c r="Y618" t="s">
        <v>43</v>
      </c>
      <c r="Z618">
        <v>3.3</v>
      </c>
      <c r="AA618" t="s">
        <v>35</v>
      </c>
    </row>
    <row r="619" spans="1:27" x14ac:dyDescent="0.3">
      <c r="A619" t="s">
        <v>71</v>
      </c>
      <c r="B619" t="s">
        <v>104</v>
      </c>
      <c r="C619">
        <v>2025</v>
      </c>
      <c r="D619" t="s">
        <v>63</v>
      </c>
      <c r="E619">
        <v>19398.189999999999</v>
      </c>
      <c r="F619">
        <v>79.599999999999994</v>
      </c>
      <c r="G619">
        <v>255</v>
      </c>
      <c r="H619">
        <v>104.3</v>
      </c>
      <c r="I619">
        <v>7.87</v>
      </c>
      <c r="J619">
        <v>125</v>
      </c>
      <c r="K619">
        <v>165</v>
      </c>
      <c r="L619">
        <v>200</v>
      </c>
      <c r="M619" t="s">
        <v>39</v>
      </c>
      <c r="N619">
        <v>5</v>
      </c>
      <c r="O619" t="s">
        <v>46</v>
      </c>
      <c r="P619">
        <v>71.900000000000006</v>
      </c>
      <c r="Q619">
        <v>1500</v>
      </c>
      <c r="R619">
        <v>4</v>
      </c>
      <c r="S619">
        <v>0</v>
      </c>
      <c r="T619" t="s">
        <v>73</v>
      </c>
      <c r="U619" t="s">
        <v>74</v>
      </c>
      <c r="V619">
        <v>165718</v>
      </c>
      <c r="W619">
        <v>3.4</v>
      </c>
      <c r="X619">
        <v>4</v>
      </c>
      <c r="Y619" t="s">
        <v>61</v>
      </c>
      <c r="Z619">
        <v>3.2</v>
      </c>
      <c r="AA619" t="s">
        <v>35</v>
      </c>
    </row>
    <row r="620" spans="1:27" x14ac:dyDescent="0.3">
      <c r="A620" t="s">
        <v>84</v>
      </c>
      <c r="B620" t="s">
        <v>106</v>
      </c>
      <c r="C620">
        <v>2026</v>
      </c>
      <c r="D620" t="s">
        <v>63</v>
      </c>
      <c r="E620">
        <v>55828.42</v>
      </c>
      <c r="F620">
        <v>47.5</v>
      </c>
      <c r="G620">
        <v>163</v>
      </c>
      <c r="H620">
        <v>69</v>
      </c>
      <c r="I620">
        <v>5.68</v>
      </c>
      <c r="J620">
        <v>167</v>
      </c>
      <c r="K620">
        <v>570</v>
      </c>
      <c r="L620">
        <v>527</v>
      </c>
      <c r="M620" t="s">
        <v>54</v>
      </c>
      <c r="N620">
        <v>5</v>
      </c>
      <c r="O620" t="s">
        <v>56</v>
      </c>
      <c r="P620">
        <v>22.3</v>
      </c>
      <c r="Q620">
        <v>1668</v>
      </c>
      <c r="R620">
        <v>5</v>
      </c>
      <c r="S620">
        <v>1</v>
      </c>
      <c r="T620" t="s">
        <v>47</v>
      </c>
      <c r="U620" t="s">
        <v>42</v>
      </c>
      <c r="V620">
        <v>64449</v>
      </c>
      <c r="W620">
        <v>3.4</v>
      </c>
      <c r="X620">
        <v>5</v>
      </c>
      <c r="Y620" t="s">
        <v>43</v>
      </c>
      <c r="Z620">
        <v>3.43</v>
      </c>
      <c r="AA620" t="s">
        <v>35</v>
      </c>
    </row>
    <row r="621" spans="1:27" x14ac:dyDescent="0.3">
      <c r="A621" t="s">
        <v>44</v>
      </c>
      <c r="B621" t="s">
        <v>62</v>
      </c>
      <c r="C621">
        <v>2025</v>
      </c>
      <c r="D621" t="s">
        <v>68</v>
      </c>
      <c r="E621">
        <v>55791.9</v>
      </c>
      <c r="F621">
        <v>43.1</v>
      </c>
      <c r="G621">
        <v>150</v>
      </c>
      <c r="H621">
        <v>123.6</v>
      </c>
      <c r="I621">
        <v>6.64</v>
      </c>
      <c r="J621">
        <v>150</v>
      </c>
      <c r="K621">
        <v>646</v>
      </c>
      <c r="L621">
        <v>596</v>
      </c>
      <c r="M621" t="s">
        <v>39</v>
      </c>
      <c r="N621">
        <v>7</v>
      </c>
      <c r="O621" t="s">
        <v>40</v>
      </c>
      <c r="P621">
        <v>35.299999999999997</v>
      </c>
      <c r="Q621">
        <v>1903</v>
      </c>
      <c r="R621">
        <v>5</v>
      </c>
      <c r="S621">
        <v>2</v>
      </c>
      <c r="T621" t="s">
        <v>47</v>
      </c>
      <c r="U621" t="s">
        <v>42</v>
      </c>
      <c r="V621">
        <v>16439</v>
      </c>
      <c r="W621">
        <v>3.1</v>
      </c>
      <c r="X621">
        <v>4</v>
      </c>
      <c r="Y621" t="s">
        <v>43</v>
      </c>
      <c r="Z621">
        <v>3.48</v>
      </c>
      <c r="AA621" t="s">
        <v>43</v>
      </c>
    </row>
    <row r="622" spans="1:27" x14ac:dyDescent="0.3">
      <c r="A622" t="s">
        <v>52</v>
      </c>
      <c r="B622" t="s">
        <v>53</v>
      </c>
      <c r="C622">
        <v>2025</v>
      </c>
      <c r="D622" t="s">
        <v>38</v>
      </c>
      <c r="E622">
        <v>151283.19</v>
      </c>
      <c r="F622">
        <v>58.3</v>
      </c>
      <c r="G622">
        <v>189</v>
      </c>
      <c r="H622">
        <v>340.8</v>
      </c>
      <c r="I622">
        <v>6.99</v>
      </c>
      <c r="J622">
        <v>152</v>
      </c>
      <c r="K622">
        <v>1000</v>
      </c>
      <c r="L622">
        <v>918</v>
      </c>
      <c r="M622" t="s">
        <v>30</v>
      </c>
      <c r="N622">
        <v>5</v>
      </c>
      <c r="O622" t="s">
        <v>65</v>
      </c>
      <c r="P622">
        <v>36.700000000000003</v>
      </c>
      <c r="Q622">
        <v>1557</v>
      </c>
      <c r="R622">
        <v>5</v>
      </c>
      <c r="S622">
        <v>2</v>
      </c>
      <c r="T622" t="s">
        <v>47</v>
      </c>
      <c r="U622" t="s">
        <v>33</v>
      </c>
      <c r="V622">
        <v>203592</v>
      </c>
      <c r="W622">
        <v>3.5</v>
      </c>
      <c r="X622">
        <v>5</v>
      </c>
      <c r="Y622" t="s">
        <v>43</v>
      </c>
      <c r="Z622">
        <v>3.24</v>
      </c>
      <c r="AA622" t="s">
        <v>35</v>
      </c>
    </row>
    <row r="623" spans="1:27" x14ac:dyDescent="0.3">
      <c r="A623" t="s">
        <v>71</v>
      </c>
      <c r="B623" t="s">
        <v>115</v>
      </c>
      <c r="C623">
        <v>2024</v>
      </c>
      <c r="D623" t="s">
        <v>29</v>
      </c>
      <c r="E623">
        <v>54577.89</v>
      </c>
      <c r="F623">
        <v>119.6</v>
      </c>
      <c r="G623">
        <v>427</v>
      </c>
      <c r="H623">
        <v>156.1</v>
      </c>
      <c r="I623">
        <v>4.3099999999999996</v>
      </c>
      <c r="J623">
        <v>190</v>
      </c>
      <c r="K623">
        <v>567</v>
      </c>
      <c r="L623">
        <v>531</v>
      </c>
      <c r="M623" t="s">
        <v>30</v>
      </c>
      <c r="N623">
        <v>5</v>
      </c>
      <c r="O623" t="s">
        <v>56</v>
      </c>
      <c r="P623">
        <v>27.9</v>
      </c>
      <c r="Q623">
        <v>1638</v>
      </c>
      <c r="R623">
        <v>5</v>
      </c>
      <c r="S623">
        <v>0</v>
      </c>
      <c r="T623" t="s">
        <v>73</v>
      </c>
      <c r="U623" t="s">
        <v>42</v>
      </c>
      <c r="V623">
        <v>139526</v>
      </c>
      <c r="W623">
        <v>3.8</v>
      </c>
      <c r="X623">
        <v>5</v>
      </c>
      <c r="Y623" t="s">
        <v>43</v>
      </c>
      <c r="Z623">
        <v>3.57</v>
      </c>
      <c r="AA623" t="s">
        <v>35</v>
      </c>
    </row>
    <row r="624" spans="1:27" x14ac:dyDescent="0.3">
      <c r="A624" t="s">
        <v>27</v>
      </c>
      <c r="B624" t="s">
        <v>28</v>
      </c>
      <c r="C624">
        <v>2025</v>
      </c>
      <c r="D624" t="s">
        <v>68</v>
      </c>
      <c r="E624">
        <v>55247.47</v>
      </c>
      <c r="F624">
        <v>53.5</v>
      </c>
      <c r="G624">
        <v>199</v>
      </c>
      <c r="H624">
        <v>114.4</v>
      </c>
      <c r="I624">
        <v>5.73</v>
      </c>
      <c r="J624">
        <v>170</v>
      </c>
      <c r="K624">
        <v>459</v>
      </c>
      <c r="L624">
        <v>410</v>
      </c>
      <c r="M624" t="s">
        <v>30</v>
      </c>
      <c r="N624">
        <v>5</v>
      </c>
      <c r="O624" t="s">
        <v>65</v>
      </c>
      <c r="P624">
        <v>34.4</v>
      </c>
      <c r="Q624">
        <v>1500</v>
      </c>
      <c r="R624">
        <v>5</v>
      </c>
      <c r="S624">
        <v>1</v>
      </c>
      <c r="T624" t="s">
        <v>32</v>
      </c>
      <c r="U624" t="s">
        <v>42</v>
      </c>
      <c r="V624">
        <v>220284</v>
      </c>
      <c r="W624">
        <v>3.3</v>
      </c>
      <c r="X624">
        <v>4</v>
      </c>
      <c r="Y624" t="s">
        <v>43</v>
      </c>
      <c r="Z624">
        <v>3.72</v>
      </c>
      <c r="AA624" t="s">
        <v>35</v>
      </c>
    </row>
    <row r="625" spans="1:27" x14ac:dyDescent="0.3">
      <c r="A625" t="s">
        <v>76</v>
      </c>
      <c r="B625" t="s">
        <v>87</v>
      </c>
      <c r="C625">
        <v>2025</v>
      </c>
      <c r="D625" t="s">
        <v>63</v>
      </c>
      <c r="E625">
        <v>37922.42</v>
      </c>
      <c r="F625">
        <v>50.5</v>
      </c>
      <c r="G625">
        <v>150</v>
      </c>
      <c r="H625">
        <v>65.400000000000006</v>
      </c>
      <c r="I625">
        <v>6.36</v>
      </c>
      <c r="J625">
        <v>155</v>
      </c>
      <c r="K625">
        <v>325</v>
      </c>
      <c r="L625">
        <v>323</v>
      </c>
      <c r="M625" t="s">
        <v>54</v>
      </c>
      <c r="N625">
        <v>5</v>
      </c>
      <c r="O625" t="s">
        <v>40</v>
      </c>
      <c r="P625">
        <v>68.599999999999994</v>
      </c>
      <c r="Q625">
        <v>1992</v>
      </c>
      <c r="R625">
        <v>3</v>
      </c>
      <c r="S625">
        <v>0</v>
      </c>
      <c r="T625" t="s">
        <v>51</v>
      </c>
      <c r="U625" t="s">
        <v>42</v>
      </c>
      <c r="V625">
        <v>75225</v>
      </c>
      <c r="W625">
        <v>3.1</v>
      </c>
      <c r="X625">
        <v>5</v>
      </c>
      <c r="Y625" t="s">
        <v>43</v>
      </c>
      <c r="Z625">
        <v>2.97</v>
      </c>
      <c r="AA625" t="s">
        <v>35</v>
      </c>
    </row>
    <row r="626" spans="1:27" x14ac:dyDescent="0.3">
      <c r="A626" t="s">
        <v>48</v>
      </c>
      <c r="B626" t="s">
        <v>88</v>
      </c>
      <c r="C626">
        <v>2023</v>
      </c>
      <c r="D626" t="s">
        <v>63</v>
      </c>
      <c r="E626">
        <v>65534.18</v>
      </c>
      <c r="F626">
        <v>84.3</v>
      </c>
      <c r="G626">
        <v>248</v>
      </c>
      <c r="H626">
        <v>57.6</v>
      </c>
      <c r="I626">
        <v>5.04</v>
      </c>
      <c r="J626">
        <v>176</v>
      </c>
      <c r="K626">
        <v>708</v>
      </c>
      <c r="L626">
        <v>642</v>
      </c>
      <c r="M626" t="s">
        <v>39</v>
      </c>
      <c r="N626">
        <v>5</v>
      </c>
      <c r="O626" t="s">
        <v>40</v>
      </c>
      <c r="P626">
        <v>56.5</v>
      </c>
      <c r="Q626">
        <v>1815</v>
      </c>
      <c r="R626">
        <v>4</v>
      </c>
      <c r="S626">
        <v>1</v>
      </c>
      <c r="T626" t="s">
        <v>51</v>
      </c>
      <c r="U626" t="s">
        <v>38</v>
      </c>
      <c r="V626">
        <v>115671</v>
      </c>
      <c r="W626">
        <v>3.4</v>
      </c>
      <c r="X626">
        <v>4</v>
      </c>
      <c r="Y626" t="s">
        <v>43</v>
      </c>
      <c r="Z626">
        <v>2.94</v>
      </c>
      <c r="AA626" t="s">
        <v>35</v>
      </c>
    </row>
    <row r="627" spans="1:27" x14ac:dyDescent="0.3">
      <c r="A627" t="s">
        <v>27</v>
      </c>
      <c r="B627" t="s">
        <v>93</v>
      </c>
      <c r="C627">
        <v>2026</v>
      </c>
      <c r="D627" t="s">
        <v>68</v>
      </c>
      <c r="E627">
        <v>36867.620000000003</v>
      </c>
      <c r="F627">
        <v>42</v>
      </c>
      <c r="G627">
        <v>175</v>
      </c>
      <c r="H627">
        <v>63.1</v>
      </c>
      <c r="I627">
        <v>6.92</v>
      </c>
      <c r="J627">
        <v>148</v>
      </c>
      <c r="K627">
        <v>259</v>
      </c>
      <c r="L627">
        <v>233</v>
      </c>
      <c r="M627" t="s">
        <v>54</v>
      </c>
      <c r="N627">
        <v>7</v>
      </c>
      <c r="O627" t="s">
        <v>46</v>
      </c>
      <c r="P627">
        <v>67.099999999999994</v>
      </c>
      <c r="Q627">
        <v>1542</v>
      </c>
      <c r="R627">
        <v>5</v>
      </c>
      <c r="S627">
        <v>1</v>
      </c>
      <c r="T627" t="s">
        <v>32</v>
      </c>
      <c r="U627" t="s">
        <v>42</v>
      </c>
      <c r="V627">
        <v>299992</v>
      </c>
      <c r="W627">
        <v>3.4</v>
      </c>
      <c r="X627">
        <v>4</v>
      </c>
      <c r="Y627" t="s">
        <v>43</v>
      </c>
      <c r="Z627">
        <v>4.17</v>
      </c>
      <c r="AA627" t="s">
        <v>35</v>
      </c>
    </row>
    <row r="628" spans="1:27" x14ac:dyDescent="0.3">
      <c r="A628" t="s">
        <v>76</v>
      </c>
      <c r="B628" t="s">
        <v>87</v>
      </c>
      <c r="C628">
        <v>2023</v>
      </c>
      <c r="D628" t="s">
        <v>68</v>
      </c>
      <c r="E628">
        <v>66319.66</v>
      </c>
      <c r="F628">
        <v>72.900000000000006</v>
      </c>
      <c r="G628">
        <v>225</v>
      </c>
      <c r="H628">
        <v>110.9</v>
      </c>
      <c r="I628">
        <v>7.63</v>
      </c>
      <c r="J628">
        <v>134</v>
      </c>
      <c r="K628">
        <v>766</v>
      </c>
      <c r="L628">
        <v>617</v>
      </c>
      <c r="M628" t="s">
        <v>54</v>
      </c>
      <c r="N628">
        <v>7</v>
      </c>
      <c r="O628" t="s">
        <v>46</v>
      </c>
      <c r="P628">
        <v>77.2</v>
      </c>
      <c r="Q628">
        <v>1709</v>
      </c>
      <c r="R628">
        <v>4</v>
      </c>
      <c r="S628">
        <v>0</v>
      </c>
      <c r="T628" t="s">
        <v>51</v>
      </c>
      <c r="U628" t="s">
        <v>38</v>
      </c>
      <c r="V628">
        <v>139935</v>
      </c>
      <c r="W628">
        <v>3.2</v>
      </c>
      <c r="X628">
        <v>3</v>
      </c>
      <c r="Y628" t="s">
        <v>61</v>
      </c>
      <c r="Z628">
        <v>3.09</v>
      </c>
      <c r="AA628" t="s">
        <v>35</v>
      </c>
    </row>
    <row r="629" spans="1:27" x14ac:dyDescent="0.3">
      <c r="A629" t="s">
        <v>44</v>
      </c>
      <c r="B629" t="s">
        <v>62</v>
      </c>
      <c r="C629">
        <v>2026</v>
      </c>
      <c r="D629" t="s">
        <v>68</v>
      </c>
      <c r="E629">
        <v>47749.35</v>
      </c>
      <c r="F629">
        <v>64.3</v>
      </c>
      <c r="G629">
        <v>253</v>
      </c>
      <c r="H629">
        <v>114</v>
      </c>
      <c r="I629">
        <v>5.82</v>
      </c>
      <c r="J629">
        <v>170</v>
      </c>
      <c r="K629">
        <v>522</v>
      </c>
      <c r="L629">
        <v>467</v>
      </c>
      <c r="M629" t="s">
        <v>54</v>
      </c>
      <c r="N629">
        <v>7</v>
      </c>
      <c r="O629" t="s">
        <v>31</v>
      </c>
      <c r="P629">
        <v>71.900000000000006</v>
      </c>
      <c r="Q629">
        <v>2378</v>
      </c>
      <c r="R629">
        <v>5</v>
      </c>
      <c r="S629">
        <v>0</v>
      </c>
      <c r="T629" t="s">
        <v>47</v>
      </c>
      <c r="U629" t="s">
        <v>42</v>
      </c>
      <c r="V629">
        <v>11602</v>
      </c>
      <c r="W629">
        <v>3.3</v>
      </c>
      <c r="X629">
        <v>4</v>
      </c>
      <c r="Y629" t="s">
        <v>43</v>
      </c>
      <c r="Z629">
        <v>3.93</v>
      </c>
      <c r="AA629" t="s">
        <v>43</v>
      </c>
    </row>
    <row r="630" spans="1:27" x14ac:dyDescent="0.3">
      <c r="A630" t="s">
        <v>52</v>
      </c>
      <c r="B630" t="s">
        <v>64</v>
      </c>
      <c r="C630">
        <v>2025</v>
      </c>
      <c r="D630" t="s">
        <v>68</v>
      </c>
      <c r="E630">
        <v>75212.509999999995</v>
      </c>
      <c r="F630">
        <v>79.3</v>
      </c>
      <c r="G630">
        <v>260</v>
      </c>
      <c r="H630">
        <v>293.3</v>
      </c>
      <c r="I630">
        <v>6.39</v>
      </c>
      <c r="J630">
        <v>154</v>
      </c>
      <c r="K630">
        <v>528</v>
      </c>
      <c r="L630">
        <v>494</v>
      </c>
      <c r="M630" t="s">
        <v>39</v>
      </c>
      <c r="N630">
        <v>7</v>
      </c>
      <c r="O630" t="s">
        <v>65</v>
      </c>
      <c r="P630">
        <v>37.799999999999997</v>
      </c>
      <c r="Q630">
        <v>1513</v>
      </c>
      <c r="R630">
        <v>5</v>
      </c>
      <c r="S630">
        <v>3</v>
      </c>
      <c r="T630" t="s">
        <v>47</v>
      </c>
      <c r="U630" t="s">
        <v>38</v>
      </c>
      <c r="V630">
        <v>148099</v>
      </c>
      <c r="W630">
        <v>3.9</v>
      </c>
      <c r="X630">
        <v>6</v>
      </c>
      <c r="Y630" t="s">
        <v>43</v>
      </c>
      <c r="Z630">
        <v>3.28</v>
      </c>
      <c r="AA630" t="s">
        <v>35</v>
      </c>
    </row>
    <row r="631" spans="1:27" x14ac:dyDescent="0.3">
      <c r="A631" t="s">
        <v>71</v>
      </c>
      <c r="B631" t="s">
        <v>75</v>
      </c>
      <c r="C631">
        <v>2025</v>
      </c>
      <c r="D631" t="s">
        <v>50</v>
      </c>
      <c r="E631">
        <v>87159.360000000001</v>
      </c>
      <c r="F631">
        <v>101.7</v>
      </c>
      <c r="G631">
        <v>351</v>
      </c>
      <c r="H631">
        <v>140.4</v>
      </c>
      <c r="I631">
        <v>4.3499999999999996</v>
      </c>
      <c r="J631">
        <v>183</v>
      </c>
      <c r="K631">
        <v>986</v>
      </c>
      <c r="L631">
        <v>946</v>
      </c>
      <c r="M631" t="s">
        <v>30</v>
      </c>
      <c r="N631">
        <v>5</v>
      </c>
      <c r="O631" t="s">
        <v>31</v>
      </c>
      <c r="P631">
        <v>68.2</v>
      </c>
      <c r="Q631">
        <v>2527</v>
      </c>
      <c r="R631">
        <v>3</v>
      </c>
      <c r="S631">
        <v>1</v>
      </c>
      <c r="T631" t="s">
        <v>73</v>
      </c>
      <c r="U631" t="s">
        <v>38</v>
      </c>
      <c r="V631">
        <v>204628</v>
      </c>
      <c r="W631">
        <v>3.6</v>
      </c>
      <c r="X631">
        <v>3</v>
      </c>
      <c r="Y631" t="s">
        <v>43</v>
      </c>
      <c r="Z631">
        <v>3.45</v>
      </c>
      <c r="AA631" t="s">
        <v>35</v>
      </c>
    </row>
    <row r="632" spans="1:27" x14ac:dyDescent="0.3">
      <c r="A632" t="s">
        <v>44</v>
      </c>
      <c r="B632" t="s">
        <v>109</v>
      </c>
      <c r="C632">
        <v>2021</v>
      </c>
      <c r="D632" t="s">
        <v>68</v>
      </c>
      <c r="E632">
        <v>44183.28</v>
      </c>
      <c r="F632">
        <v>58.8</v>
      </c>
      <c r="G632">
        <v>207</v>
      </c>
      <c r="H632">
        <v>105</v>
      </c>
      <c r="I632">
        <v>5.23</v>
      </c>
      <c r="J632">
        <v>169</v>
      </c>
      <c r="K632">
        <v>449</v>
      </c>
      <c r="L632">
        <v>443</v>
      </c>
      <c r="M632" t="s">
        <v>54</v>
      </c>
      <c r="N632">
        <v>5</v>
      </c>
      <c r="O632" t="s">
        <v>46</v>
      </c>
      <c r="P632">
        <v>64.7</v>
      </c>
      <c r="Q632">
        <v>1615</v>
      </c>
      <c r="R632">
        <v>5</v>
      </c>
      <c r="S632">
        <v>0</v>
      </c>
      <c r="T632" t="s">
        <v>47</v>
      </c>
      <c r="U632" t="s">
        <v>42</v>
      </c>
      <c r="V632">
        <v>22786</v>
      </c>
      <c r="W632">
        <v>3.5</v>
      </c>
      <c r="X632">
        <v>4</v>
      </c>
      <c r="Y632" t="s">
        <v>43</v>
      </c>
      <c r="Z632">
        <v>3.52</v>
      </c>
      <c r="AA632" t="s">
        <v>35</v>
      </c>
    </row>
    <row r="633" spans="1:27" x14ac:dyDescent="0.3">
      <c r="A633" t="s">
        <v>94</v>
      </c>
      <c r="B633" t="s">
        <v>116</v>
      </c>
      <c r="C633">
        <v>2023</v>
      </c>
      <c r="D633" t="s">
        <v>68</v>
      </c>
      <c r="E633">
        <v>63313.85</v>
      </c>
      <c r="F633">
        <v>56.2</v>
      </c>
      <c r="G633">
        <v>189</v>
      </c>
      <c r="H633">
        <v>110</v>
      </c>
      <c r="I633">
        <v>6.71</v>
      </c>
      <c r="J633">
        <v>138</v>
      </c>
      <c r="K633">
        <v>298</v>
      </c>
      <c r="L633">
        <v>281</v>
      </c>
      <c r="M633" t="s">
        <v>30</v>
      </c>
      <c r="N633">
        <v>5</v>
      </c>
      <c r="O633" t="s">
        <v>46</v>
      </c>
      <c r="P633">
        <v>72.2</v>
      </c>
      <c r="Q633">
        <v>1632</v>
      </c>
      <c r="R633">
        <v>4</v>
      </c>
      <c r="S633">
        <v>1</v>
      </c>
      <c r="T633" t="s">
        <v>32</v>
      </c>
      <c r="U633" t="s">
        <v>42</v>
      </c>
      <c r="V633">
        <v>25175</v>
      </c>
      <c r="W633">
        <v>3.3</v>
      </c>
      <c r="X633">
        <v>6</v>
      </c>
      <c r="Y633" t="s">
        <v>43</v>
      </c>
      <c r="Z633">
        <v>3.36</v>
      </c>
      <c r="AA633" t="s">
        <v>35</v>
      </c>
    </row>
    <row r="634" spans="1:27" x14ac:dyDescent="0.3">
      <c r="A634" t="s">
        <v>76</v>
      </c>
      <c r="B634" t="s">
        <v>77</v>
      </c>
      <c r="C634">
        <v>2024</v>
      </c>
      <c r="D634" t="s">
        <v>50</v>
      </c>
      <c r="E634">
        <v>90974.8</v>
      </c>
      <c r="F634">
        <v>80.400000000000006</v>
      </c>
      <c r="G634">
        <v>296</v>
      </c>
      <c r="H634">
        <v>119.4</v>
      </c>
      <c r="I634">
        <v>4.7</v>
      </c>
      <c r="J634">
        <v>179</v>
      </c>
      <c r="K634">
        <v>1000</v>
      </c>
      <c r="L634">
        <v>923</v>
      </c>
      <c r="M634" t="s">
        <v>39</v>
      </c>
      <c r="N634">
        <v>7</v>
      </c>
      <c r="O634" t="s">
        <v>46</v>
      </c>
      <c r="P634">
        <v>72.599999999999994</v>
      </c>
      <c r="Q634">
        <v>1741</v>
      </c>
      <c r="R634">
        <v>4</v>
      </c>
      <c r="S634">
        <v>0</v>
      </c>
      <c r="T634" t="s">
        <v>51</v>
      </c>
      <c r="U634" t="s">
        <v>38</v>
      </c>
      <c r="V634">
        <v>59668</v>
      </c>
      <c r="W634">
        <v>3.9</v>
      </c>
      <c r="X634">
        <v>3</v>
      </c>
      <c r="Y634" t="s">
        <v>43</v>
      </c>
      <c r="Z634">
        <v>3.68</v>
      </c>
      <c r="AA634" t="s">
        <v>35</v>
      </c>
    </row>
    <row r="635" spans="1:27" x14ac:dyDescent="0.3">
      <c r="A635" t="s">
        <v>76</v>
      </c>
      <c r="B635" t="s">
        <v>114</v>
      </c>
      <c r="C635">
        <v>2022</v>
      </c>
      <c r="D635" t="s">
        <v>29</v>
      </c>
      <c r="E635">
        <v>81725.25</v>
      </c>
      <c r="F635">
        <v>71.7</v>
      </c>
      <c r="G635">
        <v>234</v>
      </c>
      <c r="H635">
        <v>189.2</v>
      </c>
      <c r="I635">
        <v>3.79</v>
      </c>
      <c r="J635">
        <v>197</v>
      </c>
      <c r="K635">
        <v>1000</v>
      </c>
      <c r="L635">
        <v>888</v>
      </c>
      <c r="M635" t="s">
        <v>30</v>
      </c>
      <c r="N635">
        <v>5</v>
      </c>
      <c r="O635" t="s">
        <v>65</v>
      </c>
      <c r="P635">
        <v>37</v>
      </c>
      <c r="Q635">
        <v>1500</v>
      </c>
      <c r="R635">
        <v>5</v>
      </c>
      <c r="S635">
        <v>1</v>
      </c>
      <c r="T635" t="s">
        <v>51</v>
      </c>
      <c r="U635" t="s">
        <v>38</v>
      </c>
      <c r="V635">
        <v>72070</v>
      </c>
      <c r="W635">
        <v>3.5</v>
      </c>
      <c r="X635">
        <v>4</v>
      </c>
      <c r="Y635" t="s">
        <v>34</v>
      </c>
      <c r="Z635">
        <v>3.26</v>
      </c>
      <c r="AA635" t="s">
        <v>35</v>
      </c>
    </row>
    <row r="636" spans="1:27" x14ac:dyDescent="0.3">
      <c r="A636" t="s">
        <v>52</v>
      </c>
      <c r="B636" t="s">
        <v>55</v>
      </c>
      <c r="C636">
        <v>2025</v>
      </c>
      <c r="D636" t="s">
        <v>50</v>
      </c>
      <c r="E636">
        <v>64135.13</v>
      </c>
      <c r="F636">
        <v>97.7</v>
      </c>
      <c r="G636">
        <v>359</v>
      </c>
      <c r="H636">
        <v>226.7</v>
      </c>
      <c r="I636">
        <v>5.4</v>
      </c>
      <c r="J636">
        <v>171</v>
      </c>
      <c r="K636">
        <v>471</v>
      </c>
      <c r="L636">
        <v>372</v>
      </c>
      <c r="M636" t="s">
        <v>54</v>
      </c>
      <c r="N636">
        <v>5</v>
      </c>
      <c r="O636" t="s">
        <v>56</v>
      </c>
      <c r="P636">
        <v>37.5</v>
      </c>
      <c r="Q636">
        <v>1742</v>
      </c>
      <c r="R636">
        <v>4</v>
      </c>
      <c r="S636">
        <v>3</v>
      </c>
      <c r="T636" t="s">
        <v>47</v>
      </c>
      <c r="U636" t="s">
        <v>42</v>
      </c>
      <c r="V636">
        <v>427732</v>
      </c>
      <c r="W636">
        <v>4.2</v>
      </c>
      <c r="X636">
        <v>4</v>
      </c>
      <c r="Y636" t="s">
        <v>43</v>
      </c>
      <c r="Z636">
        <v>3.67</v>
      </c>
      <c r="AA636" t="s">
        <v>35</v>
      </c>
    </row>
    <row r="637" spans="1:27" x14ac:dyDescent="0.3">
      <c r="A637" t="s">
        <v>27</v>
      </c>
      <c r="B637" t="s">
        <v>78</v>
      </c>
      <c r="C637">
        <v>2025</v>
      </c>
      <c r="D637" t="s">
        <v>29</v>
      </c>
      <c r="E637">
        <v>91483.89</v>
      </c>
      <c r="F637">
        <v>74.2</v>
      </c>
      <c r="G637">
        <v>246</v>
      </c>
      <c r="H637">
        <v>206.1</v>
      </c>
      <c r="I637">
        <v>3.02</v>
      </c>
      <c r="J637">
        <v>199</v>
      </c>
      <c r="K637">
        <v>1000</v>
      </c>
      <c r="L637">
        <v>891</v>
      </c>
      <c r="M637" t="s">
        <v>30</v>
      </c>
      <c r="N637">
        <v>5</v>
      </c>
      <c r="O637" t="s">
        <v>57</v>
      </c>
      <c r="P637">
        <v>37.299999999999997</v>
      </c>
      <c r="Q637">
        <v>1500</v>
      </c>
      <c r="R637">
        <v>4</v>
      </c>
      <c r="S637">
        <v>1</v>
      </c>
      <c r="T637" t="s">
        <v>32</v>
      </c>
      <c r="U637" t="s">
        <v>38</v>
      </c>
      <c r="V637">
        <v>206750</v>
      </c>
      <c r="W637">
        <v>3.6</v>
      </c>
      <c r="X637">
        <v>3</v>
      </c>
      <c r="Y637" t="s">
        <v>34</v>
      </c>
      <c r="Z637">
        <v>3.32</v>
      </c>
      <c r="AA637" t="s">
        <v>35</v>
      </c>
    </row>
    <row r="638" spans="1:27" x14ac:dyDescent="0.3">
      <c r="A638" t="s">
        <v>76</v>
      </c>
      <c r="B638" t="s">
        <v>117</v>
      </c>
      <c r="C638">
        <v>2024</v>
      </c>
      <c r="D638" t="s">
        <v>38</v>
      </c>
      <c r="E638">
        <v>40685.58</v>
      </c>
      <c r="F638">
        <v>66.5</v>
      </c>
      <c r="G638">
        <v>247</v>
      </c>
      <c r="H638">
        <v>65</v>
      </c>
      <c r="I638">
        <v>6.33</v>
      </c>
      <c r="J638">
        <v>159</v>
      </c>
      <c r="K638">
        <v>381</v>
      </c>
      <c r="L638">
        <v>313</v>
      </c>
      <c r="M638" t="s">
        <v>30</v>
      </c>
      <c r="N638">
        <v>7</v>
      </c>
      <c r="O638" t="s">
        <v>56</v>
      </c>
      <c r="P638">
        <v>18.5</v>
      </c>
      <c r="Q638">
        <v>1548</v>
      </c>
      <c r="R638">
        <v>5</v>
      </c>
      <c r="S638">
        <v>0</v>
      </c>
      <c r="T638" t="s">
        <v>51</v>
      </c>
      <c r="U638" t="s">
        <v>42</v>
      </c>
      <c r="V638">
        <v>143645</v>
      </c>
      <c r="W638">
        <v>3.4</v>
      </c>
      <c r="X638">
        <v>4</v>
      </c>
      <c r="Y638" t="s">
        <v>43</v>
      </c>
      <c r="Z638">
        <v>3.71</v>
      </c>
      <c r="AA638" t="s">
        <v>35</v>
      </c>
    </row>
    <row r="639" spans="1:27" x14ac:dyDescent="0.3">
      <c r="A639" t="s">
        <v>71</v>
      </c>
      <c r="B639" t="s">
        <v>104</v>
      </c>
      <c r="C639">
        <v>2025</v>
      </c>
      <c r="D639" t="s">
        <v>63</v>
      </c>
      <c r="E639">
        <v>52144.09</v>
      </c>
      <c r="F639">
        <v>43.5</v>
      </c>
      <c r="G639">
        <v>150</v>
      </c>
      <c r="H639">
        <v>82.6</v>
      </c>
      <c r="I639">
        <v>5.1100000000000003</v>
      </c>
      <c r="J639">
        <v>178</v>
      </c>
      <c r="K639">
        <v>572</v>
      </c>
      <c r="L639">
        <v>578</v>
      </c>
      <c r="M639" t="s">
        <v>39</v>
      </c>
      <c r="N639">
        <v>7</v>
      </c>
      <c r="O639" t="s">
        <v>56</v>
      </c>
      <c r="P639">
        <v>15.2</v>
      </c>
      <c r="Q639">
        <v>1600</v>
      </c>
      <c r="R639">
        <v>4</v>
      </c>
      <c r="S639">
        <v>0</v>
      </c>
      <c r="T639" t="s">
        <v>73</v>
      </c>
      <c r="U639" t="s">
        <v>42</v>
      </c>
      <c r="V639">
        <v>212512</v>
      </c>
      <c r="W639">
        <v>3.1</v>
      </c>
      <c r="X639">
        <v>3</v>
      </c>
      <c r="Y639" t="s">
        <v>43</v>
      </c>
      <c r="Z639">
        <v>3.45</v>
      </c>
      <c r="AA639" t="s">
        <v>35</v>
      </c>
    </row>
    <row r="640" spans="1:27" x14ac:dyDescent="0.3">
      <c r="A640" t="s">
        <v>71</v>
      </c>
      <c r="B640" t="s">
        <v>81</v>
      </c>
      <c r="C640">
        <v>2024</v>
      </c>
      <c r="D640" t="s">
        <v>63</v>
      </c>
      <c r="E640">
        <v>73962.429999999993</v>
      </c>
      <c r="F640">
        <v>41.7</v>
      </c>
      <c r="G640">
        <v>163</v>
      </c>
      <c r="H640">
        <v>108.8</v>
      </c>
      <c r="I640">
        <v>5.83</v>
      </c>
      <c r="J640">
        <v>163</v>
      </c>
      <c r="K640">
        <v>867</v>
      </c>
      <c r="L640">
        <v>753</v>
      </c>
      <c r="M640" t="s">
        <v>54</v>
      </c>
      <c r="N640">
        <v>5</v>
      </c>
      <c r="O640" t="s">
        <v>65</v>
      </c>
      <c r="P640">
        <v>18.399999999999999</v>
      </c>
      <c r="Q640">
        <v>1597</v>
      </c>
      <c r="R640">
        <v>5</v>
      </c>
      <c r="S640">
        <v>0</v>
      </c>
      <c r="T640" t="s">
        <v>73</v>
      </c>
      <c r="U640" t="s">
        <v>38</v>
      </c>
      <c r="V640">
        <v>121424</v>
      </c>
      <c r="W640">
        <v>3.3</v>
      </c>
      <c r="X640">
        <v>3</v>
      </c>
      <c r="Y640" t="s">
        <v>43</v>
      </c>
      <c r="Z640">
        <v>3.91</v>
      </c>
      <c r="AA640" t="s">
        <v>35</v>
      </c>
    </row>
    <row r="641" spans="1:27" x14ac:dyDescent="0.3">
      <c r="A641" t="s">
        <v>27</v>
      </c>
      <c r="B641" t="s">
        <v>82</v>
      </c>
      <c r="C641">
        <v>2023</v>
      </c>
      <c r="D641" t="s">
        <v>29</v>
      </c>
      <c r="E641">
        <v>62312.34</v>
      </c>
      <c r="F641">
        <v>116.7</v>
      </c>
      <c r="G641">
        <v>420</v>
      </c>
      <c r="H641">
        <v>160.5</v>
      </c>
      <c r="I641">
        <v>4.17</v>
      </c>
      <c r="J641">
        <v>191</v>
      </c>
      <c r="K641">
        <v>574</v>
      </c>
      <c r="L641">
        <v>499</v>
      </c>
      <c r="M641" t="s">
        <v>39</v>
      </c>
      <c r="N641">
        <v>7</v>
      </c>
      <c r="O641" t="s">
        <v>65</v>
      </c>
      <c r="P641">
        <v>30.5</v>
      </c>
      <c r="Q641">
        <v>1792</v>
      </c>
      <c r="R641">
        <v>4</v>
      </c>
      <c r="S641">
        <v>0</v>
      </c>
      <c r="T641" t="s">
        <v>32</v>
      </c>
      <c r="U641" t="s">
        <v>42</v>
      </c>
      <c r="V641">
        <v>298301</v>
      </c>
      <c r="W641">
        <v>3.6</v>
      </c>
      <c r="X641">
        <v>3</v>
      </c>
      <c r="Y641" t="s">
        <v>43</v>
      </c>
      <c r="Z641">
        <v>3.6</v>
      </c>
      <c r="AA641" t="s">
        <v>35</v>
      </c>
    </row>
    <row r="642" spans="1:27" x14ac:dyDescent="0.3">
      <c r="A642" t="s">
        <v>52</v>
      </c>
      <c r="B642" t="s">
        <v>53</v>
      </c>
      <c r="C642">
        <v>2024</v>
      </c>
      <c r="D642" t="s">
        <v>50</v>
      </c>
      <c r="E642">
        <v>73678.259999999995</v>
      </c>
      <c r="F642">
        <v>106.1</v>
      </c>
      <c r="G642">
        <v>370</v>
      </c>
      <c r="H642">
        <v>204.7</v>
      </c>
      <c r="I642">
        <v>4.74</v>
      </c>
      <c r="J642">
        <v>177</v>
      </c>
      <c r="K642">
        <v>505</v>
      </c>
      <c r="L642">
        <v>433</v>
      </c>
      <c r="M642" t="s">
        <v>54</v>
      </c>
      <c r="N642">
        <v>5</v>
      </c>
      <c r="O642" t="s">
        <v>57</v>
      </c>
      <c r="P642">
        <v>29.7</v>
      </c>
      <c r="Q642">
        <v>1536</v>
      </c>
      <c r="R642">
        <v>5</v>
      </c>
      <c r="S642">
        <v>2</v>
      </c>
      <c r="T642" t="s">
        <v>47</v>
      </c>
      <c r="U642" t="s">
        <v>38</v>
      </c>
      <c r="V642">
        <v>201869</v>
      </c>
      <c r="W642">
        <v>4</v>
      </c>
      <c r="X642">
        <v>5</v>
      </c>
      <c r="Y642" t="s">
        <v>43</v>
      </c>
      <c r="Z642">
        <v>3.49</v>
      </c>
      <c r="AA642" t="s">
        <v>35</v>
      </c>
    </row>
    <row r="643" spans="1:27" x14ac:dyDescent="0.3">
      <c r="A643" t="s">
        <v>71</v>
      </c>
      <c r="B643" t="s">
        <v>90</v>
      </c>
      <c r="C643">
        <v>2021</v>
      </c>
      <c r="D643" t="s">
        <v>38</v>
      </c>
      <c r="E643">
        <v>32842.629999999997</v>
      </c>
      <c r="F643">
        <v>55.1</v>
      </c>
      <c r="G643">
        <v>180</v>
      </c>
      <c r="H643">
        <v>131</v>
      </c>
      <c r="I643">
        <v>7.28</v>
      </c>
      <c r="J643">
        <v>139</v>
      </c>
      <c r="K643">
        <v>415</v>
      </c>
      <c r="L643">
        <v>337</v>
      </c>
      <c r="M643" t="s">
        <v>30</v>
      </c>
      <c r="N643">
        <v>5</v>
      </c>
      <c r="O643" t="s">
        <v>40</v>
      </c>
      <c r="P643">
        <v>55.1</v>
      </c>
      <c r="Q643">
        <v>2155</v>
      </c>
      <c r="R643">
        <v>4</v>
      </c>
      <c r="S643">
        <v>1</v>
      </c>
      <c r="T643" t="s">
        <v>73</v>
      </c>
      <c r="U643" t="s">
        <v>74</v>
      </c>
      <c r="V643">
        <v>173134</v>
      </c>
      <c r="W643">
        <v>3.1</v>
      </c>
      <c r="X643">
        <v>4</v>
      </c>
      <c r="Y643" t="s">
        <v>61</v>
      </c>
      <c r="Z643">
        <v>3.27</v>
      </c>
      <c r="AA643" t="s">
        <v>35</v>
      </c>
    </row>
    <row r="644" spans="1:27" x14ac:dyDescent="0.3">
      <c r="A644" t="s">
        <v>71</v>
      </c>
      <c r="B644" t="s">
        <v>75</v>
      </c>
      <c r="C644">
        <v>2023</v>
      </c>
      <c r="D644" t="s">
        <v>29</v>
      </c>
      <c r="E644">
        <v>62874.95</v>
      </c>
      <c r="F644">
        <v>71.7</v>
      </c>
      <c r="G644">
        <v>262</v>
      </c>
      <c r="H644">
        <v>179.3</v>
      </c>
      <c r="I644">
        <v>3.15</v>
      </c>
      <c r="J644">
        <v>200</v>
      </c>
      <c r="K644">
        <v>691</v>
      </c>
      <c r="L644">
        <v>603</v>
      </c>
      <c r="M644" t="s">
        <v>54</v>
      </c>
      <c r="N644">
        <v>5</v>
      </c>
      <c r="O644" t="s">
        <v>65</v>
      </c>
      <c r="P644">
        <v>38.9</v>
      </c>
      <c r="Q644">
        <v>1665</v>
      </c>
      <c r="R644">
        <v>4</v>
      </c>
      <c r="S644">
        <v>0</v>
      </c>
      <c r="T644" t="s">
        <v>73</v>
      </c>
      <c r="U644" t="s">
        <v>42</v>
      </c>
      <c r="V644">
        <v>207361</v>
      </c>
      <c r="W644">
        <v>3.7</v>
      </c>
      <c r="X644">
        <v>4</v>
      </c>
      <c r="Y644" t="s">
        <v>34</v>
      </c>
      <c r="Z644">
        <v>3.65</v>
      </c>
      <c r="AA644" t="s">
        <v>35</v>
      </c>
    </row>
    <row r="645" spans="1:27" x14ac:dyDescent="0.3">
      <c r="A645" t="s">
        <v>71</v>
      </c>
      <c r="B645" t="s">
        <v>75</v>
      </c>
      <c r="C645">
        <v>2022</v>
      </c>
      <c r="D645" t="s">
        <v>38</v>
      </c>
      <c r="E645">
        <v>107436.09</v>
      </c>
      <c r="F645">
        <v>65.7</v>
      </c>
      <c r="G645">
        <v>255</v>
      </c>
      <c r="H645">
        <v>124.5</v>
      </c>
      <c r="I645">
        <v>7.71</v>
      </c>
      <c r="J645">
        <v>137</v>
      </c>
      <c r="K645">
        <v>1000</v>
      </c>
      <c r="L645">
        <v>899</v>
      </c>
      <c r="M645" t="s">
        <v>54</v>
      </c>
      <c r="N645">
        <v>5</v>
      </c>
      <c r="O645" t="s">
        <v>40</v>
      </c>
      <c r="P645">
        <v>37.799999999999997</v>
      </c>
      <c r="Q645">
        <v>1887</v>
      </c>
      <c r="R645">
        <v>5</v>
      </c>
      <c r="S645">
        <v>1</v>
      </c>
      <c r="T645" t="s">
        <v>73</v>
      </c>
      <c r="U645" t="s">
        <v>33</v>
      </c>
      <c r="V645">
        <v>201045</v>
      </c>
      <c r="W645">
        <v>3.6</v>
      </c>
      <c r="X645">
        <v>3</v>
      </c>
      <c r="Y645" t="s">
        <v>61</v>
      </c>
      <c r="Z645">
        <v>3.88</v>
      </c>
      <c r="AA645" t="s">
        <v>35</v>
      </c>
    </row>
    <row r="646" spans="1:27" x14ac:dyDescent="0.3">
      <c r="A646" t="s">
        <v>52</v>
      </c>
      <c r="B646" t="s">
        <v>53</v>
      </c>
      <c r="C646">
        <v>2025</v>
      </c>
      <c r="D646" t="s">
        <v>38</v>
      </c>
      <c r="E646">
        <v>154568.94</v>
      </c>
      <c r="F646">
        <v>68</v>
      </c>
      <c r="G646">
        <v>235</v>
      </c>
      <c r="H646">
        <v>285.7</v>
      </c>
      <c r="I646">
        <v>5.0199999999999996</v>
      </c>
      <c r="J646">
        <v>170</v>
      </c>
      <c r="K646">
        <v>1000</v>
      </c>
      <c r="L646">
        <v>937</v>
      </c>
      <c r="M646" t="s">
        <v>54</v>
      </c>
      <c r="N646">
        <v>5</v>
      </c>
      <c r="O646" t="s">
        <v>57</v>
      </c>
      <c r="P646">
        <v>21.2</v>
      </c>
      <c r="Q646">
        <v>1756</v>
      </c>
      <c r="R646">
        <v>5</v>
      </c>
      <c r="S646">
        <v>3</v>
      </c>
      <c r="T646" t="s">
        <v>47</v>
      </c>
      <c r="U646" t="s">
        <v>33</v>
      </c>
      <c r="V646">
        <v>245844</v>
      </c>
      <c r="W646">
        <v>3.7</v>
      </c>
      <c r="X646">
        <v>5</v>
      </c>
      <c r="Y646" t="s">
        <v>43</v>
      </c>
      <c r="Z646">
        <v>3.46</v>
      </c>
      <c r="AA646" t="s">
        <v>35</v>
      </c>
    </row>
    <row r="647" spans="1:27" x14ac:dyDescent="0.3">
      <c r="A647" t="s">
        <v>94</v>
      </c>
      <c r="B647" t="s">
        <v>116</v>
      </c>
      <c r="C647">
        <v>2024</v>
      </c>
      <c r="D647" t="s">
        <v>68</v>
      </c>
      <c r="E647">
        <v>62074.39</v>
      </c>
      <c r="F647">
        <v>65.3</v>
      </c>
      <c r="G647">
        <v>236</v>
      </c>
      <c r="H647">
        <v>53.7</v>
      </c>
      <c r="I647">
        <v>5.78</v>
      </c>
      <c r="J647">
        <v>160</v>
      </c>
      <c r="K647">
        <v>256</v>
      </c>
      <c r="L647">
        <v>256</v>
      </c>
      <c r="M647" t="s">
        <v>54</v>
      </c>
      <c r="N647">
        <v>7</v>
      </c>
      <c r="O647" t="s">
        <v>40</v>
      </c>
      <c r="P647">
        <v>53.4</v>
      </c>
      <c r="Q647">
        <v>2242</v>
      </c>
      <c r="R647">
        <v>5</v>
      </c>
      <c r="S647">
        <v>2</v>
      </c>
      <c r="T647" t="s">
        <v>32</v>
      </c>
      <c r="U647" t="s">
        <v>42</v>
      </c>
      <c r="V647">
        <v>41240</v>
      </c>
      <c r="W647">
        <v>3.5</v>
      </c>
      <c r="X647">
        <v>8</v>
      </c>
      <c r="Y647" t="s">
        <v>43</v>
      </c>
      <c r="Z647">
        <v>3.61</v>
      </c>
      <c r="AA647" t="s">
        <v>35</v>
      </c>
    </row>
    <row r="648" spans="1:27" x14ac:dyDescent="0.3">
      <c r="A648" t="s">
        <v>48</v>
      </c>
      <c r="B648" t="s">
        <v>123</v>
      </c>
      <c r="C648">
        <v>2024</v>
      </c>
      <c r="D648" t="s">
        <v>29</v>
      </c>
      <c r="E648">
        <v>68316.17</v>
      </c>
      <c r="F648">
        <v>76.400000000000006</v>
      </c>
      <c r="G648">
        <v>262</v>
      </c>
      <c r="H648">
        <v>155.30000000000001</v>
      </c>
      <c r="I648">
        <v>3.88</v>
      </c>
      <c r="J648">
        <v>189</v>
      </c>
      <c r="K648">
        <v>785</v>
      </c>
      <c r="L648">
        <v>658</v>
      </c>
      <c r="M648" t="s">
        <v>54</v>
      </c>
      <c r="N648">
        <v>7</v>
      </c>
      <c r="O648" t="s">
        <v>56</v>
      </c>
      <c r="P648">
        <v>23.8</v>
      </c>
      <c r="Q648">
        <v>1907</v>
      </c>
      <c r="R648">
        <v>4</v>
      </c>
      <c r="S648">
        <v>2</v>
      </c>
      <c r="T648" t="s">
        <v>51</v>
      </c>
      <c r="U648" t="s">
        <v>38</v>
      </c>
      <c r="V648">
        <v>86275</v>
      </c>
      <c r="W648">
        <v>3.6</v>
      </c>
      <c r="X648">
        <v>3</v>
      </c>
      <c r="Y648" t="s">
        <v>34</v>
      </c>
      <c r="Z648">
        <v>3.43</v>
      </c>
      <c r="AA648" t="s">
        <v>35</v>
      </c>
    </row>
    <row r="649" spans="1:27" x14ac:dyDescent="0.3">
      <c r="A649" t="s">
        <v>91</v>
      </c>
      <c r="B649" t="s">
        <v>112</v>
      </c>
      <c r="C649">
        <v>2023</v>
      </c>
      <c r="D649" t="s">
        <v>63</v>
      </c>
      <c r="E649">
        <v>98461.71</v>
      </c>
      <c r="F649">
        <v>53</v>
      </c>
      <c r="G649">
        <v>185</v>
      </c>
      <c r="H649">
        <v>121</v>
      </c>
      <c r="I649">
        <v>6.84</v>
      </c>
      <c r="J649">
        <v>142</v>
      </c>
      <c r="K649">
        <v>800</v>
      </c>
      <c r="L649">
        <v>752</v>
      </c>
      <c r="M649" t="s">
        <v>39</v>
      </c>
      <c r="N649">
        <v>7</v>
      </c>
      <c r="O649" t="s">
        <v>65</v>
      </c>
      <c r="P649">
        <v>27.3</v>
      </c>
      <c r="Q649">
        <v>1509</v>
      </c>
      <c r="R649">
        <v>5</v>
      </c>
      <c r="S649">
        <v>2</v>
      </c>
      <c r="T649" t="s">
        <v>32</v>
      </c>
      <c r="U649" t="s">
        <v>38</v>
      </c>
      <c r="V649">
        <v>22686</v>
      </c>
      <c r="W649">
        <v>3</v>
      </c>
      <c r="X649">
        <v>7</v>
      </c>
      <c r="Y649" t="s">
        <v>43</v>
      </c>
      <c r="Z649">
        <v>3.49</v>
      </c>
      <c r="AA649" t="s">
        <v>35</v>
      </c>
    </row>
    <row r="650" spans="1:27" x14ac:dyDescent="0.3">
      <c r="A650" t="s">
        <v>84</v>
      </c>
      <c r="B650" t="s">
        <v>85</v>
      </c>
      <c r="C650">
        <v>2023</v>
      </c>
      <c r="D650" t="s">
        <v>38</v>
      </c>
      <c r="E650">
        <v>61500.69</v>
      </c>
      <c r="F650">
        <v>61.2</v>
      </c>
      <c r="G650">
        <v>209</v>
      </c>
      <c r="H650">
        <v>73</v>
      </c>
      <c r="I650">
        <v>6.01</v>
      </c>
      <c r="J650">
        <v>154</v>
      </c>
      <c r="K650">
        <v>616</v>
      </c>
      <c r="L650">
        <v>524</v>
      </c>
      <c r="M650" t="s">
        <v>30</v>
      </c>
      <c r="N650">
        <v>7</v>
      </c>
      <c r="O650" t="s">
        <v>65</v>
      </c>
      <c r="P650">
        <v>15.4</v>
      </c>
      <c r="Q650">
        <v>1576</v>
      </c>
      <c r="R650">
        <v>5</v>
      </c>
      <c r="S650">
        <v>1</v>
      </c>
      <c r="T650" t="s">
        <v>47</v>
      </c>
      <c r="U650" t="s">
        <v>42</v>
      </c>
      <c r="V650">
        <v>52208</v>
      </c>
      <c r="W650">
        <v>3.4</v>
      </c>
      <c r="X650">
        <v>4</v>
      </c>
      <c r="Y650" t="s">
        <v>43</v>
      </c>
      <c r="Z650">
        <v>3.42</v>
      </c>
      <c r="AA650" t="s">
        <v>35</v>
      </c>
    </row>
    <row r="651" spans="1:27" x14ac:dyDescent="0.3">
      <c r="A651" t="s">
        <v>76</v>
      </c>
      <c r="B651" t="s">
        <v>87</v>
      </c>
      <c r="C651">
        <v>2024</v>
      </c>
      <c r="D651" t="s">
        <v>68</v>
      </c>
      <c r="E651">
        <v>60164.53</v>
      </c>
      <c r="F651">
        <v>53.1</v>
      </c>
      <c r="G651">
        <v>185</v>
      </c>
      <c r="H651">
        <v>61.2</v>
      </c>
      <c r="I651">
        <v>7.06</v>
      </c>
      <c r="J651">
        <v>146</v>
      </c>
      <c r="K651">
        <v>673</v>
      </c>
      <c r="L651">
        <v>592</v>
      </c>
      <c r="M651" t="s">
        <v>39</v>
      </c>
      <c r="N651">
        <v>7</v>
      </c>
      <c r="O651" t="s">
        <v>40</v>
      </c>
      <c r="P651">
        <v>41.7</v>
      </c>
      <c r="Q651">
        <v>1827</v>
      </c>
      <c r="R651">
        <v>5</v>
      </c>
      <c r="S651">
        <v>1</v>
      </c>
      <c r="T651" t="s">
        <v>51</v>
      </c>
      <c r="U651" t="s">
        <v>42</v>
      </c>
      <c r="V651">
        <v>85467</v>
      </c>
      <c r="W651">
        <v>3.3</v>
      </c>
      <c r="X651">
        <v>5</v>
      </c>
      <c r="Y651" t="s">
        <v>61</v>
      </c>
      <c r="Z651">
        <v>3.48</v>
      </c>
      <c r="AA651" t="s">
        <v>35</v>
      </c>
    </row>
    <row r="652" spans="1:27" x14ac:dyDescent="0.3">
      <c r="A652" t="s">
        <v>52</v>
      </c>
      <c r="B652" t="s">
        <v>53</v>
      </c>
      <c r="C652">
        <v>2023</v>
      </c>
      <c r="D652" t="s">
        <v>68</v>
      </c>
      <c r="E652">
        <v>123171.93</v>
      </c>
      <c r="F652">
        <v>71.8</v>
      </c>
      <c r="G652">
        <v>246</v>
      </c>
      <c r="H652">
        <v>208.4</v>
      </c>
      <c r="I652">
        <v>6.3</v>
      </c>
      <c r="J652">
        <v>150</v>
      </c>
      <c r="K652">
        <v>907</v>
      </c>
      <c r="L652">
        <v>860</v>
      </c>
      <c r="M652" t="s">
        <v>39</v>
      </c>
      <c r="N652">
        <v>5</v>
      </c>
      <c r="O652" t="s">
        <v>56</v>
      </c>
      <c r="P652">
        <v>24.7</v>
      </c>
      <c r="Q652">
        <v>1779</v>
      </c>
      <c r="R652">
        <v>4</v>
      </c>
      <c r="S652">
        <v>3</v>
      </c>
      <c r="T652" t="s">
        <v>47</v>
      </c>
      <c r="U652" t="s">
        <v>33</v>
      </c>
      <c r="V652">
        <v>165942</v>
      </c>
      <c r="W652">
        <v>3.7</v>
      </c>
      <c r="X652">
        <v>5</v>
      </c>
      <c r="Y652" t="s">
        <v>43</v>
      </c>
      <c r="Z652">
        <v>3.43</v>
      </c>
      <c r="AA652" t="s">
        <v>35</v>
      </c>
    </row>
    <row r="653" spans="1:27" x14ac:dyDescent="0.3">
      <c r="A653" t="s">
        <v>76</v>
      </c>
      <c r="B653" t="s">
        <v>117</v>
      </c>
      <c r="C653">
        <v>2024</v>
      </c>
      <c r="D653" t="s">
        <v>63</v>
      </c>
      <c r="E653">
        <v>35093.17</v>
      </c>
      <c r="F653">
        <v>77.099999999999994</v>
      </c>
      <c r="G653">
        <v>295</v>
      </c>
      <c r="H653">
        <v>136</v>
      </c>
      <c r="I653">
        <v>7.96</v>
      </c>
      <c r="J653">
        <v>134</v>
      </c>
      <c r="K653">
        <v>249</v>
      </c>
      <c r="L653">
        <v>207</v>
      </c>
      <c r="M653" t="s">
        <v>39</v>
      </c>
      <c r="N653">
        <v>5</v>
      </c>
      <c r="O653" t="s">
        <v>46</v>
      </c>
      <c r="P653">
        <v>65.599999999999994</v>
      </c>
      <c r="Q653">
        <v>1663</v>
      </c>
      <c r="R653">
        <v>4</v>
      </c>
      <c r="S653">
        <v>2</v>
      </c>
      <c r="T653" t="s">
        <v>51</v>
      </c>
      <c r="U653" t="s">
        <v>42</v>
      </c>
      <c r="V653">
        <v>117101</v>
      </c>
      <c r="W653">
        <v>3.5</v>
      </c>
      <c r="X653">
        <v>4</v>
      </c>
      <c r="Y653" t="s">
        <v>61</v>
      </c>
      <c r="Z653">
        <v>3.83</v>
      </c>
      <c r="AA653" t="s">
        <v>35</v>
      </c>
    </row>
    <row r="654" spans="1:27" x14ac:dyDescent="0.3">
      <c r="A654" t="s">
        <v>48</v>
      </c>
      <c r="B654" t="s">
        <v>60</v>
      </c>
      <c r="C654">
        <v>2021</v>
      </c>
      <c r="D654" t="s">
        <v>38</v>
      </c>
      <c r="E654">
        <v>101333.39</v>
      </c>
      <c r="F654">
        <v>70.5</v>
      </c>
      <c r="G654">
        <v>249</v>
      </c>
      <c r="H654">
        <v>104</v>
      </c>
      <c r="I654">
        <v>5.45</v>
      </c>
      <c r="J654">
        <v>170</v>
      </c>
      <c r="K654">
        <v>1000</v>
      </c>
      <c r="L654">
        <v>846</v>
      </c>
      <c r="M654" t="s">
        <v>54</v>
      </c>
      <c r="N654">
        <v>5</v>
      </c>
      <c r="O654" t="s">
        <v>46</v>
      </c>
      <c r="P654">
        <v>71.2</v>
      </c>
      <c r="Q654">
        <v>1660</v>
      </c>
      <c r="R654">
        <v>4</v>
      </c>
      <c r="S654">
        <v>0</v>
      </c>
      <c r="T654" t="s">
        <v>51</v>
      </c>
      <c r="U654" t="s">
        <v>33</v>
      </c>
      <c r="V654">
        <v>89918</v>
      </c>
      <c r="W654">
        <v>3.3</v>
      </c>
      <c r="X654">
        <v>4</v>
      </c>
      <c r="Y654" t="s">
        <v>43</v>
      </c>
      <c r="Z654">
        <v>3.53</v>
      </c>
      <c r="AA654" t="s">
        <v>35</v>
      </c>
    </row>
    <row r="655" spans="1:27" x14ac:dyDescent="0.3">
      <c r="A655" t="s">
        <v>44</v>
      </c>
      <c r="B655" t="s">
        <v>62</v>
      </c>
      <c r="C655">
        <v>2022</v>
      </c>
      <c r="D655" t="s">
        <v>50</v>
      </c>
      <c r="E655">
        <v>54305.64</v>
      </c>
      <c r="F655">
        <v>86.4</v>
      </c>
      <c r="G655">
        <v>289</v>
      </c>
      <c r="H655">
        <v>121.7</v>
      </c>
      <c r="I655">
        <v>5.96</v>
      </c>
      <c r="J655">
        <v>162</v>
      </c>
      <c r="K655">
        <v>669</v>
      </c>
      <c r="L655">
        <v>612</v>
      </c>
      <c r="M655" t="s">
        <v>39</v>
      </c>
      <c r="N655">
        <v>5</v>
      </c>
      <c r="O655" t="s">
        <v>46</v>
      </c>
      <c r="P655">
        <v>66.900000000000006</v>
      </c>
      <c r="Q655">
        <v>1708</v>
      </c>
      <c r="R655">
        <v>5</v>
      </c>
      <c r="S655">
        <v>2</v>
      </c>
      <c r="T655" t="s">
        <v>47</v>
      </c>
      <c r="U655" t="s">
        <v>42</v>
      </c>
      <c r="V655">
        <v>18445</v>
      </c>
      <c r="W655">
        <v>3.6</v>
      </c>
      <c r="X655">
        <v>4</v>
      </c>
      <c r="Y655" t="s">
        <v>43</v>
      </c>
      <c r="Z655">
        <v>3.34</v>
      </c>
      <c r="AA655" t="s">
        <v>43</v>
      </c>
    </row>
    <row r="656" spans="1:27" x14ac:dyDescent="0.3">
      <c r="A656" t="s">
        <v>27</v>
      </c>
      <c r="B656" t="s">
        <v>28</v>
      </c>
      <c r="C656">
        <v>2025</v>
      </c>
      <c r="D656" t="s">
        <v>29</v>
      </c>
      <c r="E656">
        <v>58007.82</v>
      </c>
      <c r="F656">
        <v>105.3</v>
      </c>
      <c r="G656">
        <v>382</v>
      </c>
      <c r="H656">
        <v>246.2</v>
      </c>
      <c r="I656">
        <v>4.21</v>
      </c>
      <c r="J656">
        <v>188</v>
      </c>
      <c r="K656">
        <v>563</v>
      </c>
      <c r="L656">
        <v>492</v>
      </c>
      <c r="M656" t="s">
        <v>54</v>
      </c>
      <c r="N656">
        <v>7</v>
      </c>
      <c r="O656" t="s">
        <v>46</v>
      </c>
      <c r="P656">
        <v>67.8</v>
      </c>
      <c r="Q656">
        <v>1781</v>
      </c>
      <c r="R656">
        <v>3</v>
      </c>
      <c r="S656">
        <v>0</v>
      </c>
      <c r="T656" t="s">
        <v>32</v>
      </c>
      <c r="U656" t="s">
        <v>42</v>
      </c>
      <c r="V656">
        <v>241176</v>
      </c>
      <c r="W656">
        <v>4</v>
      </c>
      <c r="X656">
        <v>3</v>
      </c>
      <c r="Y656" t="s">
        <v>43</v>
      </c>
      <c r="Z656">
        <v>3.63</v>
      </c>
      <c r="AA656" t="s">
        <v>35</v>
      </c>
    </row>
    <row r="657" spans="1:27" x14ac:dyDescent="0.3">
      <c r="A657" t="s">
        <v>52</v>
      </c>
      <c r="B657" t="s">
        <v>80</v>
      </c>
      <c r="C657">
        <v>2024</v>
      </c>
      <c r="D657" t="s">
        <v>29</v>
      </c>
      <c r="E657">
        <v>188964.7</v>
      </c>
      <c r="F657">
        <v>106.8</v>
      </c>
      <c r="G657">
        <v>367</v>
      </c>
      <c r="H657">
        <v>318</v>
      </c>
      <c r="I657">
        <v>4.3499999999999996</v>
      </c>
      <c r="J657">
        <v>193</v>
      </c>
      <c r="K657">
        <v>1000</v>
      </c>
      <c r="L657">
        <v>912</v>
      </c>
      <c r="M657" t="s">
        <v>54</v>
      </c>
      <c r="N657">
        <v>7</v>
      </c>
      <c r="O657" t="s">
        <v>31</v>
      </c>
      <c r="P657">
        <v>67.400000000000006</v>
      </c>
      <c r="Q657">
        <v>2274</v>
      </c>
      <c r="R657">
        <v>4</v>
      </c>
      <c r="S657">
        <v>3</v>
      </c>
      <c r="T657" t="s">
        <v>47</v>
      </c>
      <c r="U657" t="s">
        <v>33</v>
      </c>
      <c r="V657">
        <v>239165</v>
      </c>
      <c r="W657">
        <v>4.3</v>
      </c>
      <c r="X657">
        <v>5</v>
      </c>
      <c r="Y657" t="s">
        <v>43</v>
      </c>
      <c r="Z657">
        <v>3.44</v>
      </c>
      <c r="AA657" t="s">
        <v>35</v>
      </c>
    </row>
    <row r="658" spans="1:27" x14ac:dyDescent="0.3">
      <c r="A658" t="s">
        <v>71</v>
      </c>
      <c r="B658" t="s">
        <v>90</v>
      </c>
      <c r="C658">
        <v>2025</v>
      </c>
      <c r="D658" t="s">
        <v>68</v>
      </c>
      <c r="E658">
        <v>33650.32</v>
      </c>
      <c r="F658">
        <v>63.9</v>
      </c>
      <c r="G658">
        <v>231</v>
      </c>
      <c r="H658">
        <v>79.2</v>
      </c>
      <c r="I658">
        <v>7.37</v>
      </c>
      <c r="J658">
        <v>134</v>
      </c>
      <c r="K658">
        <v>332</v>
      </c>
      <c r="L658">
        <v>340</v>
      </c>
      <c r="M658" t="s">
        <v>30</v>
      </c>
      <c r="N658">
        <v>7</v>
      </c>
      <c r="O658" t="s">
        <v>65</v>
      </c>
      <c r="P658">
        <v>39.5</v>
      </c>
      <c r="Q658">
        <v>1698</v>
      </c>
      <c r="R658">
        <v>4</v>
      </c>
      <c r="S658">
        <v>1</v>
      </c>
      <c r="T658" t="s">
        <v>73</v>
      </c>
      <c r="U658" t="s">
        <v>74</v>
      </c>
      <c r="V658">
        <v>210399</v>
      </c>
      <c r="W658">
        <v>3.6</v>
      </c>
      <c r="X658">
        <v>4</v>
      </c>
      <c r="Y658" t="s">
        <v>61</v>
      </c>
      <c r="Z658">
        <v>3.62</v>
      </c>
      <c r="AA658" t="s">
        <v>35</v>
      </c>
    </row>
    <row r="659" spans="1:27" x14ac:dyDescent="0.3">
      <c r="A659" t="s">
        <v>27</v>
      </c>
      <c r="B659" t="s">
        <v>28</v>
      </c>
      <c r="C659">
        <v>2023</v>
      </c>
      <c r="D659" t="s">
        <v>63</v>
      </c>
      <c r="E659">
        <v>31850.78</v>
      </c>
      <c r="F659">
        <v>51.4</v>
      </c>
      <c r="G659">
        <v>199</v>
      </c>
      <c r="H659">
        <v>81.3</v>
      </c>
      <c r="I659">
        <v>7.1</v>
      </c>
      <c r="J659">
        <v>149</v>
      </c>
      <c r="K659">
        <v>166</v>
      </c>
      <c r="L659">
        <v>200</v>
      </c>
      <c r="M659" t="s">
        <v>39</v>
      </c>
      <c r="N659">
        <v>5</v>
      </c>
      <c r="O659" t="s">
        <v>65</v>
      </c>
      <c r="P659">
        <v>30.7</v>
      </c>
      <c r="Q659">
        <v>1500</v>
      </c>
      <c r="R659">
        <v>5</v>
      </c>
      <c r="S659">
        <v>0</v>
      </c>
      <c r="T659" t="s">
        <v>32</v>
      </c>
      <c r="U659" t="s">
        <v>74</v>
      </c>
      <c r="V659">
        <v>272903</v>
      </c>
      <c r="W659">
        <v>3.2</v>
      </c>
      <c r="X659">
        <v>3</v>
      </c>
      <c r="Y659" t="s">
        <v>61</v>
      </c>
      <c r="Z659">
        <v>3.87</v>
      </c>
      <c r="AA659" t="s">
        <v>35</v>
      </c>
    </row>
    <row r="660" spans="1:27" x14ac:dyDescent="0.3">
      <c r="A660" t="s">
        <v>91</v>
      </c>
      <c r="B660" t="s">
        <v>112</v>
      </c>
      <c r="C660">
        <v>2026</v>
      </c>
      <c r="D660" t="s">
        <v>68</v>
      </c>
      <c r="E660">
        <v>111337.67</v>
      </c>
      <c r="F660">
        <v>83.1</v>
      </c>
      <c r="G660">
        <v>295</v>
      </c>
      <c r="H660">
        <v>73.5</v>
      </c>
      <c r="I660">
        <v>5.59</v>
      </c>
      <c r="J660">
        <v>167</v>
      </c>
      <c r="K660">
        <v>1000</v>
      </c>
      <c r="L660">
        <v>922</v>
      </c>
      <c r="M660" t="s">
        <v>54</v>
      </c>
      <c r="N660">
        <v>7</v>
      </c>
      <c r="O660" t="s">
        <v>46</v>
      </c>
      <c r="P660">
        <v>66</v>
      </c>
      <c r="Q660">
        <v>1641</v>
      </c>
      <c r="R660">
        <v>4</v>
      </c>
      <c r="S660">
        <v>1</v>
      </c>
      <c r="T660" t="s">
        <v>32</v>
      </c>
      <c r="U660" t="s">
        <v>33</v>
      </c>
      <c r="V660">
        <v>20689</v>
      </c>
      <c r="W660">
        <v>3.7</v>
      </c>
      <c r="X660">
        <v>7</v>
      </c>
      <c r="Y660" t="s">
        <v>43</v>
      </c>
      <c r="Z660">
        <v>3.55</v>
      </c>
      <c r="AA660" t="s">
        <v>35</v>
      </c>
    </row>
    <row r="661" spans="1:27" x14ac:dyDescent="0.3">
      <c r="A661" t="s">
        <v>48</v>
      </c>
      <c r="B661" t="s">
        <v>49</v>
      </c>
      <c r="C661">
        <v>2024</v>
      </c>
      <c r="D661" t="s">
        <v>68</v>
      </c>
      <c r="E661">
        <v>56593.19</v>
      </c>
      <c r="F661">
        <v>56.2</v>
      </c>
      <c r="G661">
        <v>197</v>
      </c>
      <c r="H661">
        <v>62.4</v>
      </c>
      <c r="I661">
        <v>5.24</v>
      </c>
      <c r="J661">
        <v>170</v>
      </c>
      <c r="K661">
        <v>590</v>
      </c>
      <c r="L661">
        <v>549</v>
      </c>
      <c r="M661" t="s">
        <v>54</v>
      </c>
      <c r="N661">
        <v>5</v>
      </c>
      <c r="O661" t="s">
        <v>40</v>
      </c>
      <c r="P661">
        <v>55.4</v>
      </c>
      <c r="Q661">
        <v>2177</v>
      </c>
      <c r="R661">
        <v>4</v>
      </c>
      <c r="S661">
        <v>0</v>
      </c>
      <c r="T661" t="s">
        <v>51</v>
      </c>
      <c r="U661" t="s">
        <v>42</v>
      </c>
      <c r="V661">
        <v>135755</v>
      </c>
      <c r="W661">
        <v>3.3</v>
      </c>
      <c r="X661">
        <v>4</v>
      </c>
      <c r="Y661" t="s">
        <v>43</v>
      </c>
      <c r="Z661">
        <v>3.51</v>
      </c>
      <c r="AA661" t="s">
        <v>35</v>
      </c>
    </row>
    <row r="662" spans="1:27" x14ac:dyDescent="0.3">
      <c r="A662" t="s">
        <v>27</v>
      </c>
      <c r="B662" t="s">
        <v>93</v>
      </c>
      <c r="C662">
        <v>2024</v>
      </c>
      <c r="D662" t="s">
        <v>63</v>
      </c>
      <c r="E662">
        <v>71569.98</v>
      </c>
      <c r="F662">
        <v>57.7</v>
      </c>
      <c r="G662">
        <v>186</v>
      </c>
      <c r="H662">
        <v>144.5</v>
      </c>
      <c r="I662">
        <v>5.62</v>
      </c>
      <c r="J662">
        <v>158</v>
      </c>
      <c r="K662">
        <v>746</v>
      </c>
      <c r="L662">
        <v>669</v>
      </c>
      <c r="M662" t="s">
        <v>54</v>
      </c>
      <c r="N662">
        <v>7</v>
      </c>
      <c r="O662" t="s">
        <v>40</v>
      </c>
      <c r="P662">
        <v>68.2</v>
      </c>
      <c r="Q662">
        <v>2030</v>
      </c>
      <c r="R662">
        <v>5</v>
      </c>
      <c r="S662">
        <v>1</v>
      </c>
      <c r="T662" t="s">
        <v>32</v>
      </c>
      <c r="U662" t="s">
        <v>38</v>
      </c>
      <c r="V662">
        <v>287315</v>
      </c>
      <c r="W662">
        <v>3.2</v>
      </c>
      <c r="X662">
        <v>3</v>
      </c>
      <c r="Y662" t="s">
        <v>43</v>
      </c>
      <c r="Z662">
        <v>3.22</v>
      </c>
      <c r="AA662" t="s">
        <v>35</v>
      </c>
    </row>
    <row r="663" spans="1:27" x14ac:dyDescent="0.3">
      <c r="A663" t="s">
        <v>107</v>
      </c>
      <c r="B663" t="s">
        <v>108</v>
      </c>
      <c r="C663">
        <v>2023</v>
      </c>
      <c r="D663" t="s">
        <v>50</v>
      </c>
      <c r="E663">
        <v>139594.69</v>
      </c>
      <c r="F663">
        <v>75.599999999999994</v>
      </c>
      <c r="G663">
        <v>252</v>
      </c>
      <c r="H663">
        <v>292.5</v>
      </c>
      <c r="I663">
        <v>4.3499999999999996</v>
      </c>
      <c r="J663">
        <v>179</v>
      </c>
      <c r="K663">
        <v>611</v>
      </c>
      <c r="L663">
        <v>473</v>
      </c>
      <c r="M663" t="s">
        <v>39</v>
      </c>
      <c r="N663">
        <v>7</v>
      </c>
      <c r="O663" t="s">
        <v>56</v>
      </c>
      <c r="P663">
        <v>25.3</v>
      </c>
      <c r="Q663">
        <v>1829</v>
      </c>
      <c r="R663">
        <v>3</v>
      </c>
      <c r="S663">
        <v>0</v>
      </c>
      <c r="T663" t="s">
        <v>32</v>
      </c>
      <c r="U663" t="s">
        <v>33</v>
      </c>
      <c r="V663">
        <v>9428</v>
      </c>
      <c r="W663">
        <v>3.6</v>
      </c>
      <c r="X663">
        <v>8</v>
      </c>
      <c r="Y663" t="s">
        <v>43</v>
      </c>
      <c r="Z663">
        <v>3.33</v>
      </c>
      <c r="AA663" t="s">
        <v>43</v>
      </c>
    </row>
    <row r="664" spans="1:27" x14ac:dyDescent="0.3">
      <c r="A664" t="s">
        <v>48</v>
      </c>
      <c r="B664" t="s">
        <v>60</v>
      </c>
      <c r="C664">
        <v>2023</v>
      </c>
      <c r="D664" t="s">
        <v>68</v>
      </c>
      <c r="E664">
        <v>42128.98</v>
      </c>
      <c r="F664">
        <v>66.599999999999994</v>
      </c>
      <c r="G664">
        <v>226</v>
      </c>
      <c r="H664">
        <v>79.400000000000006</v>
      </c>
      <c r="I664">
        <v>6.82</v>
      </c>
      <c r="J664">
        <v>145</v>
      </c>
      <c r="K664">
        <v>371</v>
      </c>
      <c r="L664">
        <v>263</v>
      </c>
      <c r="M664" t="s">
        <v>39</v>
      </c>
      <c r="N664">
        <v>7</v>
      </c>
      <c r="O664" t="s">
        <v>56</v>
      </c>
      <c r="P664">
        <v>33.200000000000003</v>
      </c>
      <c r="Q664">
        <v>1795</v>
      </c>
      <c r="R664">
        <v>4</v>
      </c>
      <c r="S664">
        <v>0</v>
      </c>
      <c r="T664" t="s">
        <v>51</v>
      </c>
      <c r="U664" t="s">
        <v>42</v>
      </c>
      <c r="V664">
        <v>121472</v>
      </c>
      <c r="W664">
        <v>3.2</v>
      </c>
      <c r="X664">
        <v>4</v>
      </c>
      <c r="Y664" t="s">
        <v>43</v>
      </c>
      <c r="Z664">
        <v>3.39</v>
      </c>
      <c r="AA664" t="s">
        <v>35</v>
      </c>
    </row>
    <row r="665" spans="1:27" x14ac:dyDescent="0.3">
      <c r="A665" t="s">
        <v>71</v>
      </c>
      <c r="B665" t="s">
        <v>72</v>
      </c>
      <c r="C665">
        <v>2023</v>
      </c>
      <c r="D665" t="s">
        <v>63</v>
      </c>
      <c r="E665">
        <v>52361.13</v>
      </c>
      <c r="F665">
        <v>60</v>
      </c>
      <c r="G665">
        <v>186</v>
      </c>
      <c r="H665">
        <v>121.5</v>
      </c>
      <c r="I665">
        <v>7.42</v>
      </c>
      <c r="J665">
        <v>142</v>
      </c>
      <c r="K665">
        <v>534</v>
      </c>
      <c r="L665">
        <v>449</v>
      </c>
      <c r="M665" t="s">
        <v>39</v>
      </c>
      <c r="N665">
        <v>7</v>
      </c>
      <c r="O665" t="s">
        <v>56</v>
      </c>
      <c r="P665">
        <v>32.1</v>
      </c>
      <c r="Q665">
        <v>1500</v>
      </c>
      <c r="R665">
        <v>4</v>
      </c>
      <c r="S665">
        <v>0</v>
      </c>
      <c r="T665" t="s">
        <v>73</v>
      </c>
      <c r="U665" t="s">
        <v>42</v>
      </c>
      <c r="V665">
        <v>203886</v>
      </c>
      <c r="W665">
        <v>3.1</v>
      </c>
      <c r="X665">
        <v>3</v>
      </c>
      <c r="Y665" t="s">
        <v>61</v>
      </c>
      <c r="Z665">
        <v>3.1</v>
      </c>
      <c r="AA665" t="s">
        <v>35</v>
      </c>
    </row>
    <row r="666" spans="1:27" x14ac:dyDescent="0.3">
      <c r="A666" t="s">
        <v>52</v>
      </c>
      <c r="B666" t="s">
        <v>80</v>
      </c>
      <c r="C666">
        <v>2022</v>
      </c>
      <c r="D666" t="s">
        <v>29</v>
      </c>
      <c r="E666">
        <v>161513.5</v>
      </c>
      <c r="F666">
        <v>115.3</v>
      </c>
      <c r="G666">
        <v>420</v>
      </c>
      <c r="H666">
        <v>223.7</v>
      </c>
      <c r="I666">
        <v>2.54</v>
      </c>
      <c r="J666">
        <v>200</v>
      </c>
      <c r="K666">
        <v>1000</v>
      </c>
      <c r="L666">
        <v>924</v>
      </c>
      <c r="M666" t="s">
        <v>54</v>
      </c>
      <c r="N666">
        <v>5</v>
      </c>
      <c r="O666" t="s">
        <v>31</v>
      </c>
      <c r="P666">
        <v>75.099999999999994</v>
      </c>
      <c r="Q666">
        <v>2605</v>
      </c>
      <c r="R666">
        <v>4</v>
      </c>
      <c r="S666">
        <v>2</v>
      </c>
      <c r="T666" t="s">
        <v>47</v>
      </c>
      <c r="U666" t="s">
        <v>33</v>
      </c>
      <c r="V666">
        <v>172224</v>
      </c>
      <c r="W666">
        <v>4.0999999999999996</v>
      </c>
      <c r="X666">
        <v>4</v>
      </c>
      <c r="Y666" t="s">
        <v>34</v>
      </c>
      <c r="Z666">
        <v>3.64</v>
      </c>
      <c r="AA666" t="s">
        <v>35</v>
      </c>
    </row>
    <row r="667" spans="1:27" x14ac:dyDescent="0.3">
      <c r="A667" t="s">
        <v>52</v>
      </c>
      <c r="B667" t="s">
        <v>64</v>
      </c>
      <c r="C667">
        <v>2025</v>
      </c>
      <c r="D667" t="s">
        <v>29</v>
      </c>
      <c r="E667">
        <v>99545.7</v>
      </c>
      <c r="F667">
        <v>74.099999999999994</v>
      </c>
      <c r="G667">
        <v>250</v>
      </c>
      <c r="H667">
        <v>202.5</v>
      </c>
      <c r="I667">
        <v>4.1900000000000004</v>
      </c>
      <c r="J667">
        <v>190</v>
      </c>
      <c r="K667">
        <v>746</v>
      </c>
      <c r="L667">
        <v>677</v>
      </c>
      <c r="M667" t="s">
        <v>30</v>
      </c>
      <c r="N667">
        <v>7</v>
      </c>
      <c r="O667" t="s">
        <v>56</v>
      </c>
      <c r="P667">
        <v>34.700000000000003</v>
      </c>
      <c r="Q667">
        <v>1588</v>
      </c>
      <c r="R667">
        <v>4</v>
      </c>
      <c r="S667">
        <v>2</v>
      </c>
      <c r="T667" t="s">
        <v>47</v>
      </c>
      <c r="U667" t="s">
        <v>38</v>
      </c>
      <c r="V667">
        <v>244941</v>
      </c>
      <c r="W667">
        <v>3.7</v>
      </c>
      <c r="X667">
        <v>5</v>
      </c>
      <c r="Y667" t="s">
        <v>43</v>
      </c>
      <c r="Z667">
        <v>3.37</v>
      </c>
      <c r="AA667" t="s">
        <v>35</v>
      </c>
    </row>
    <row r="668" spans="1:27" x14ac:dyDescent="0.3">
      <c r="A668" t="s">
        <v>71</v>
      </c>
      <c r="B668" t="s">
        <v>104</v>
      </c>
      <c r="C668">
        <v>2023</v>
      </c>
      <c r="D668" t="s">
        <v>38</v>
      </c>
      <c r="E668">
        <v>78664.3</v>
      </c>
      <c r="F668">
        <v>82.8</v>
      </c>
      <c r="G668">
        <v>301</v>
      </c>
      <c r="H668">
        <v>145.4</v>
      </c>
      <c r="I668">
        <v>6.95</v>
      </c>
      <c r="J668">
        <v>137</v>
      </c>
      <c r="K668">
        <v>845</v>
      </c>
      <c r="L668">
        <v>776</v>
      </c>
      <c r="M668" t="s">
        <v>30</v>
      </c>
      <c r="N668">
        <v>5</v>
      </c>
      <c r="O668" t="s">
        <v>31</v>
      </c>
      <c r="P668">
        <v>74</v>
      </c>
      <c r="Q668">
        <v>2356</v>
      </c>
      <c r="R668">
        <v>5</v>
      </c>
      <c r="S668">
        <v>1</v>
      </c>
      <c r="T668" t="s">
        <v>73</v>
      </c>
      <c r="U668" t="s">
        <v>38</v>
      </c>
      <c r="V668">
        <v>238674</v>
      </c>
      <c r="W668">
        <v>3.6</v>
      </c>
      <c r="X668">
        <v>4</v>
      </c>
      <c r="Y668" t="s">
        <v>43</v>
      </c>
      <c r="Z668">
        <v>3.64</v>
      </c>
      <c r="AA668" t="s">
        <v>35</v>
      </c>
    </row>
    <row r="669" spans="1:27" x14ac:dyDescent="0.3">
      <c r="A669" t="s">
        <v>52</v>
      </c>
      <c r="B669" t="s">
        <v>55</v>
      </c>
      <c r="C669">
        <v>2022</v>
      </c>
      <c r="D669" t="s">
        <v>63</v>
      </c>
      <c r="E669">
        <v>75540.09</v>
      </c>
      <c r="F669">
        <v>49.6</v>
      </c>
      <c r="G669">
        <v>150</v>
      </c>
      <c r="H669">
        <v>293.39999999999998</v>
      </c>
      <c r="I669">
        <v>5.78</v>
      </c>
      <c r="J669">
        <v>154</v>
      </c>
      <c r="K669">
        <v>490</v>
      </c>
      <c r="L669">
        <v>455</v>
      </c>
      <c r="M669" t="s">
        <v>39</v>
      </c>
      <c r="N669">
        <v>5</v>
      </c>
      <c r="O669" t="s">
        <v>57</v>
      </c>
      <c r="P669">
        <v>23</v>
      </c>
      <c r="Q669">
        <v>1503</v>
      </c>
      <c r="R669">
        <v>5</v>
      </c>
      <c r="S669">
        <v>2</v>
      </c>
      <c r="T669" t="s">
        <v>47</v>
      </c>
      <c r="U669" t="s">
        <v>38</v>
      </c>
      <c r="V669">
        <v>455317</v>
      </c>
      <c r="W669">
        <v>3.3</v>
      </c>
      <c r="X669">
        <v>6</v>
      </c>
      <c r="Y669" t="s">
        <v>43</v>
      </c>
      <c r="Z669">
        <v>3.02</v>
      </c>
      <c r="AA669" t="s">
        <v>35</v>
      </c>
    </row>
    <row r="670" spans="1:27" x14ac:dyDescent="0.3">
      <c r="A670" t="s">
        <v>52</v>
      </c>
      <c r="B670" t="s">
        <v>64</v>
      </c>
      <c r="C670">
        <v>2025</v>
      </c>
      <c r="D670" t="s">
        <v>29</v>
      </c>
      <c r="E670">
        <v>135540.84</v>
      </c>
      <c r="F670">
        <v>85.8</v>
      </c>
      <c r="G670">
        <v>296</v>
      </c>
      <c r="H670">
        <v>299.2</v>
      </c>
      <c r="I670">
        <v>3.77</v>
      </c>
      <c r="J670">
        <v>188</v>
      </c>
      <c r="K670">
        <v>1000</v>
      </c>
      <c r="L670">
        <v>854</v>
      </c>
      <c r="M670" t="s">
        <v>54</v>
      </c>
      <c r="N670">
        <v>5</v>
      </c>
      <c r="O670" t="s">
        <v>40</v>
      </c>
      <c r="P670">
        <v>61.5</v>
      </c>
      <c r="Q670">
        <v>2369</v>
      </c>
      <c r="R670">
        <v>5</v>
      </c>
      <c r="S670">
        <v>3</v>
      </c>
      <c r="T670" t="s">
        <v>47</v>
      </c>
      <c r="U670" t="s">
        <v>33</v>
      </c>
      <c r="V670">
        <v>108193</v>
      </c>
      <c r="W670">
        <v>4</v>
      </c>
      <c r="X670">
        <v>5</v>
      </c>
      <c r="Y670" t="s">
        <v>34</v>
      </c>
      <c r="Z670">
        <v>3.45</v>
      </c>
      <c r="AA670" t="s">
        <v>35</v>
      </c>
    </row>
    <row r="671" spans="1:27" x14ac:dyDescent="0.3">
      <c r="A671" t="s">
        <v>71</v>
      </c>
      <c r="B671" t="s">
        <v>72</v>
      </c>
      <c r="C671">
        <v>2024</v>
      </c>
      <c r="D671" t="s">
        <v>63</v>
      </c>
      <c r="E671">
        <v>24520.21</v>
      </c>
      <c r="F671">
        <v>71.2</v>
      </c>
      <c r="G671">
        <v>253</v>
      </c>
      <c r="H671">
        <v>57.5</v>
      </c>
      <c r="I671">
        <v>6.21</v>
      </c>
      <c r="J671">
        <v>159</v>
      </c>
      <c r="K671">
        <v>228</v>
      </c>
      <c r="L671">
        <v>201</v>
      </c>
      <c r="M671" t="s">
        <v>30</v>
      </c>
      <c r="N671">
        <v>7</v>
      </c>
      <c r="O671" t="s">
        <v>56</v>
      </c>
      <c r="P671">
        <v>33.700000000000003</v>
      </c>
      <c r="Q671">
        <v>1739</v>
      </c>
      <c r="R671">
        <v>5</v>
      </c>
      <c r="S671">
        <v>1</v>
      </c>
      <c r="T671" t="s">
        <v>73</v>
      </c>
      <c r="U671" t="s">
        <v>74</v>
      </c>
      <c r="V671">
        <v>191198</v>
      </c>
      <c r="W671">
        <v>3.5</v>
      </c>
      <c r="X671">
        <v>5</v>
      </c>
      <c r="Y671" t="s">
        <v>43</v>
      </c>
      <c r="Z671">
        <v>3.55</v>
      </c>
      <c r="AA671" t="s">
        <v>35</v>
      </c>
    </row>
    <row r="672" spans="1:27" x14ac:dyDescent="0.3">
      <c r="A672" t="s">
        <v>52</v>
      </c>
      <c r="B672" t="s">
        <v>55</v>
      </c>
      <c r="C672">
        <v>2026</v>
      </c>
      <c r="D672" t="s">
        <v>63</v>
      </c>
      <c r="E672">
        <v>113350.86</v>
      </c>
      <c r="F672">
        <v>73.5</v>
      </c>
      <c r="G672">
        <v>268</v>
      </c>
      <c r="H672">
        <v>207.2</v>
      </c>
      <c r="I672">
        <v>6.51</v>
      </c>
      <c r="J672">
        <v>155</v>
      </c>
      <c r="K672">
        <v>835</v>
      </c>
      <c r="L672">
        <v>807</v>
      </c>
      <c r="M672" t="s">
        <v>39</v>
      </c>
      <c r="N672">
        <v>7</v>
      </c>
      <c r="O672" t="s">
        <v>65</v>
      </c>
      <c r="P672">
        <v>17.399999999999999</v>
      </c>
      <c r="Q672">
        <v>1500</v>
      </c>
      <c r="R672">
        <v>5</v>
      </c>
      <c r="S672">
        <v>2</v>
      </c>
      <c r="T672" t="s">
        <v>47</v>
      </c>
      <c r="U672" t="s">
        <v>33</v>
      </c>
      <c r="V672">
        <v>463970</v>
      </c>
      <c r="W672">
        <v>3.6</v>
      </c>
      <c r="X672">
        <v>6</v>
      </c>
      <c r="Y672" t="s">
        <v>43</v>
      </c>
      <c r="Z672">
        <v>3.65</v>
      </c>
      <c r="AA672" t="s">
        <v>35</v>
      </c>
    </row>
    <row r="673" spans="1:27" x14ac:dyDescent="0.3">
      <c r="A673" t="s">
        <v>94</v>
      </c>
      <c r="B673" t="s">
        <v>113</v>
      </c>
      <c r="C673">
        <v>2025</v>
      </c>
      <c r="D673" t="s">
        <v>63</v>
      </c>
      <c r="E673">
        <v>80914.990000000005</v>
      </c>
      <c r="F673">
        <v>67.400000000000006</v>
      </c>
      <c r="G673">
        <v>220</v>
      </c>
      <c r="H673">
        <v>55.8</v>
      </c>
      <c r="I673">
        <v>5.13</v>
      </c>
      <c r="J673">
        <v>178</v>
      </c>
      <c r="K673">
        <v>484</v>
      </c>
      <c r="L673">
        <v>414</v>
      </c>
      <c r="M673" t="s">
        <v>39</v>
      </c>
      <c r="N673">
        <v>5</v>
      </c>
      <c r="O673" t="s">
        <v>65</v>
      </c>
      <c r="P673">
        <v>30</v>
      </c>
      <c r="Q673">
        <v>1500</v>
      </c>
      <c r="R673">
        <v>5</v>
      </c>
      <c r="S673">
        <v>1</v>
      </c>
      <c r="T673" t="s">
        <v>32</v>
      </c>
      <c r="U673" t="s">
        <v>38</v>
      </c>
      <c r="V673">
        <v>22856</v>
      </c>
      <c r="W673">
        <v>3.4</v>
      </c>
      <c r="X673">
        <v>7</v>
      </c>
      <c r="Y673" t="s">
        <v>43</v>
      </c>
      <c r="Z673">
        <v>3.26</v>
      </c>
      <c r="AA673" t="s">
        <v>35</v>
      </c>
    </row>
    <row r="674" spans="1:27" x14ac:dyDescent="0.3">
      <c r="A674" t="s">
        <v>52</v>
      </c>
      <c r="B674" t="s">
        <v>86</v>
      </c>
      <c r="C674">
        <v>2023</v>
      </c>
      <c r="D674" t="s">
        <v>29</v>
      </c>
      <c r="E674">
        <v>84447.94</v>
      </c>
      <c r="F674">
        <v>72.5</v>
      </c>
      <c r="G674">
        <v>255</v>
      </c>
      <c r="H674">
        <v>322.2</v>
      </c>
      <c r="I674">
        <v>3.35</v>
      </c>
      <c r="J674">
        <v>200</v>
      </c>
      <c r="K674">
        <v>602</v>
      </c>
      <c r="L674">
        <v>569</v>
      </c>
      <c r="M674" t="s">
        <v>39</v>
      </c>
      <c r="N674">
        <v>5</v>
      </c>
      <c r="O674" t="s">
        <v>65</v>
      </c>
      <c r="P674">
        <v>36.6</v>
      </c>
      <c r="Q674">
        <v>1535</v>
      </c>
      <c r="R674">
        <v>4</v>
      </c>
      <c r="S674">
        <v>2</v>
      </c>
      <c r="T674" t="s">
        <v>47</v>
      </c>
      <c r="U674" t="s">
        <v>38</v>
      </c>
      <c r="V674">
        <v>103295</v>
      </c>
      <c r="W674">
        <v>3.5</v>
      </c>
      <c r="X674">
        <v>6</v>
      </c>
      <c r="Y674" t="s">
        <v>34</v>
      </c>
      <c r="Z674">
        <v>3.52</v>
      </c>
      <c r="AA674" t="s">
        <v>35</v>
      </c>
    </row>
    <row r="675" spans="1:27" x14ac:dyDescent="0.3">
      <c r="A675" t="s">
        <v>76</v>
      </c>
      <c r="B675" t="s">
        <v>98</v>
      </c>
      <c r="C675">
        <v>2024</v>
      </c>
      <c r="D675" t="s">
        <v>63</v>
      </c>
      <c r="E675">
        <v>31858.49</v>
      </c>
      <c r="F675">
        <v>76.599999999999994</v>
      </c>
      <c r="G675">
        <v>274</v>
      </c>
      <c r="H675">
        <v>140.30000000000001</v>
      </c>
      <c r="I675">
        <v>5.5</v>
      </c>
      <c r="J675">
        <v>171</v>
      </c>
      <c r="K675">
        <v>286</v>
      </c>
      <c r="L675">
        <v>243</v>
      </c>
      <c r="M675" t="s">
        <v>39</v>
      </c>
      <c r="N675">
        <v>7</v>
      </c>
      <c r="O675" t="s">
        <v>56</v>
      </c>
      <c r="P675">
        <v>24</v>
      </c>
      <c r="Q675">
        <v>1538</v>
      </c>
      <c r="R675">
        <v>3</v>
      </c>
      <c r="S675">
        <v>0</v>
      </c>
      <c r="T675" t="s">
        <v>51</v>
      </c>
      <c r="U675" t="s">
        <v>74</v>
      </c>
      <c r="V675">
        <v>89552</v>
      </c>
      <c r="W675">
        <v>3.4</v>
      </c>
      <c r="X675">
        <v>5</v>
      </c>
      <c r="Y675" t="s">
        <v>43</v>
      </c>
      <c r="Z675">
        <v>3.58</v>
      </c>
      <c r="AA675" t="s">
        <v>35</v>
      </c>
    </row>
    <row r="676" spans="1:27" x14ac:dyDescent="0.3">
      <c r="A676" t="s">
        <v>27</v>
      </c>
      <c r="B676" t="s">
        <v>82</v>
      </c>
      <c r="C676">
        <v>2025</v>
      </c>
      <c r="D676" t="s">
        <v>68</v>
      </c>
      <c r="E676">
        <v>70801.47</v>
      </c>
      <c r="F676">
        <v>60.4</v>
      </c>
      <c r="G676">
        <v>204</v>
      </c>
      <c r="H676">
        <v>126.5</v>
      </c>
      <c r="I676">
        <v>7.51</v>
      </c>
      <c r="J676">
        <v>137</v>
      </c>
      <c r="K676">
        <v>785</v>
      </c>
      <c r="L676">
        <v>727</v>
      </c>
      <c r="M676" t="s">
        <v>39</v>
      </c>
      <c r="N676">
        <v>7</v>
      </c>
      <c r="O676" t="s">
        <v>40</v>
      </c>
      <c r="P676">
        <v>66.5</v>
      </c>
      <c r="Q676">
        <v>1837</v>
      </c>
      <c r="R676">
        <v>5</v>
      </c>
      <c r="S676">
        <v>0</v>
      </c>
      <c r="T676" t="s">
        <v>32</v>
      </c>
      <c r="U676" t="s">
        <v>38</v>
      </c>
      <c r="V676">
        <v>299914</v>
      </c>
      <c r="W676">
        <v>3.5</v>
      </c>
      <c r="X676">
        <v>4</v>
      </c>
      <c r="Y676" t="s">
        <v>61</v>
      </c>
      <c r="Z676">
        <v>3.38</v>
      </c>
      <c r="AA676" t="s">
        <v>35</v>
      </c>
    </row>
    <row r="677" spans="1:27" x14ac:dyDescent="0.3">
      <c r="A677" t="s">
        <v>142</v>
      </c>
      <c r="B677">
        <v>4</v>
      </c>
      <c r="C677">
        <v>2025</v>
      </c>
      <c r="D677" t="s">
        <v>68</v>
      </c>
      <c r="E677">
        <v>80679.27</v>
      </c>
      <c r="F677">
        <v>41.3</v>
      </c>
      <c r="G677">
        <v>155</v>
      </c>
      <c r="H677">
        <v>112.6</v>
      </c>
      <c r="I677">
        <v>5.25</v>
      </c>
      <c r="J677">
        <v>170</v>
      </c>
      <c r="K677">
        <v>456</v>
      </c>
      <c r="L677">
        <v>427</v>
      </c>
      <c r="M677" t="s">
        <v>30</v>
      </c>
      <c r="N677">
        <v>5</v>
      </c>
      <c r="O677" t="s">
        <v>56</v>
      </c>
      <c r="P677">
        <v>33.200000000000003</v>
      </c>
      <c r="Q677">
        <v>1818</v>
      </c>
      <c r="R677">
        <v>5</v>
      </c>
      <c r="S677">
        <v>0</v>
      </c>
      <c r="T677" t="s">
        <v>131</v>
      </c>
      <c r="U677" t="s">
        <v>38</v>
      </c>
      <c r="V677">
        <v>7428</v>
      </c>
      <c r="W677">
        <v>3</v>
      </c>
      <c r="X677">
        <v>4</v>
      </c>
      <c r="Y677" t="s">
        <v>43</v>
      </c>
      <c r="Z677">
        <v>3.75</v>
      </c>
      <c r="AA677" t="s">
        <v>43</v>
      </c>
    </row>
    <row r="678" spans="1:27" x14ac:dyDescent="0.3">
      <c r="A678" t="s">
        <v>52</v>
      </c>
      <c r="B678" t="s">
        <v>64</v>
      </c>
      <c r="C678">
        <v>2025</v>
      </c>
      <c r="D678" t="s">
        <v>63</v>
      </c>
      <c r="E678">
        <v>29088.57</v>
      </c>
      <c r="F678">
        <v>79.3</v>
      </c>
      <c r="G678">
        <v>262</v>
      </c>
      <c r="H678">
        <v>230.9</v>
      </c>
      <c r="I678">
        <v>6.43</v>
      </c>
      <c r="J678">
        <v>148</v>
      </c>
      <c r="K678">
        <v>150</v>
      </c>
      <c r="L678">
        <v>200</v>
      </c>
      <c r="M678" t="s">
        <v>39</v>
      </c>
      <c r="N678">
        <v>7</v>
      </c>
      <c r="O678" t="s">
        <v>46</v>
      </c>
      <c r="P678">
        <v>79.5</v>
      </c>
      <c r="Q678">
        <v>1535</v>
      </c>
      <c r="R678">
        <v>5</v>
      </c>
      <c r="S678">
        <v>2</v>
      </c>
      <c r="T678" t="s">
        <v>47</v>
      </c>
      <c r="U678" t="s">
        <v>74</v>
      </c>
      <c r="V678">
        <v>173989</v>
      </c>
      <c r="W678">
        <v>4.2</v>
      </c>
      <c r="X678">
        <v>6</v>
      </c>
      <c r="Y678" t="s">
        <v>43</v>
      </c>
      <c r="Z678">
        <v>3.3</v>
      </c>
      <c r="AA678" t="s">
        <v>35</v>
      </c>
    </row>
    <row r="679" spans="1:27" x14ac:dyDescent="0.3">
      <c r="A679" t="s">
        <v>27</v>
      </c>
      <c r="B679" t="s">
        <v>93</v>
      </c>
      <c r="C679">
        <v>2026</v>
      </c>
      <c r="D679" t="s">
        <v>50</v>
      </c>
      <c r="E679">
        <v>57231.82</v>
      </c>
      <c r="F679">
        <v>83.1</v>
      </c>
      <c r="G679">
        <v>283</v>
      </c>
      <c r="H679">
        <v>81.400000000000006</v>
      </c>
      <c r="I679">
        <v>4.75</v>
      </c>
      <c r="J679">
        <v>170</v>
      </c>
      <c r="K679">
        <v>586</v>
      </c>
      <c r="L679">
        <v>546</v>
      </c>
      <c r="M679" t="s">
        <v>54</v>
      </c>
      <c r="N679">
        <v>7</v>
      </c>
      <c r="O679" t="s">
        <v>46</v>
      </c>
      <c r="P679">
        <v>69.5</v>
      </c>
      <c r="Q679">
        <v>1604</v>
      </c>
      <c r="R679">
        <v>4</v>
      </c>
      <c r="S679">
        <v>1</v>
      </c>
      <c r="T679" t="s">
        <v>32</v>
      </c>
      <c r="U679" t="s">
        <v>42</v>
      </c>
      <c r="V679">
        <v>290062</v>
      </c>
      <c r="W679">
        <v>3.8</v>
      </c>
      <c r="X679">
        <v>4</v>
      </c>
      <c r="Y679" t="s">
        <v>43</v>
      </c>
      <c r="Z679">
        <v>3.41</v>
      </c>
      <c r="AA679" t="s">
        <v>35</v>
      </c>
    </row>
    <row r="680" spans="1:27" x14ac:dyDescent="0.3">
      <c r="A680" t="s">
        <v>66</v>
      </c>
      <c r="B680" t="s">
        <v>67</v>
      </c>
      <c r="C680">
        <v>2025</v>
      </c>
      <c r="D680" t="s">
        <v>38</v>
      </c>
      <c r="E680">
        <v>67039.100000000006</v>
      </c>
      <c r="F680">
        <v>75</v>
      </c>
      <c r="G680">
        <v>271</v>
      </c>
      <c r="H680">
        <v>92.9</v>
      </c>
      <c r="I680">
        <v>7.99</v>
      </c>
      <c r="J680">
        <v>127</v>
      </c>
      <c r="K680">
        <v>473</v>
      </c>
      <c r="L680">
        <v>448</v>
      </c>
      <c r="M680" t="s">
        <v>30</v>
      </c>
      <c r="N680">
        <v>7</v>
      </c>
      <c r="O680" t="s">
        <v>57</v>
      </c>
      <c r="P680">
        <v>30.8</v>
      </c>
      <c r="Q680">
        <v>1735</v>
      </c>
      <c r="R680">
        <v>5</v>
      </c>
      <c r="S680">
        <v>1</v>
      </c>
      <c r="T680" t="s">
        <v>47</v>
      </c>
      <c r="U680" t="s">
        <v>38</v>
      </c>
      <c r="V680">
        <v>2336</v>
      </c>
      <c r="W680">
        <v>3.5</v>
      </c>
      <c r="X680">
        <v>5</v>
      </c>
      <c r="Y680" t="s">
        <v>61</v>
      </c>
      <c r="Z680">
        <v>3.61</v>
      </c>
      <c r="AA680" t="s">
        <v>69</v>
      </c>
    </row>
    <row r="681" spans="1:27" x14ac:dyDescent="0.3">
      <c r="A681" t="s">
        <v>58</v>
      </c>
      <c r="B681" t="s">
        <v>70</v>
      </c>
      <c r="C681">
        <v>2024</v>
      </c>
      <c r="D681" t="s">
        <v>63</v>
      </c>
      <c r="E681">
        <v>72880.75</v>
      </c>
      <c r="F681">
        <v>63.7</v>
      </c>
      <c r="G681">
        <v>235</v>
      </c>
      <c r="H681">
        <v>106.4</v>
      </c>
      <c r="I681">
        <v>7.57</v>
      </c>
      <c r="J681">
        <v>133</v>
      </c>
      <c r="K681">
        <v>273</v>
      </c>
      <c r="L681">
        <v>269</v>
      </c>
      <c r="M681" t="s">
        <v>54</v>
      </c>
      <c r="N681">
        <v>5</v>
      </c>
      <c r="O681" t="s">
        <v>31</v>
      </c>
      <c r="P681">
        <v>69.400000000000006</v>
      </c>
      <c r="Q681">
        <v>2466</v>
      </c>
      <c r="R681">
        <v>4</v>
      </c>
      <c r="S681">
        <v>1</v>
      </c>
      <c r="T681" t="s">
        <v>32</v>
      </c>
      <c r="U681" t="s">
        <v>38</v>
      </c>
      <c r="V681">
        <v>46123</v>
      </c>
      <c r="W681">
        <v>3.9</v>
      </c>
      <c r="X681">
        <v>5</v>
      </c>
      <c r="Y681" t="s">
        <v>61</v>
      </c>
      <c r="Z681">
        <v>3.69</v>
      </c>
      <c r="AA681" t="s">
        <v>35</v>
      </c>
    </row>
    <row r="682" spans="1:27" x14ac:dyDescent="0.3">
      <c r="A682" t="s">
        <v>84</v>
      </c>
      <c r="B682" t="s">
        <v>89</v>
      </c>
      <c r="C682">
        <v>2024</v>
      </c>
      <c r="D682" t="s">
        <v>38</v>
      </c>
      <c r="E682">
        <v>81884.759999999995</v>
      </c>
      <c r="F682">
        <v>79.5</v>
      </c>
      <c r="G682">
        <v>280</v>
      </c>
      <c r="H682">
        <v>54.3</v>
      </c>
      <c r="I682">
        <v>7.91</v>
      </c>
      <c r="J682">
        <v>134</v>
      </c>
      <c r="K682">
        <v>950</v>
      </c>
      <c r="L682">
        <v>893</v>
      </c>
      <c r="M682" t="s">
        <v>30</v>
      </c>
      <c r="N682">
        <v>5</v>
      </c>
      <c r="O682" t="s">
        <v>56</v>
      </c>
      <c r="P682">
        <v>22.8</v>
      </c>
      <c r="Q682">
        <v>1998</v>
      </c>
      <c r="R682">
        <v>3</v>
      </c>
      <c r="S682">
        <v>1</v>
      </c>
      <c r="T682" t="s">
        <v>47</v>
      </c>
      <c r="U682" t="s">
        <v>38</v>
      </c>
      <c r="V682">
        <v>49332</v>
      </c>
      <c r="W682">
        <v>3.6</v>
      </c>
      <c r="X682">
        <v>4</v>
      </c>
      <c r="Y682" t="s">
        <v>61</v>
      </c>
      <c r="Z682">
        <v>3.52</v>
      </c>
      <c r="AA682" t="s">
        <v>35</v>
      </c>
    </row>
    <row r="683" spans="1:27" x14ac:dyDescent="0.3">
      <c r="A683" t="s">
        <v>71</v>
      </c>
      <c r="B683" t="s">
        <v>104</v>
      </c>
      <c r="C683">
        <v>2024</v>
      </c>
      <c r="D683" t="s">
        <v>63</v>
      </c>
      <c r="E683">
        <v>27229.19</v>
      </c>
      <c r="F683">
        <v>64.8</v>
      </c>
      <c r="G683">
        <v>227</v>
      </c>
      <c r="H683">
        <v>133.19999999999999</v>
      </c>
      <c r="I683">
        <v>7.27</v>
      </c>
      <c r="J683">
        <v>144</v>
      </c>
      <c r="K683">
        <v>326</v>
      </c>
      <c r="L683">
        <v>301</v>
      </c>
      <c r="M683" t="s">
        <v>39</v>
      </c>
      <c r="N683">
        <v>5</v>
      </c>
      <c r="O683" t="s">
        <v>56</v>
      </c>
      <c r="P683">
        <v>28</v>
      </c>
      <c r="Q683">
        <v>1522</v>
      </c>
      <c r="R683">
        <v>5</v>
      </c>
      <c r="S683">
        <v>0</v>
      </c>
      <c r="T683" t="s">
        <v>73</v>
      </c>
      <c r="U683" t="s">
        <v>74</v>
      </c>
      <c r="V683">
        <v>118103</v>
      </c>
      <c r="W683">
        <v>3.5</v>
      </c>
      <c r="X683">
        <v>4</v>
      </c>
      <c r="Y683" t="s">
        <v>61</v>
      </c>
      <c r="Z683">
        <v>3.5</v>
      </c>
      <c r="AA683" t="s">
        <v>35</v>
      </c>
    </row>
    <row r="684" spans="1:27" x14ac:dyDescent="0.3">
      <c r="A684" t="s">
        <v>52</v>
      </c>
      <c r="B684" t="s">
        <v>80</v>
      </c>
      <c r="C684">
        <v>2022</v>
      </c>
      <c r="D684" t="s">
        <v>29</v>
      </c>
      <c r="E684">
        <v>39719.769999999997</v>
      </c>
      <c r="F684">
        <v>75.3</v>
      </c>
      <c r="G684">
        <v>297</v>
      </c>
      <c r="H684">
        <v>204.3</v>
      </c>
      <c r="I684">
        <v>3.65</v>
      </c>
      <c r="J684">
        <v>200</v>
      </c>
      <c r="K684">
        <v>277</v>
      </c>
      <c r="L684">
        <v>273</v>
      </c>
      <c r="M684" t="s">
        <v>30</v>
      </c>
      <c r="N684">
        <v>5</v>
      </c>
      <c r="O684" t="s">
        <v>31</v>
      </c>
      <c r="P684">
        <v>70.2</v>
      </c>
      <c r="Q684">
        <v>2610</v>
      </c>
      <c r="R684">
        <v>5</v>
      </c>
      <c r="S684">
        <v>2</v>
      </c>
      <c r="T684" t="s">
        <v>47</v>
      </c>
      <c r="U684" t="s">
        <v>42</v>
      </c>
      <c r="V684">
        <v>220959</v>
      </c>
      <c r="W684">
        <v>4</v>
      </c>
      <c r="X684">
        <v>5</v>
      </c>
      <c r="Y684" t="s">
        <v>34</v>
      </c>
      <c r="Z684">
        <v>3.94</v>
      </c>
      <c r="AA684" t="s">
        <v>35</v>
      </c>
    </row>
    <row r="685" spans="1:27" x14ac:dyDescent="0.3">
      <c r="A685" t="s">
        <v>91</v>
      </c>
      <c r="B685" t="s">
        <v>124</v>
      </c>
      <c r="C685">
        <v>2024</v>
      </c>
      <c r="D685" t="s">
        <v>50</v>
      </c>
      <c r="E685">
        <v>83737.7</v>
      </c>
      <c r="F685">
        <v>90.9</v>
      </c>
      <c r="G685">
        <v>331</v>
      </c>
      <c r="H685">
        <v>92.1</v>
      </c>
      <c r="I685">
        <v>5.78</v>
      </c>
      <c r="J685">
        <v>166</v>
      </c>
      <c r="K685">
        <v>611</v>
      </c>
      <c r="L685">
        <v>530</v>
      </c>
      <c r="M685" t="s">
        <v>39</v>
      </c>
      <c r="N685">
        <v>5</v>
      </c>
      <c r="O685" t="s">
        <v>65</v>
      </c>
      <c r="P685">
        <v>22.8</v>
      </c>
      <c r="Q685">
        <v>1527</v>
      </c>
      <c r="R685">
        <v>4</v>
      </c>
      <c r="S685">
        <v>2</v>
      </c>
      <c r="T685" t="s">
        <v>32</v>
      </c>
      <c r="U685" t="s">
        <v>38</v>
      </c>
      <c r="V685">
        <v>68789</v>
      </c>
      <c r="W685">
        <v>3.4</v>
      </c>
      <c r="X685">
        <v>6</v>
      </c>
      <c r="Y685" t="s">
        <v>43</v>
      </c>
      <c r="Z685">
        <v>3.64</v>
      </c>
      <c r="AA685" t="s">
        <v>35</v>
      </c>
    </row>
    <row r="686" spans="1:27" x14ac:dyDescent="0.3">
      <c r="A686" t="s">
        <v>102</v>
      </c>
      <c r="B686" t="s">
        <v>128</v>
      </c>
      <c r="C686">
        <v>2025</v>
      </c>
      <c r="D686" t="s">
        <v>29</v>
      </c>
      <c r="E686">
        <v>104305.19</v>
      </c>
      <c r="F686">
        <v>112.7</v>
      </c>
      <c r="G686">
        <v>429</v>
      </c>
      <c r="H686">
        <v>159.1</v>
      </c>
      <c r="I686">
        <v>3.37</v>
      </c>
      <c r="J686">
        <v>200</v>
      </c>
      <c r="K686">
        <v>1000</v>
      </c>
      <c r="L686">
        <v>875</v>
      </c>
      <c r="M686" t="s">
        <v>39</v>
      </c>
      <c r="N686">
        <v>7</v>
      </c>
      <c r="O686" t="s">
        <v>56</v>
      </c>
      <c r="P686">
        <v>29.3</v>
      </c>
      <c r="Q686">
        <v>1500</v>
      </c>
      <c r="R686">
        <v>4</v>
      </c>
      <c r="S686">
        <v>1</v>
      </c>
      <c r="T686" t="s">
        <v>47</v>
      </c>
      <c r="U686" t="s">
        <v>33</v>
      </c>
      <c r="V686">
        <v>26219</v>
      </c>
      <c r="W686">
        <v>4.0999999999999996</v>
      </c>
      <c r="X686">
        <v>6</v>
      </c>
      <c r="Y686" t="s">
        <v>34</v>
      </c>
      <c r="Z686">
        <v>3.81</v>
      </c>
      <c r="AA686" t="s">
        <v>35</v>
      </c>
    </row>
    <row r="687" spans="1:27" x14ac:dyDescent="0.3">
      <c r="A687" t="s">
        <v>48</v>
      </c>
      <c r="B687" t="s">
        <v>123</v>
      </c>
      <c r="C687">
        <v>2025</v>
      </c>
      <c r="D687" t="s">
        <v>29</v>
      </c>
      <c r="E687">
        <v>107335.21</v>
      </c>
      <c r="F687">
        <v>101.2</v>
      </c>
      <c r="G687">
        <v>372</v>
      </c>
      <c r="H687">
        <v>208.4</v>
      </c>
      <c r="I687">
        <v>3.71</v>
      </c>
      <c r="J687">
        <v>187</v>
      </c>
      <c r="K687">
        <v>1000</v>
      </c>
      <c r="L687">
        <v>911</v>
      </c>
      <c r="M687" t="s">
        <v>30</v>
      </c>
      <c r="N687">
        <v>5</v>
      </c>
      <c r="O687" t="s">
        <v>31</v>
      </c>
      <c r="P687">
        <v>63.5</v>
      </c>
      <c r="Q687">
        <v>2775</v>
      </c>
      <c r="R687">
        <v>5</v>
      </c>
      <c r="S687">
        <v>0</v>
      </c>
      <c r="T687" t="s">
        <v>51</v>
      </c>
      <c r="U687" t="s">
        <v>33</v>
      </c>
      <c r="V687">
        <v>56222</v>
      </c>
      <c r="W687">
        <v>3.6</v>
      </c>
      <c r="X687">
        <v>5</v>
      </c>
      <c r="Y687" t="s">
        <v>34</v>
      </c>
      <c r="Z687">
        <v>3.68</v>
      </c>
      <c r="AA687" t="s">
        <v>35</v>
      </c>
    </row>
    <row r="688" spans="1:27" x14ac:dyDescent="0.3">
      <c r="A688" t="s">
        <v>48</v>
      </c>
      <c r="B688" t="s">
        <v>79</v>
      </c>
      <c r="C688">
        <v>2026</v>
      </c>
      <c r="D688" t="s">
        <v>50</v>
      </c>
      <c r="E688">
        <v>38689.25</v>
      </c>
      <c r="F688">
        <v>93</v>
      </c>
      <c r="G688">
        <v>330</v>
      </c>
      <c r="H688">
        <v>69.7</v>
      </c>
      <c r="I688">
        <v>5.24</v>
      </c>
      <c r="J688">
        <v>173</v>
      </c>
      <c r="K688">
        <v>322</v>
      </c>
      <c r="L688">
        <v>295</v>
      </c>
      <c r="M688" t="s">
        <v>39</v>
      </c>
      <c r="N688">
        <v>7</v>
      </c>
      <c r="O688" t="s">
        <v>40</v>
      </c>
      <c r="P688">
        <v>67.400000000000006</v>
      </c>
      <c r="Q688">
        <v>1906</v>
      </c>
      <c r="R688">
        <v>3</v>
      </c>
      <c r="S688">
        <v>1</v>
      </c>
      <c r="T688" t="s">
        <v>51</v>
      </c>
      <c r="U688" t="s">
        <v>42</v>
      </c>
      <c r="V688">
        <v>112175</v>
      </c>
      <c r="W688">
        <v>3.6</v>
      </c>
      <c r="X688">
        <v>4</v>
      </c>
      <c r="Y688" t="s">
        <v>43</v>
      </c>
      <c r="Z688">
        <v>3.55</v>
      </c>
      <c r="AA688" t="s">
        <v>35</v>
      </c>
    </row>
    <row r="689" spans="1:27" x14ac:dyDescent="0.3">
      <c r="A689" t="s">
        <v>71</v>
      </c>
      <c r="B689" t="s">
        <v>104</v>
      </c>
      <c r="C689">
        <v>2025</v>
      </c>
      <c r="D689" t="s">
        <v>68</v>
      </c>
      <c r="E689">
        <v>45068.52</v>
      </c>
      <c r="F689">
        <v>56.6</v>
      </c>
      <c r="G689">
        <v>195</v>
      </c>
      <c r="H689">
        <v>112.5</v>
      </c>
      <c r="I689">
        <v>5.42</v>
      </c>
      <c r="J689">
        <v>162</v>
      </c>
      <c r="K689">
        <v>472</v>
      </c>
      <c r="L689">
        <v>438</v>
      </c>
      <c r="M689" t="s">
        <v>54</v>
      </c>
      <c r="N689">
        <v>5</v>
      </c>
      <c r="O689" t="s">
        <v>65</v>
      </c>
      <c r="P689">
        <v>18</v>
      </c>
      <c r="Q689">
        <v>1566</v>
      </c>
      <c r="R689">
        <v>5</v>
      </c>
      <c r="S689">
        <v>0</v>
      </c>
      <c r="T689" t="s">
        <v>73</v>
      </c>
      <c r="U689" t="s">
        <v>42</v>
      </c>
      <c r="V689">
        <v>196546</v>
      </c>
      <c r="W689">
        <v>3.2</v>
      </c>
      <c r="X689">
        <v>5</v>
      </c>
      <c r="Y689" t="s">
        <v>43</v>
      </c>
      <c r="Z689">
        <v>3.45</v>
      </c>
      <c r="AA689" t="s">
        <v>35</v>
      </c>
    </row>
    <row r="690" spans="1:27" x14ac:dyDescent="0.3">
      <c r="A690" t="s">
        <v>84</v>
      </c>
      <c r="B690" t="s">
        <v>89</v>
      </c>
      <c r="C690">
        <v>2023</v>
      </c>
      <c r="D690" t="s">
        <v>68</v>
      </c>
      <c r="E690">
        <v>38404.42</v>
      </c>
      <c r="F690">
        <v>49.1</v>
      </c>
      <c r="G690">
        <v>193</v>
      </c>
      <c r="H690">
        <v>124</v>
      </c>
      <c r="I690">
        <v>6.99</v>
      </c>
      <c r="J690">
        <v>148</v>
      </c>
      <c r="K690">
        <v>300</v>
      </c>
      <c r="L690">
        <v>298</v>
      </c>
      <c r="M690" t="s">
        <v>39</v>
      </c>
      <c r="N690">
        <v>5</v>
      </c>
      <c r="O690" t="s">
        <v>31</v>
      </c>
      <c r="P690">
        <v>79.099999999999994</v>
      </c>
      <c r="Q690">
        <v>3000</v>
      </c>
      <c r="R690">
        <v>3</v>
      </c>
      <c r="S690">
        <v>1</v>
      </c>
      <c r="T690" t="s">
        <v>47</v>
      </c>
      <c r="U690" t="s">
        <v>42</v>
      </c>
      <c r="V690">
        <v>49683</v>
      </c>
      <c r="W690">
        <v>3.4</v>
      </c>
      <c r="X690">
        <v>4</v>
      </c>
      <c r="Y690" t="s">
        <v>43</v>
      </c>
      <c r="Z690">
        <v>3.93</v>
      </c>
      <c r="AA690" t="s">
        <v>35</v>
      </c>
    </row>
    <row r="691" spans="1:27" x14ac:dyDescent="0.3">
      <c r="A691" t="s">
        <v>52</v>
      </c>
      <c r="B691" t="s">
        <v>64</v>
      </c>
      <c r="C691">
        <v>2025</v>
      </c>
      <c r="D691" t="s">
        <v>68</v>
      </c>
      <c r="E691">
        <v>47711.51</v>
      </c>
      <c r="F691">
        <v>47.2</v>
      </c>
      <c r="G691">
        <v>173</v>
      </c>
      <c r="H691">
        <v>321.60000000000002</v>
      </c>
      <c r="I691">
        <v>5.99</v>
      </c>
      <c r="J691">
        <v>154</v>
      </c>
      <c r="K691">
        <v>308</v>
      </c>
      <c r="L691">
        <v>261</v>
      </c>
      <c r="M691" t="s">
        <v>39</v>
      </c>
      <c r="N691">
        <v>5</v>
      </c>
      <c r="O691" t="s">
        <v>65</v>
      </c>
      <c r="P691">
        <v>26.8</v>
      </c>
      <c r="Q691">
        <v>1500</v>
      </c>
      <c r="R691">
        <v>4</v>
      </c>
      <c r="S691">
        <v>2</v>
      </c>
      <c r="T691" t="s">
        <v>47</v>
      </c>
      <c r="U691" t="s">
        <v>42</v>
      </c>
      <c r="V691">
        <v>180408</v>
      </c>
      <c r="W691">
        <v>3.6</v>
      </c>
      <c r="X691">
        <v>5</v>
      </c>
      <c r="Y691" t="s">
        <v>43</v>
      </c>
      <c r="Z691">
        <v>3.67</v>
      </c>
      <c r="AA691" t="s">
        <v>35</v>
      </c>
    </row>
    <row r="692" spans="1:27" x14ac:dyDescent="0.3">
      <c r="A692" t="s">
        <v>71</v>
      </c>
      <c r="B692" t="s">
        <v>104</v>
      </c>
      <c r="C692">
        <v>2023</v>
      </c>
      <c r="D692" t="s">
        <v>50</v>
      </c>
      <c r="E692">
        <v>77360.56</v>
      </c>
      <c r="F692">
        <v>106.1</v>
      </c>
      <c r="G692">
        <v>386</v>
      </c>
      <c r="H692">
        <v>136.6</v>
      </c>
      <c r="I692">
        <v>4.88</v>
      </c>
      <c r="J692">
        <v>176</v>
      </c>
      <c r="K692">
        <v>878</v>
      </c>
      <c r="L692">
        <v>785</v>
      </c>
      <c r="M692" t="s">
        <v>54</v>
      </c>
      <c r="N692">
        <v>7</v>
      </c>
      <c r="O692" t="s">
        <v>31</v>
      </c>
      <c r="P692">
        <v>52.9</v>
      </c>
      <c r="Q692">
        <v>2502</v>
      </c>
      <c r="R692">
        <v>5</v>
      </c>
      <c r="S692">
        <v>1</v>
      </c>
      <c r="T692" t="s">
        <v>73</v>
      </c>
      <c r="U692" t="s">
        <v>38</v>
      </c>
      <c r="V692">
        <v>154361</v>
      </c>
      <c r="W692">
        <v>3.9</v>
      </c>
      <c r="X692">
        <v>4</v>
      </c>
      <c r="Y692" t="s">
        <v>43</v>
      </c>
      <c r="Z692">
        <v>3.64</v>
      </c>
      <c r="AA692" t="s">
        <v>35</v>
      </c>
    </row>
    <row r="693" spans="1:27" x14ac:dyDescent="0.3">
      <c r="A693" t="s">
        <v>27</v>
      </c>
      <c r="B693" t="s">
        <v>28</v>
      </c>
      <c r="C693">
        <v>2024</v>
      </c>
      <c r="D693" t="s">
        <v>63</v>
      </c>
      <c r="E693">
        <v>65767.179999999993</v>
      </c>
      <c r="F693">
        <v>48.6</v>
      </c>
      <c r="G693">
        <v>159</v>
      </c>
      <c r="H693">
        <v>110.2</v>
      </c>
      <c r="I693">
        <v>7.4</v>
      </c>
      <c r="J693">
        <v>137</v>
      </c>
      <c r="K693">
        <v>635</v>
      </c>
      <c r="L693">
        <v>584</v>
      </c>
      <c r="M693" t="s">
        <v>39</v>
      </c>
      <c r="N693">
        <v>7</v>
      </c>
      <c r="O693" t="s">
        <v>46</v>
      </c>
      <c r="P693">
        <v>66.8</v>
      </c>
      <c r="Q693">
        <v>1591</v>
      </c>
      <c r="R693">
        <v>5</v>
      </c>
      <c r="S693">
        <v>0</v>
      </c>
      <c r="T693" t="s">
        <v>32</v>
      </c>
      <c r="U693" t="s">
        <v>38</v>
      </c>
      <c r="V693">
        <v>214102</v>
      </c>
      <c r="W693">
        <v>3.4</v>
      </c>
      <c r="X693">
        <v>5</v>
      </c>
      <c r="Y693" t="s">
        <v>61</v>
      </c>
      <c r="Z693">
        <v>3.27</v>
      </c>
      <c r="AA693" t="s">
        <v>35</v>
      </c>
    </row>
    <row r="694" spans="1:27" x14ac:dyDescent="0.3">
      <c r="A694" t="s">
        <v>76</v>
      </c>
      <c r="B694" t="s">
        <v>87</v>
      </c>
      <c r="C694">
        <v>2025</v>
      </c>
      <c r="D694" t="s">
        <v>38</v>
      </c>
      <c r="E694">
        <v>72308.960000000006</v>
      </c>
      <c r="F694">
        <v>49.7</v>
      </c>
      <c r="G694">
        <v>167</v>
      </c>
      <c r="H694">
        <v>107.3</v>
      </c>
      <c r="I694">
        <v>6.71</v>
      </c>
      <c r="J694">
        <v>150</v>
      </c>
      <c r="K694">
        <v>906</v>
      </c>
      <c r="L694">
        <v>841</v>
      </c>
      <c r="M694" t="s">
        <v>30</v>
      </c>
      <c r="N694">
        <v>5</v>
      </c>
      <c r="O694" t="s">
        <v>46</v>
      </c>
      <c r="P694">
        <v>64.099999999999994</v>
      </c>
      <c r="Q694">
        <v>1602</v>
      </c>
      <c r="R694">
        <v>3</v>
      </c>
      <c r="S694">
        <v>0</v>
      </c>
      <c r="T694" t="s">
        <v>51</v>
      </c>
      <c r="U694" t="s">
        <v>38</v>
      </c>
      <c r="V694">
        <v>143294</v>
      </c>
      <c r="W694">
        <v>3.2</v>
      </c>
      <c r="X694">
        <v>4</v>
      </c>
      <c r="Y694" t="s">
        <v>43</v>
      </c>
      <c r="Z694">
        <v>3.36</v>
      </c>
      <c r="AA694" t="s">
        <v>35</v>
      </c>
    </row>
    <row r="695" spans="1:27" x14ac:dyDescent="0.3">
      <c r="A695" t="s">
        <v>71</v>
      </c>
      <c r="B695" t="s">
        <v>90</v>
      </c>
      <c r="C695">
        <v>2021</v>
      </c>
      <c r="D695" t="s">
        <v>29</v>
      </c>
      <c r="E695">
        <v>86937.42</v>
      </c>
      <c r="F695">
        <v>114.7</v>
      </c>
      <c r="G695">
        <v>426</v>
      </c>
      <c r="H695">
        <v>245.8</v>
      </c>
      <c r="I695">
        <v>4</v>
      </c>
      <c r="J695">
        <v>200</v>
      </c>
      <c r="K695">
        <v>961</v>
      </c>
      <c r="L695">
        <v>894</v>
      </c>
      <c r="M695" t="s">
        <v>39</v>
      </c>
      <c r="N695">
        <v>7</v>
      </c>
      <c r="O695" t="s">
        <v>65</v>
      </c>
      <c r="P695">
        <v>35.9</v>
      </c>
      <c r="Q695">
        <v>1500</v>
      </c>
      <c r="R695">
        <v>5</v>
      </c>
      <c r="S695">
        <v>1</v>
      </c>
      <c r="T695" t="s">
        <v>73</v>
      </c>
      <c r="U695" t="s">
        <v>38</v>
      </c>
      <c r="V695">
        <v>145646</v>
      </c>
      <c r="W695">
        <v>4.0999999999999996</v>
      </c>
      <c r="X695">
        <v>4</v>
      </c>
      <c r="Y695" t="s">
        <v>43</v>
      </c>
      <c r="Z695">
        <v>3.71</v>
      </c>
      <c r="AA695" t="s">
        <v>35</v>
      </c>
    </row>
    <row r="696" spans="1:27" x14ac:dyDescent="0.3">
      <c r="A696" t="s">
        <v>52</v>
      </c>
      <c r="B696" t="s">
        <v>53</v>
      </c>
      <c r="C696">
        <v>2026</v>
      </c>
      <c r="D696" t="s">
        <v>68</v>
      </c>
      <c r="E696">
        <v>127646.69</v>
      </c>
      <c r="F696">
        <v>65.599999999999994</v>
      </c>
      <c r="G696">
        <v>239</v>
      </c>
      <c r="H696">
        <v>238.5</v>
      </c>
      <c r="I696">
        <v>6.59</v>
      </c>
      <c r="J696">
        <v>154</v>
      </c>
      <c r="K696">
        <v>936</v>
      </c>
      <c r="L696">
        <v>844</v>
      </c>
      <c r="M696" t="s">
        <v>39</v>
      </c>
      <c r="N696">
        <v>7</v>
      </c>
      <c r="O696" t="s">
        <v>40</v>
      </c>
      <c r="P696">
        <v>57.6</v>
      </c>
      <c r="Q696">
        <v>2416</v>
      </c>
      <c r="R696">
        <v>4</v>
      </c>
      <c r="S696">
        <v>2</v>
      </c>
      <c r="T696" t="s">
        <v>47</v>
      </c>
      <c r="U696" t="s">
        <v>33</v>
      </c>
      <c r="V696">
        <v>120535</v>
      </c>
      <c r="W696">
        <v>3.7</v>
      </c>
      <c r="X696">
        <v>4</v>
      </c>
      <c r="Y696" t="s">
        <v>43</v>
      </c>
      <c r="Z696">
        <v>3.64</v>
      </c>
      <c r="AA696" t="s">
        <v>35</v>
      </c>
    </row>
    <row r="697" spans="1:27" x14ac:dyDescent="0.3">
      <c r="A697" t="s">
        <v>48</v>
      </c>
      <c r="B697" t="s">
        <v>49</v>
      </c>
      <c r="C697">
        <v>2025</v>
      </c>
      <c r="D697" t="s">
        <v>50</v>
      </c>
      <c r="E697">
        <v>37973.050000000003</v>
      </c>
      <c r="F697">
        <v>76.2</v>
      </c>
      <c r="G697">
        <v>263</v>
      </c>
      <c r="H697">
        <v>50.6</v>
      </c>
      <c r="I697">
        <v>4.99</v>
      </c>
      <c r="J697">
        <v>172</v>
      </c>
      <c r="K697">
        <v>328</v>
      </c>
      <c r="L697">
        <v>234</v>
      </c>
      <c r="M697" t="s">
        <v>54</v>
      </c>
      <c r="N697">
        <v>5</v>
      </c>
      <c r="O697" t="s">
        <v>40</v>
      </c>
      <c r="P697">
        <v>40.5</v>
      </c>
      <c r="Q697">
        <v>2061</v>
      </c>
      <c r="R697">
        <v>4</v>
      </c>
      <c r="S697">
        <v>2</v>
      </c>
      <c r="T697" t="s">
        <v>51</v>
      </c>
      <c r="U697" t="s">
        <v>42</v>
      </c>
      <c r="V697">
        <v>66783</v>
      </c>
      <c r="W697">
        <v>3.4</v>
      </c>
      <c r="X697">
        <v>4</v>
      </c>
      <c r="Y697" t="s">
        <v>43</v>
      </c>
      <c r="Z697">
        <v>3.45</v>
      </c>
      <c r="AA697" t="s">
        <v>35</v>
      </c>
    </row>
    <row r="698" spans="1:27" x14ac:dyDescent="0.3">
      <c r="A698" t="s">
        <v>71</v>
      </c>
      <c r="B698" t="s">
        <v>75</v>
      </c>
      <c r="C698">
        <v>2023</v>
      </c>
      <c r="D698" t="s">
        <v>50</v>
      </c>
      <c r="E698">
        <v>48954.46</v>
      </c>
      <c r="F698">
        <v>94.7</v>
      </c>
      <c r="G698">
        <v>326</v>
      </c>
      <c r="H698">
        <v>56.1</v>
      </c>
      <c r="I698">
        <v>4.75</v>
      </c>
      <c r="J698">
        <v>184</v>
      </c>
      <c r="K698">
        <v>512</v>
      </c>
      <c r="L698">
        <v>464</v>
      </c>
      <c r="M698" t="s">
        <v>30</v>
      </c>
      <c r="N698">
        <v>5</v>
      </c>
      <c r="O698" t="s">
        <v>46</v>
      </c>
      <c r="P698">
        <v>74</v>
      </c>
      <c r="Q698">
        <v>1616</v>
      </c>
      <c r="R698">
        <v>5</v>
      </c>
      <c r="S698">
        <v>1</v>
      </c>
      <c r="T698" t="s">
        <v>73</v>
      </c>
      <c r="U698" t="s">
        <v>42</v>
      </c>
      <c r="V698">
        <v>200483</v>
      </c>
      <c r="W698">
        <v>3.8</v>
      </c>
      <c r="X698">
        <v>4</v>
      </c>
      <c r="Y698" t="s">
        <v>43</v>
      </c>
      <c r="Z698">
        <v>3.44</v>
      </c>
      <c r="AA698" t="s">
        <v>35</v>
      </c>
    </row>
    <row r="699" spans="1:27" x14ac:dyDescent="0.3">
      <c r="A699" t="s">
        <v>48</v>
      </c>
      <c r="B699" t="s">
        <v>88</v>
      </c>
      <c r="C699">
        <v>2021</v>
      </c>
      <c r="D699" t="s">
        <v>50</v>
      </c>
      <c r="E699">
        <v>60641.55</v>
      </c>
      <c r="F699">
        <v>109.9</v>
      </c>
      <c r="G699">
        <v>404</v>
      </c>
      <c r="H699">
        <v>83.4</v>
      </c>
      <c r="I699">
        <v>5.66</v>
      </c>
      <c r="J699">
        <v>168</v>
      </c>
      <c r="K699">
        <v>698</v>
      </c>
      <c r="L699">
        <v>655</v>
      </c>
      <c r="M699" t="s">
        <v>30</v>
      </c>
      <c r="N699">
        <v>5</v>
      </c>
      <c r="O699" t="s">
        <v>40</v>
      </c>
      <c r="P699">
        <v>57.2</v>
      </c>
      <c r="Q699">
        <v>2142</v>
      </c>
      <c r="R699">
        <v>5</v>
      </c>
      <c r="S699">
        <v>2</v>
      </c>
      <c r="T699" t="s">
        <v>51</v>
      </c>
      <c r="U699" t="s">
        <v>42</v>
      </c>
      <c r="V699">
        <v>116742</v>
      </c>
      <c r="W699">
        <v>3.9</v>
      </c>
      <c r="X699">
        <v>5</v>
      </c>
      <c r="Y699" t="s">
        <v>43</v>
      </c>
      <c r="Z699">
        <v>3.68</v>
      </c>
      <c r="AA699" t="s">
        <v>35</v>
      </c>
    </row>
    <row r="700" spans="1:27" x14ac:dyDescent="0.3">
      <c r="A700" t="s">
        <v>52</v>
      </c>
      <c r="B700" t="s">
        <v>64</v>
      </c>
      <c r="C700">
        <v>2025</v>
      </c>
      <c r="D700" t="s">
        <v>50</v>
      </c>
      <c r="E700">
        <v>89182.57</v>
      </c>
      <c r="F700">
        <v>108.7</v>
      </c>
      <c r="G700">
        <v>358</v>
      </c>
      <c r="H700">
        <v>299.89999999999998</v>
      </c>
      <c r="I700">
        <v>5.62</v>
      </c>
      <c r="J700">
        <v>158</v>
      </c>
      <c r="K700">
        <v>683</v>
      </c>
      <c r="L700">
        <v>643</v>
      </c>
      <c r="M700" t="s">
        <v>39</v>
      </c>
      <c r="N700">
        <v>5</v>
      </c>
      <c r="O700" t="s">
        <v>31</v>
      </c>
      <c r="P700">
        <v>69.3</v>
      </c>
      <c r="Q700">
        <v>2123</v>
      </c>
      <c r="R700">
        <v>4</v>
      </c>
      <c r="S700">
        <v>2</v>
      </c>
      <c r="T700" t="s">
        <v>47</v>
      </c>
      <c r="U700" t="s">
        <v>38</v>
      </c>
      <c r="V700">
        <v>161378</v>
      </c>
      <c r="W700">
        <v>4</v>
      </c>
      <c r="X700">
        <v>6</v>
      </c>
      <c r="Y700" t="s">
        <v>43</v>
      </c>
      <c r="Z700">
        <v>3.29</v>
      </c>
      <c r="AA700" t="s">
        <v>35</v>
      </c>
    </row>
    <row r="701" spans="1:27" x14ac:dyDescent="0.3">
      <c r="A701" t="s">
        <v>76</v>
      </c>
      <c r="B701" t="s">
        <v>114</v>
      </c>
      <c r="C701">
        <v>2024</v>
      </c>
      <c r="D701" t="s">
        <v>38</v>
      </c>
      <c r="E701">
        <v>41142.11</v>
      </c>
      <c r="F701">
        <v>53.2</v>
      </c>
      <c r="G701">
        <v>176</v>
      </c>
      <c r="H701">
        <v>90.5</v>
      </c>
      <c r="I701">
        <v>5.85</v>
      </c>
      <c r="J701">
        <v>160</v>
      </c>
      <c r="K701">
        <v>367</v>
      </c>
      <c r="L701">
        <v>339</v>
      </c>
      <c r="M701" t="s">
        <v>30</v>
      </c>
      <c r="N701">
        <v>5</v>
      </c>
      <c r="O701" t="s">
        <v>56</v>
      </c>
      <c r="P701">
        <v>17.5</v>
      </c>
      <c r="Q701">
        <v>1865</v>
      </c>
      <c r="R701">
        <v>4</v>
      </c>
      <c r="S701">
        <v>1</v>
      </c>
      <c r="T701" t="s">
        <v>51</v>
      </c>
      <c r="U701" t="s">
        <v>42</v>
      </c>
      <c r="V701">
        <v>133250</v>
      </c>
      <c r="W701">
        <v>3.7</v>
      </c>
      <c r="X701">
        <v>4</v>
      </c>
      <c r="Y701" t="s">
        <v>43</v>
      </c>
      <c r="Z701">
        <v>3.31</v>
      </c>
      <c r="AA701" t="s">
        <v>35</v>
      </c>
    </row>
    <row r="702" spans="1:27" x14ac:dyDescent="0.3">
      <c r="A702" t="s">
        <v>76</v>
      </c>
      <c r="B702" t="s">
        <v>114</v>
      </c>
      <c r="C702">
        <v>2025</v>
      </c>
      <c r="D702" t="s">
        <v>50</v>
      </c>
      <c r="E702">
        <v>49595.48</v>
      </c>
      <c r="F702">
        <v>75.099999999999994</v>
      </c>
      <c r="G702">
        <v>260</v>
      </c>
      <c r="H702">
        <v>73.900000000000006</v>
      </c>
      <c r="I702">
        <v>4.53</v>
      </c>
      <c r="J702">
        <v>187</v>
      </c>
      <c r="K702">
        <v>496</v>
      </c>
      <c r="L702">
        <v>428</v>
      </c>
      <c r="M702" t="s">
        <v>54</v>
      </c>
      <c r="N702">
        <v>5</v>
      </c>
      <c r="O702" t="s">
        <v>57</v>
      </c>
      <c r="P702">
        <v>18.399999999999999</v>
      </c>
      <c r="Q702">
        <v>1805</v>
      </c>
      <c r="R702">
        <v>5</v>
      </c>
      <c r="S702">
        <v>0</v>
      </c>
      <c r="T702" t="s">
        <v>51</v>
      </c>
      <c r="U702" t="s">
        <v>42</v>
      </c>
      <c r="V702">
        <v>108288</v>
      </c>
      <c r="W702">
        <v>3.5</v>
      </c>
      <c r="X702">
        <v>4</v>
      </c>
      <c r="Y702" t="s">
        <v>43</v>
      </c>
      <c r="Z702">
        <v>3.46</v>
      </c>
      <c r="AA702" t="s">
        <v>35</v>
      </c>
    </row>
    <row r="703" spans="1:27" x14ac:dyDescent="0.3">
      <c r="A703" t="s">
        <v>52</v>
      </c>
      <c r="B703" t="s">
        <v>64</v>
      </c>
      <c r="C703">
        <v>2025</v>
      </c>
      <c r="D703" t="s">
        <v>63</v>
      </c>
      <c r="E703">
        <v>99045.61</v>
      </c>
      <c r="F703">
        <v>69.900000000000006</v>
      </c>
      <c r="G703">
        <v>238</v>
      </c>
      <c r="H703">
        <v>316.39999999999998</v>
      </c>
      <c r="I703">
        <v>7.86</v>
      </c>
      <c r="J703">
        <v>125</v>
      </c>
      <c r="K703">
        <v>716</v>
      </c>
      <c r="L703">
        <v>620</v>
      </c>
      <c r="M703" t="s">
        <v>39</v>
      </c>
      <c r="N703">
        <v>5</v>
      </c>
      <c r="O703" t="s">
        <v>40</v>
      </c>
      <c r="P703">
        <v>60.9</v>
      </c>
      <c r="Q703">
        <v>2154</v>
      </c>
      <c r="R703">
        <v>4</v>
      </c>
      <c r="S703">
        <v>3</v>
      </c>
      <c r="T703" t="s">
        <v>47</v>
      </c>
      <c r="U703" t="s">
        <v>38</v>
      </c>
      <c r="V703">
        <v>134937</v>
      </c>
      <c r="W703">
        <v>3.6</v>
      </c>
      <c r="X703">
        <v>5</v>
      </c>
      <c r="Y703" t="s">
        <v>61</v>
      </c>
      <c r="Z703">
        <v>3.4</v>
      </c>
      <c r="AA703" t="s">
        <v>35</v>
      </c>
    </row>
    <row r="704" spans="1:27" x14ac:dyDescent="0.3">
      <c r="A704" t="s">
        <v>71</v>
      </c>
      <c r="B704" t="s">
        <v>90</v>
      </c>
      <c r="C704">
        <v>2024</v>
      </c>
      <c r="D704" t="s">
        <v>68</v>
      </c>
      <c r="E704">
        <v>68838.03</v>
      </c>
      <c r="F704">
        <v>48.9</v>
      </c>
      <c r="G704">
        <v>180</v>
      </c>
      <c r="H704">
        <v>88.2</v>
      </c>
      <c r="I704">
        <v>6.45</v>
      </c>
      <c r="J704">
        <v>147</v>
      </c>
      <c r="K704">
        <v>757</v>
      </c>
      <c r="L704">
        <v>719</v>
      </c>
      <c r="M704" t="s">
        <v>39</v>
      </c>
      <c r="N704">
        <v>7</v>
      </c>
      <c r="O704" t="s">
        <v>57</v>
      </c>
      <c r="P704">
        <v>19.399999999999999</v>
      </c>
      <c r="Q704">
        <v>1666</v>
      </c>
      <c r="R704">
        <v>4</v>
      </c>
      <c r="S704">
        <v>0</v>
      </c>
      <c r="T704" t="s">
        <v>73</v>
      </c>
      <c r="U704" t="s">
        <v>38</v>
      </c>
      <c r="V704">
        <v>173863</v>
      </c>
      <c r="W704">
        <v>3</v>
      </c>
      <c r="X704">
        <v>5</v>
      </c>
      <c r="Y704" t="s">
        <v>43</v>
      </c>
      <c r="Z704">
        <v>3.68</v>
      </c>
      <c r="AA704" t="s">
        <v>35</v>
      </c>
    </row>
    <row r="705" spans="1:27" x14ac:dyDescent="0.3">
      <c r="A705" t="s">
        <v>52</v>
      </c>
      <c r="B705" t="s">
        <v>53</v>
      </c>
      <c r="C705">
        <v>2024</v>
      </c>
      <c r="D705" t="s">
        <v>50</v>
      </c>
      <c r="E705">
        <v>54793.42</v>
      </c>
      <c r="F705">
        <v>108.6</v>
      </c>
      <c r="G705">
        <v>395</v>
      </c>
      <c r="H705">
        <v>265.39999999999998</v>
      </c>
      <c r="I705">
        <v>4.22</v>
      </c>
      <c r="J705">
        <v>191</v>
      </c>
      <c r="K705">
        <v>350</v>
      </c>
      <c r="L705">
        <v>288</v>
      </c>
      <c r="M705" t="s">
        <v>39</v>
      </c>
      <c r="N705">
        <v>5</v>
      </c>
      <c r="O705" t="s">
        <v>56</v>
      </c>
      <c r="P705">
        <v>20.8</v>
      </c>
      <c r="Q705">
        <v>1657</v>
      </c>
      <c r="R705">
        <v>4</v>
      </c>
      <c r="S705">
        <v>3</v>
      </c>
      <c r="T705" t="s">
        <v>47</v>
      </c>
      <c r="U705" t="s">
        <v>42</v>
      </c>
      <c r="V705">
        <v>136524</v>
      </c>
      <c r="W705">
        <v>4.4000000000000004</v>
      </c>
      <c r="X705">
        <v>6</v>
      </c>
      <c r="Y705" t="s">
        <v>43</v>
      </c>
      <c r="Z705">
        <v>3.64</v>
      </c>
      <c r="AA705" t="s">
        <v>35</v>
      </c>
    </row>
    <row r="706" spans="1:27" x14ac:dyDescent="0.3">
      <c r="A706" t="s">
        <v>52</v>
      </c>
      <c r="B706" t="s">
        <v>80</v>
      </c>
      <c r="C706">
        <v>2025</v>
      </c>
      <c r="D706" t="s">
        <v>38</v>
      </c>
      <c r="E706">
        <v>160711.64000000001</v>
      </c>
      <c r="F706">
        <v>76.8</v>
      </c>
      <c r="G706">
        <v>290</v>
      </c>
      <c r="H706">
        <v>265</v>
      </c>
      <c r="I706">
        <v>6.64</v>
      </c>
      <c r="J706">
        <v>153</v>
      </c>
      <c r="K706">
        <v>1000</v>
      </c>
      <c r="L706">
        <v>885</v>
      </c>
      <c r="M706" t="s">
        <v>30</v>
      </c>
      <c r="N706">
        <v>5</v>
      </c>
      <c r="O706" t="s">
        <v>31</v>
      </c>
      <c r="P706">
        <v>67.5</v>
      </c>
      <c r="Q706">
        <v>2776</v>
      </c>
      <c r="R706">
        <v>5</v>
      </c>
      <c r="S706">
        <v>2</v>
      </c>
      <c r="T706" t="s">
        <v>47</v>
      </c>
      <c r="U706" t="s">
        <v>33</v>
      </c>
      <c r="V706">
        <v>208796</v>
      </c>
      <c r="W706">
        <v>4</v>
      </c>
      <c r="X706">
        <v>5</v>
      </c>
      <c r="Y706" t="s">
        <v>43</v>
      </c>
      <c r="Z706">
        <v>3.78</v>
      </c>
      <c r="AA706" t="s">
        <v>35</v>
      </c>
    </row>
    <row r="707" spans="1:27" x14ac:dyDescent="0.3">
      <c r="A707" t="s">
        <v>129</v>
      </c>
      <c r="B707" t="s">
        <v>143</v>
      </c>
      <c r="C707">
        <v>2026</v>
      </c>
      <c r="D707" t="s">
        <v>50</v>
      </c>
      <c r="E707">
        <v>68234.87</v>
      </c>
      <c r="F707">
        <v>75.5</v>
      </c>
      <c r="G707">
        <v>251</v>
      </c>
      <c r="H707">
        <v>127</v>
      </c>
      <c r="I707">
        <v>5.73</v>
      </c>
      <c r="J707">
        <v>165</v>
      </c>
      <c r="K707">
        <v>493</v>
      </c>
      <c r="L707">
        <v>456</v>
      </c>
      <c r="M707" t="s">
        <v>39</v>
      </c>
      <c r="N707">
        <v>5</v>
      </c>
      <c r="O707" t="s">
        <v>40</v>
      </c>
      <c r="P707">
        <v>41.7</v>
      </c>
      <c r="Q707">
        <v>2235</v>
      </c>
      <c r="R707">
        <v>4</v>
      </c>
      <c r="S707">
        <v>0</v>
      </c>
      <c r="T707" t="s">
        <v>131</v>
      </c>
      <c r="U707" t="s">
        <v>38</v>
      </c>
      <c r="V707">
        <v>22605</v>
      </c>
      <c r="W707">
        <v>3.3</v>
      </c>
      <c r="X707">
        <v>3</v>
      </c>
      <c r="Y707" t="s">
        <v>43</v>
      </c>
      <c r="Z707">
        <v>3.32</v>
      </c>
      <c r="AA707" t="s">
        <v>35</v>
      </c>
    </row>
    <row r="708" spans="1:27" x14ac:dyDescent="0.3">
      <c r="A708" t="s">
        <v>71</v>
      </c>
      <c r="B708" t="s">
        <v>75</v>
      </c>
      <c r="C708">
        <v>2023</v>
      </c>
      <c r="D708" t="s">
        <v>63</v>
      </c>
      <c r="E708">
        <v>53518.98</v>
      </c>
      <c r="F708">
        <v>71.2</v>
      </c>
      <c r="G708">
        <v>260</v>
      </c>
      <c r="H708">
        <v>109.6</v>
      </c>
      <c r="I708">
        <v>6.1</v>
      </c>
      <c r="J708">
        <v>153</v>
      </c>
      <c r="K708">
        <v>632</v>
      </c>
      <c r="L708">
        <v>516</v>
      </c>
      <c r="M708" t="s">
        <v>39</v>
      </c>
      <c r="N708">
        <v>7</v>
      </c>
      <c r="O708" t="s">
        <v>56</v>
      </c>
      <c r="P708">
        <v>28.5</v>
      </c>
      <c r="Q708">
        <v>1500</v>
      </c>
      <c r="R708">
        <v>4</v>
      </c>
      <c r="S708">
        <v>2</v>
      </c>
      <c r="T708" t="s">
        <v>73</v>
      </c>
      <c r="U708" t="s">
        <v>42</v>
      </c>
      <c r="V708">
        <v>222794</v>
      </c>
      <c r="W708">
        <v>3.2</v>
      </c>
      <c r="X708">
        <v>4</v>
      </c>
      <c r="Y708" t="s">
        <v>43</v>
      </c>
      <c r="Z708">
        <v>3.65</v>
      </c>
      <c r="AA708" t="s">
        <v>35</v>
      </c>
    </row>
    <row r="709" spans="1:27" x14ac:dyDescent="0.3">
      <c r="A709" t="s">
        <v>84</v>
      </c>
      <c r="B709" t="s">
        <v>89</v>
      </c>
      <c r="C709">
        <v>2025</v>
      </c>
      <c r="D709" t="s">
        <v>68</v>
      </c>
      <c r="E709">
        <v>43156.03</v>
      </c>
      <c r="F709">
        <v>81.3</v>
      </c>
      <c r="G709">
        <v>293</v>
      </c>
      <c r="H709">
        <v>146.69999999999999</v>
      </c>
      <c r="I709">
        <v>7.18</v>
      </c>
      <c r="J709">
        <v>139</v>
      </c>
      <c r="K709">
        <v>341</v>
      </c>
      <c r="L709">
        <v>288</v>
      </c>
      <c r="M709" t="s">
        <v>39</v>
      </c>
      <c r="N709">
        <v>5</v>
      </c>
      <c r="O709" t="s">
        <v>46</v>
      </c>
      <c r="P709">
        <v>65.400000000000006</v>
      </c>
      <c r="Q709">
        <v>1526</v>
      </c>
      <c r="R709">
        <v>4</v>
      </c>
      <c r="S709">
        <v>2</v>
      </c>
      <c r="T709" t="s">
        <v>47</v>
      </c>
      <c r="U709" t="s">
        <v>42</v>
      </c>
      <c r="V709">
        <v>34530</v>
      </c>
      <c r="W709">
        <v>3.8</v>
      </c>
      <c r="X709">
        <v>4</v>
      </c>
      <c r="Y709" t="s">
        <v>61</v>
      </c>
      <c r="Z709">
        <v>3.6</v>
      </c>
      <c r="AA709" t="s">
        <v>35</v>
      </c>
    </row>
    <row r="710" spans="1:27" x14ac:dyDescent="0.3">
      <c r="A710" t="s">
        <v>71</v>
      </c>
      <c r="B710" t="s">
        <v>90</v>
      </c>
      <c r="C710">
        <v>2021</v>
      </c>
      <c r="D710" t="s">
        <v>63</v>
      </c>
      <c r="E710">
        <v>44708.41</v>
      </c>
      <c r="F710">
        <v>55.8</v>
      </c>
      <c r="G710">
        <v>204</v>
      </c>
      <c r="H710">
        <v>97.6</v>
      </c>
      <c r="I710">
        <v>7.34</v>
      </c>
      <c r="J710">
        <v>146</v>
      </c>
      <c r="K710">
        <v>492</v>
      </c>
      <c r="L710">
        <v>419</v>
      </c>
      <c r="M710" t="s">
        <v>54</v>
      </c>
      <c r="N710">
        <v>7</v>
      </c>
      <c r="O710" t="s">
        <v>56</v>
      </c>
      <c r="P710">
        <v>18.7</v>
      </c>
      <c r="Q710">
        <v>1500</v>
      </c>
      <c r="R710">
        <v>4</v>
      </c>
      <c r="S710">
        <v>0</v>
      </c>
      <c r="T710" t="s">
        <v>73</v>
      </c>
      <c r="U710" t="s">
        <v>42</v>
      </c>
      <c r="V710">
        <v>132992</v>
      </c>
      <c r="W710">
        <v>3.3</v>
      </c>
      <c r="X710">
        <v>4</v>
      </c>
      <c r="Y710" t="s">
        <v>61</v>
      </c>
      <c r="Z710">
        <v>3.66</v>
      </c>
      <c r="AA710" t="s">
        <v>35</v>
      </c>
    </row>
    <row r="711" spans="1:27" x14ac:dyDescent="0.3">
      <c r="A711" t="s">
        <v>91</v>
      </c>
      <c r="B711" t="s">
        <v>92</v>
      </c>
      <c r="C711">
        <v>2022</v>
      </c>
      <c r="D711" t="s">
        <v>50</v>
      </c>
      <c r="E711">
        <v>115394.15</v>
      </c>
      <c r="F711">
        <v>98.5</v>
      </c>
      <c r="G711">
        <v>343</v>
      </c>
      <c r="H711">
        <v>61</v>
      </c>
      <c r="I711">
        <v>4.9400000000000004</v>
      </c>
      <c r="J711">
        <v>167</v>
      </c>
      <c r="K711">
        <v>1000</v>
      </c>
      <c r="L711">
        <v>863</v>
      </c>
      <c r="M711" t="s">
        <v>30</v>
      </c>
      <c r="N711">
        <v>5</v>
      </c>
      <c r="O711" t="s">
        <v>65</v>
      </c>
      <c r="P711">
        <v>18.5</v>
      </c>
      <c r="Q711">
        <v>1500</v>
      </c>
      <c r="R711">
        <v>5</v>
      </c>
      <c r="S711">
        <v>1</v>
      </c>
      <c r="T711" t="s">
        <v>32</v>
      </c>
      <c r="U711" t="s">
        <v>33</v>
      </c>
      <c r="V711">
        <v>58674</v>
      </c>
      <c r="W711">
        <v>3.4</v>
      </c>
      <c r="X711">
        <v>5</v>
      </c>
      <c r="Y711" t="s">
        <v>43</v>
      </c>
      <c r="Z711">
        <v>3.48</v>
      </c>
      <c r="AA711" t="s">
        <v>35</v>
      </c>
    </row>
    <row r="712" spans="1:27" x14ac:dyDescent="0.3">
      <c r="A712" t="s">
        <v>44</v>
      </c>
      <c r="B712" t="s">
        <v>109</v>
      </c>
      <c r="C712">
        <v>2025</v>
      </c>
      <c r="D712" t="s">
        <v>63</v>
      </c>
      <c r="E712">
        <v>38010.06</v>
      </c>
      <c r="F712">
        <v>62.7</v>
      </c>
      <c r="G712">
        <v>226</v>
      </c>
      <c r="H712">
        <v>57</v>
      </c>
      <c r="I712">
        <v>7.27</v>
      </c>
      <c r="J712">
        <v>137</v>
      </c>
      <c r="K712">
        <v>303</v>
      </c>
      <c r="L712">
        <v>283</v>
      </c>
      <c r="M712" t="s">
        <v>54</v>
      </c>
      <c r="N712">
        <v>7</v>
      </c>
      <c r="O712" t="s">
        <v>56</v>
      </c>
      <c r="P712">
        <v>27</v>
      </c>
      <c r="Q712">
        <v>1852</v>
      </c>
      <c r="R712">
        <v>4</v>
      </c>
      <c r="S712">
        <v>2</v>
      </c>
      <c r="T712" t="s">
        <v>47</v>
      </c>
      <c r="U712" t="s">
        <v>42</v>
      </c>
      <c r="V712">
        <v>16274</v>
      </c>
      <c r="W712">
        <v>3.2</v>
      </c>
      <c r="X712">
        <v>4</v>
      </c>
      <c r="Y712" t="s">
        <v>61</v>
      </c>
      <c r="Z712">
        <v>3.6</v>
      </c>
      <c r="AA712" t="s">
        <v>43</v>
      </c>
    </row>
    <row r="713" spans="1:27" x14ac:dyDescent="0.3">
      <c r="A713" t="s">
        <v>48</v>
      </c>
      <c r="B713" t="s">
        <v>123</v>
      </c>
      <c r="C713">
        <v>2024</v>
      </c>
      <c r="D713" t="s">
        <v>68</v>
      </c>
      <c r="E713">
        <v>70386.61</v>
      </c>
      <c r="F713">
        <v>70.900000000000006</v>
      </c>
      <c r="G713">
        <v>215</v>
      </c>
      <c r="H713">
        <v>57.3</v>
      </c>
      <c r="I713">
        <v>5.0199999999999996</v>
      </c>
      <c r="J713">
        <v>168</v>
      </c>
      <c r="K713">
        <v>727</v>
      </c>
      <c r="L713">
        <v>681</v>
      </c>
      <c r="M713" t="s">
        <v>54</v>
      </c>
      <c r="N713">
        <v>5</v>
      </c>
      <c r="O713" t="s">
        <v>65</v>
      </c>
      <c r="P713">
        <v>38.700000000000003</v>
      </c>
      <c r="Q713">
        <v>1504</v>
      </c>
      <c r="R713">
        <v>4</v>
      </c>
      <c r="S713">
        <v>0</v>
      </c>
      <c r="T713" t="s">
        <v>51</v>
      </c>
      <c r="U713" t="s">
        <v>38</v>
      </c>
      <c r="V713">
        <v>72998</v>
      </c>
      <c r="W713">
        <v>3.4</v>
      </c>
      <c r="X713">
        <v>4</v>
      </c>
      <c r="Y713" t="s">
        <v>43</v>
      </c>
      <c r="Z713">
        <v>3.03</v>
      </c>
      <c r="AA713" t="s">
        <v>35</v>
      </c>
    </row>
    <row r="714" spans="1:27" x14ac:dyDescent="0.3">
      <c r="A714" t="s">
        <v>76</v>
      </c>
      <c r="B714" t="s">
        <v>98</v>
      </c>
      <c r="C714">
        <v>2022</v>
      </c>
      <c r="D714" t="s">
        <v>50</v>
      </c>
      <c r="E714">
        <v>67747.05</v>
      </c>
      <c r="F714">
        <v>89.8</v>
      </c>
      <c r="G714">
        <v>333</v>
      </c>
      <c r="H714">
        <v>82.6</v>
      </c>
      <c r="I714">
        <v>4.95</v>
      </c>
      <c r="J714">
        <v>173</v>
      </c>
      <c r="K714">
        <v>779</v>
      </c>
      <c r="L714">
        <v>667</v>
      </c>
      <c r="M714" t="s">
        <v>30</v>
      </c>
      <c r="N714">
        <v>5</v>
      </c>
      <c r="O714" t="s">
        <v>57</v>
      </c>
      <c r="P714">
        <v>29.8</v>
      </c>
      <c r="Q714">
        <v>1778</v>
      </c>
      <c r="R714">
        <v>5</v>
      </c>
      <c r="S714">
        <v>2</v>
      </c>
      <c r="T714" t="s">
        <v>51</v>
      </c>
      <c r="U714" t="s">
        <v>38</v>
      </c>
      <c r="V714">
        <v>100096</v>
      </c>
      <c r="W714">
        <v>3.6</v>
      </c>
      <c r="X714">
        <v>4</v>
      </c>
      <c r="Y714" t="s">
        <v>43</v>
      </c>
      <c r="Z714">
        <v>3.71</v>
      </c>
      <c r="AA714" t="s">
        <v>35</v>
      </c>
    </row>
    <row r="715" spans="1:27" x14ac:dyDescent="0.3">
      <c r="A715" t="s">
        <v>27</v>
      </c>
      <c r="B715" t="s">
        <v>78</v>
      </c>
      <c r="C715">
        <v>2024</v>
      </c>
      <c r="D715" t="s">
        <v>29</v>
      </c>
      <c r="E715">
        <v>78109.649999999994</v>
      </c>
      <c r="F715">
        <v>110.5</v>
      </c>
      <c r="G715">
        <v>383</v>
      </c>
      <c r="H715">
        <v>158.6</v>
      </c>
      <c r="I715">
        <v>2.78</v>
      </c>
      <c r="J715">
        <v>200</v>
      </c>
      <c r="K715">
        <v>886</v>
      </c>
      <c r="L715">
        <v>783</v>
      </c>
      <c r="M715" t="s">
        <v>39</v>
      </c>
      <c r="N715">
        <v>7</v>
      </c>
      <c r="O715" t="s">
        <v>31</v>
      </c>
      <c r="P715">
        <v>78</v>
      </c>
      <c r="Q715">
        <v>2339</v>
      </c>
      <c r="R715">
        <v>5</v>
      </c>
      <c r="S715">
        <v>0</v>
      </c>
      <c r="T715" t="s">
        <v>32</v>
      </c>
      <c r="U715" t="s">
        <v>38</v>
      </c>
      <c r="V715">
        <v>260956</v>
      </c>
      <c r="W715">
        <v>3.7</v>
      </c>
      <c r="X715">
        <v>4</v>
      </c>
      <c r="Y715" t="s">
        <v>34</v>
      </c>
      <c r="Z715">
        <v>3.47</v>
      </c>
      <c r="AA715" t="s">
        <v>35</v>
      </c>
    </row>
    <row r="716" spans="1:27" x14ac:dyDescent="0.3">
      <c r="A716" t="s">
        <v>71</v>
      </c>
      <c r="B716" t="s">
        <v>96</v>
      </c>
      <c r="C716">
        <v>2025</v>
      </c>
      <c r="D716" t="s">
        <v>63</v>
      </c>
      <c r="E716">
        <v>23230.02</v>
      </c>
      <c r="F716">
        <v>80.599999999999994</v>
      </c>
      <c r="G716">
        <v>262</v>
      </c>
      <c r="H716">
        <v>77.900000000000006</v>
      </c>
      <c r="I716">
        <v>6.83</v>
      </c>
      <c r="J716">
        <v>151</v>
      </c>
      <c r="K716">
        <v>173</v>
      </c>
      <c r="L716">
        <v>200</v>
      </c>
      <c r="M716" t="s">
        <v>30</v>
      </c>
      <c r="N716">
        <v>5</v>
      </c>
      <c r="O716" t="s">
        <v>46</v>
      </c>
      <c r="P716">
        <v>71.2</v>
      </c>
      <c r="Q716">
        <v>1500</v>
      </c>
      <c r="R716">
        <v>5</v>
      </c>
      <c r="S716">
        <v>0</v>
      </c>
      <c r="T716" t="s">
        <v>73</v>
      </c>
      <c r="U716" t="s">
        <v>74</v>
      </c>
      <c r="V716">
        <v>183226</v>
      </c>
      <c r="W716">
        <v>3.8</v>
      </c>
      <c r="X716">
        <v>4</v>
      </c>
      <c r="Y716" t="s">
        <v>43</v>
      </c>
      <c r="Z716">
        <v>3.25</v>
      </c>
      <c r="AA716" t="s">
        <v>35</v>
      </c>
    </row>
    <row r="717" spans="1:27" x14ac:dyDescent="0.3">
      <c r="A717" t="s">
        <v>102</v>
      </c>
      <c r="B717" t="s">
        <v>136</v>
      </c>
      <c r="C717">
        <v>2026</v>
      </c>
      <c r="D717" t="s">
        <v>68</v>
      </c>
      <c r="E717">
        <v>87078.44</v>
      </c>
      <c r="F717">
        <v>72.099999999999994</v>
      </c>
      <c r="G717">
        <v>262</v>
      </c>
      <c r="H717">
        <v>114.3</v>
      </c>
      <c r="I717">
        <v>6.22</v>
      </c>
      <c r="J717">
        <v>150</v>
      </c>
      <c r="K717">
        <v>1000</v>
      </c>
      <c r="L717">
        <v>898</v>
      </c>
      <c r="M717" t="s">
        <v>54</v>
      </c>
      <c r="N717">
        <v>5</v>
      </c>
      <c r="O717" t="s">
        <v>57</v>
      </c>
      <c r="P717">
        <v>28</v>
      </c>
      <c r="Q717">
        <v>1649</v>
      </c>
      <c r="R717">
        <v>5</v>
      </c>
      <c r="S717">
        <v>0</v>
      </c>
      <c r="T717" t="s">
        <v>47</v>
      </c>
      <c r="U717" t="s">
        <v>38</v>
      </c>
      <c r="V717">
        <v>21561</v>
      </c>
      <c r="W717">
        <v>3.7</v>
      </c>
      <c r="X717">
        <v>5</v>
      </c>
      <c r="Y717" t="s">
        <v>43</v>
      </c>
      <c r="Z717">
        <v>3.63</v>
      </c>
      <c r="AA717" t="s">
        <v>35</v>
      </c>
    </row>
    <row r="718" spans="1:27" x14ac:dyDescent="0.3">
      <c r="A718" t="s">
        <v>58</v>
      </c>
      <c r="B718" t="s">
        <v>70</v>
      </c>
      <c r="C718">
        <v>2023</v>
      </c>
      <c r="D718" t="s">
        <v>50</v>
      </c>
      <c r="E718">
        <v>133058.62</v>
      </c>
      <c r="F718">
        <v>89.4</v>
      </c>
      <c r="G718">
        <v>309</v>
      </c>
      <c r="H718">
        <v>123.4</v>
      </c>
      <c r="I718">
        <v>5.84</v>
      </c>
      <c r="J718">
        <v>158</v>
      </c>
      <c r="K718">
        <v>777</v>
      </c>
      <c r="L718">
        <v>661</v>
      </c>
      <c r="M718" t="s">
        <v>30</v>
      </c>
      <c r="N718">
        <v>7</v>
      </c>
      <c r="O718" t="s">
        <v>31</v>
      </c>
      <c r="P718">
        <v>65.8</v>
      </c>
      <c r="Q718">
        <v>2651</v>
      </c>
      <c r="R718">
        <v>5</v>
      </c>
      <c r="S718">
        <v>1</v>
      </c>
      <c r="T718" t="s">
        <v>32</v>
      </c>
      <c r="U718" t="s">
        <v>33</v>
      </c>
      <c r="V718">
        <v>29039</v>
      </c>
      <c r="W718">
        <v>4</v>
      </c>
      <c r="X718">
        <v>8</v>
      </c>
      <c r="Y718" t="s">
        <v>43</v>
      </c>
      <c r="Z718">
        <v>3.46</v>
      </c>
      <c r="AA718" t="s">
        <v>35</v>
      </c>
    </row>
    <row r="719" spans="1:27" x14ac:dyDescent="0.3">
      <c r="A719" t="s">
        <v>66</v>
      </c>
      <c r="B719" t="s">
        <v>67</v>
      </c>
      <c r="C719">
        <v>2026</v>
      </c>
      <c r="D719" t="s">
        <v>63</v>
      </c>
      <c r="E719">
        <v>89077.35</v>
      </c>
      <c r="F719">
        <v>81.7</v>
      </c>
      <c r="G719">
        <v>286</v>
      </c>
      <c r="H719">
        <v>60.9</v>
      </c>
      <c r="I719">
        <v>6.38</v>
      </c>
      <c r="J719">
        <v>155</v>
      </c>
      <c r="K719">
        <v>727</v>
      </c>
      <c r="L719">
        <v>707</v>
      </c>
      <c r="M719" t="s">
        <v>39</v>
      </c>
      <c r="N719">
        <v>5</v>
      </c>
      <c r="O719" t="s">
        <v>57</v>
      </c>
      <c r="P719">
        <v>33.299999999999997</v>
      </c>
      <c r="Q719">
        <v>1746</v>
      </c>
      <c r="R719">
        <v>4</v>
      </c>
      <c r="S719">
        <v>2</v>
      </c>
      <c r="T719" t="s">
        <v>47</v>
      </c>
      <c r="U719" t="s">
        <v>38</v>
      </c>
      <c r="V719">
        <v>28442</v>
      </c>
      <c r="W719">
        <v>3.6</v>
      </c>
      <c r="X719">
        <v>5</v>
      </c>
      <c r="Y719" t="s">
        <v>43</v>
      </c>
      <c r="Z719">
        <v>3.5</v>
      </c>
      <c r="AA719" t="s">
        <v>35</v>
      </c>
    </row>
    <row r="720" spans="1:27" x14ac:dyDescent="0.3">
      <c r="A720" t="s">
        <v>52</v>
      </c>
      <c r="B720" t="s">
        <v>53</v>
      </c>
      <c r="C720">
        <v>2025</v>
      </c>
      <c r="D720" t="s">
        <v>38</v>
      </c>
      <c r="E720">
        <v>106221.52</v>
      </c>
      <c r="F720">
        <v>66.8</v>
      </c>
      <c r="G720">
        <v>251</v>
      </c>
      <c r="H720">
        <v>322.10000000000002</v>
      </c>
      <c r="I720">
        <v>7.55</v>
      </c>
      <c r="J720">
        <v>134</v>
      </c>
      <c r="K720">
        <v>785</v>
      </c>
      <c r="L720">
        <v>681</v>
      </c>
      <c r="M720" t="s">
        <v>30</v>
      </c>
      <c r="N720">
        <v>7</v>
      </c>
      <c r="O720" t="s">
        <v>65</v>
      </c>
      <c r="P720">
        <v>24.8</v>
      </c>
      <c r="Q720">
        <v>1593</v>
      </c>
      <c r="R720">
        <v>4</v>
      </c>
      <c r="S720">
        <v>2</v>
      </c>
      <c r="T720" t="s">
        <v>47</v>
      </c>
      <c r="U720" t="s">
        <v>33</v>
      </c>
      <c r="V720">
        <v>106799</v>
      </c>
      <c r="W720">
        <v>3.7</v>
      </c>
      <c r="X720">
        <v>5</v>
      </c>
      <c r="Y720" t="s">
        <v>61</v>
      </c>
      <c r="Z720">
        <v>3.76</v>
      </c>
      <c r="AA720" t="s">
        <v>35</v>
      </c>
    </row>
    <row r="721" spans="1:27" x14ac:dyDescent="0.3">
      <c r="A721" t="s">
        <v>44</v>
      </c>
      <c r="B721" t="s">
        <v>45</v>
      </c>
      <c r="C721">
        <v>2024</v>
      </c>
      <c r="D721" t="s">
        <v>68</v>
      </c>
      <c r="E721">
        <v>59253.96</v>
      </c>
      <c r="F721">
        <v>56.6</v>
      </c>
      <c r="G721">
        <v>223</v>
      </c>
      <c r="H721">
        <v>145.1</v>
      </c>
      <c r="I721">
        <v>5.33</v>
      </c>
      <c r="J721">
        <v>160</v>
      </c>
      <c r="K721">
        <v>753</v>
      </c>
      <c r="L721">
        <v>666</v>
      </c>
      <c r="M721" t="s">
        <v>54</v>
      </c>
      <c r="N721">
        <v>7</v>
      </c>
      <c r="O721" t="s">
        <v>31</v>
      </c>
      <c r="P721">
        <v>64</v>
      </c>
      <c r="Q721">
        <v>2655</v>
      </c>
      <c r="R721">
        <v>5</v>
      </c>
      <c r="S721">
        <v>2</v>
      </c>
      <c r="T721" t="s">
        <v>47</v>
      </c>
      <c r="U721" t="s">
        <v>42</v>
      </c>
      <c r="V721">
        <v>22516</v>
      </c>
      <c r="W721">
        <v>3.7</v>
      </c>
      <c r="X721">
        <v>4</v>
      </c>
      <c r="Y721" t="s">
        <v>43</v>
      </c>
      <c r="Z721">
        <v>3.94</v>
      </c>
      <c r="AA721" t="s">
        <v>35</v>
      </c>
    </row>
    <row r="722" spans="1:27" x14ac:dyDescent="0.3">
      <c r="A722" t="s">
        <v>100</v>
      </c>
      <c r="B722" t="s">
        <v>101</v>
      </c>
      <c r="C722">
        <v>2025</v>
      </c>
      <c r="D722" t="s">
        <v>68</v>
      </c>
      <c r="E722">
        <v>70152.19</v>
      </c>
      <c r="F722">
        <v>44.1</v>
      </c>
      <c r="G722">
        <v>160</v>
      </c>
      <c r="H722">
        <v>64.900000000000006</v>
      </c>
      <c r="I722">
        <v>5.79</v>
      </c>
      <c r="J722">
        <v>156</v>
      </c>
      <c r="K722">
        <v>523</v>
      </c>
      <c r="L722">
        <v>459</v>
      </c>
      <c r="M722" t="s">
        <v>30</v>
      </c>
      <c r="N722">
        <v>7</v>
      </c>
      <c r="O722" t="s">
        <v>31</v>
      </c>
      <c r="P722">
        <v>60.4</v>
      </c>
      <c r="Q722">
        <v>2579</v>
      </c>
      <c r="R722">
        <v>5</v>
      </c>
      <c r="S722">
        <v>0</v>
      </c>
      <c r="T722" t="s">
        <v>73</v>
      </c>
      <c r="U722" t="s">
        <v>38</v>
      </c>
      <c r="V722">
        <v>21427</v>
      </c>
      <c r="W722">
        <v>3</v>
      </c>
      <c r="X722">
        <v>3</v>
      </c>
      <c r="Y722" t="s">
        <v>43</v>
      </c>
      <c r="Z722">
        <v>3.63</v>
      </c>
      <c r="AA722" t="s">
        <v>35</v>
      </c>
    </row>
    <row r="723" spans="1:27" x14ac:dyDescent="0.3">
      <c r="A723" t="s">
        <v>52</v>
      </c>
      <c r="B723" t="s">
        <v>86</v>
      </c>
      <c r="C723">
        <v>2022</v>
      </c>
      <c r="D723" t="s">
        <v>68</v>
      </c>
      <c r="E723">
        <v>45367.75</v>
      </c>
      <c r="F723">
        <v>80.8</v>
      </c>
      <c r="G723">
        <v>287</v>
      </c>
      <c r="H723">
        <v>280.7</v>
      </c>
      <c r="I723">
        <v>7.63</v>
      </c>
      <c r="J723">
        <v>134</v>
      </c>
      <c r="K723">
        <v>319</v>
      </c>
      <c r="L723">
        <v>269</v>
      </c>
      <c r="M723" t="s">
        <v>39</v>
      </c>
      <c r="N723">
        <v>5</v>
      </c>
      <c r="O723" t="s">
        <v>65</v>
      </c>
      <c r="P723">
        <v>32.799999999999997</v>
      </c>
      <c r="Q723">
        <v>1627</v>
      </c>
      <c r="R723">
        <v>5</v>
      </c>
      <c r="S723">
        <v>2</v>
      </c>
      <c r="T723" t="s">
        <v>47</v>
      </c>
      <c r="U723" t="s">
        <v>42</v>
      </c>
      <c r="V723">
        <v>112809</v>
      </c>
      <c r="W723">
        <v>3.7</v>
      </c>
      <c r="X723">
        <v>5</v>
      </c>
      <c r="Y723" t="s">
        <v>61</v>
      </c>
      <c r="Z723">
        <v>3.55</v>
      </c>
      <c r="AA723" t="s">
        <v>35</v>
      </c>
    </row>
    <row r="724" spans="1:27" x14ac:dyDescent="0.3">
      <c r="A724" t="s">
        <v>52</v>
      </c>
      <c r="B724" t="s">
        <v>80</v>
      </c>
      <c r="C724">
        <v>2026</v>
      </c>
      <c r="D724" t="s">
        <v>63</v>
      </c>
      <c r="E724">
        <v>101101.42</v>
      </c>
      <c r="F724">
        <v>71.8</v>
      </c>
      <c r="G724">
        <v>255</v>
      </c>
      <c r="H724">
        <v>345.4</v>
      </c>
      <c r="I724">
        <v>5.47</v>
      </c>
      <c r="J724">
        <v>163</v>
      </c>
      <c r="K724">
        <v>743</v>
      </c>
      <c r="L724">
        <v>693</v>
      </c>
      <c r="M724" t="s">
        <v>54</v>
      </c>
      <c r="N724">
        <v>5</v>
      </c>
      <c r="O724" t="s">
        <v>31</v>
      </c>
      <c r="P724">
        <v>58.6</v>
      </c>
      <c r="Q724">
        <v>2449</v>
      </c>
      <c r="R724">
        <v>3</v>
      </c>
      <c r="S724">
        <v>2</v>
      </c>
      <c r="T724" t="s">
        <v>47</v>
      </c>
      <c r="U724" t="s">
        <v>33</v>
      </c>
      <c r="V724">
        <v>118722</v>
      </c>
      <c r="W724">
        <v>3.9</v>
      </c>
      <c r="X724">
        <v>5</v>
      </c>
      <c r="Y724" t="s">
        <v>43</v>
      </c>
      <c r="Z724">
        <v>3.55</v>
      </c>
      <c r="AA724" t="s">
        <v>35</v>
      </c>
    </row>
    <row r="725" spans="1:27" x14ac:dyDescent="0.3">
      <c r="A725" t="s">
        <v>44</v>
      </c>
      <c r="B725" t="s">
        <v>126</v>
      </c>
      <c r="C725">
        <v>2024</v>
      </c>
      <c r="D725" t="s">
        <v>29</v>
      </c>
      <c r="E725">
        <v>71690.64</v>
      </c>
      <c r="F725">
        <v>77.900000000000006</v>
      </c>
      <c r="G725">
        <v>282</v>
      </c>
      <c r="H725">
        <v>184.2</v>
      </c>
      <c r="I725">
        <v>2.81</v>
      </c>
      <c r="J725">
        <v>200</v>
      </c>
      <c r="K725">
        <v>1000</v>
      </c>
      <c r="L725">
        <v>943</v>
      </c>
      <c r="M725" t="s">
        <v>30</v>
      </c>
      <c r="N725">
        <v>5</v>
      </c>
      <c r="O725" t="s">
        <v>65</v>
      </c>
      <c r="P725">
        <v>36</v>
      </c>
      <c r="Q725">
        <v>1500</v>
      </c>
      <c r="R725">
        <v>4</v>
      </c>
      <c r="S725">
        <v>1</v>
      </c>
      <c r="T725" t="s">
        <v>47</v>
      </c>
      <c r="U725" t="s">
        <v>38</v>
      </c>
      <c r="V725">
        <v>26479</v>
      </c>
      <c r="W725">
        <v>3.4</v>
      </c>
      <c r="X725">
        <v>3</v>
      </c>
      <c r="Y725" t="s">
        <v>34</v>
      </c>
      <c r="Z725">
        <v>3.62</v>
      </c>
      <c r="AA725" t="s">
        <v>35</v>
      </c>
    </row>
    <row r="726" spans="1:27" x14ac:dyDescent="0.3">
      <c r="A726" t="s">
        <v>48</v>
      </c>
      <c r="B726" t="s">
        <v>123</v>
      </c>
      <c r="C726">
        <v>2026</v>
      </c>
      <c r="D726" t="s">
        <v>63</v>
      </c>
      <c r="E726">
        <v>65902.95</v>
      </c>
      <c r="F726">
        <v>59.6</v>
      </c>
      <c r="G726">
        <v>203</v>
      </c>
      <c r="H726">
        <v>101.4</v>
      </c>
      <c r="I726">
        <v>7.56</v>
      </c>
      <c r="J726">
        <v>132</v>
      </c>
      <c r="K726">
        <v>701</v>
      </c>
      <c r="L726">
        <v>645</v>
      </c>
      <c r="M726" t="s">
        <v>30</v>
      </c>
      <c r="N726">
        <v>5</v>
      </c>
      <c r="O726" t="s">
        <v>65</v>
      </c>
      <c r="P726">
        <v>19.5</v>
      </c>
      <c r="Q726">
        <v>1918</v>
      </c>
      <c r="R726">
        <v>4</v>
      </c>
      <c r="S726">
        <v>1</v>
      </c>
      <c r="T726" t="s">
        <v>51</v>
      </c>
      <c r="U726" t="s">
        <v>38</v>
      </c>
      <c r="V726">
        <v>95119</v>
      </c>
      <c r="W726">
        <v>3.3</v>
      </c>
      <c r="X726">
        <v>4</v>
      </c>
      <c r="Y726" t="s">
        <v>61</v>
      </c>
      <c r="Z726">
        <v>3.41</v>
      </c>
      <c r="AA726" t="s">
        <v>35</v>
      </c>
    </row>
    <row r="727" spans="1:27" x14ac:dyDescent="0.3">
      <c r="A727" t="s">
        <v>58</v>
      </c>
      <c r="B727" t="s">
        <v>111</v>
      </c>
      <c r="C727">
        <v>2024</v>
      </c>
      <c r="D727" t="s">
        <v>29</v>
      </c>
      <c r="E727">
        <v>178911.77</v>
      </c>
      <c r="F727">
        <v>79.7</v>
      </c>
      <c r="G727">
        <v>265</v>
      </c>
      <c r="H727">
        <v>204.2</v>
      </c>
      <c r="I727">
        <v>4.4800000000000004</v>
      </c>
      <c r="J727">
        <v>187</v>
      </c>
      <c r="K727">
        <v>1000</v>
      </c>
      <c r="L727">
        <v>924</v>
      </c>
      <c r="M727" t="s">
        <v>30</v>
      </c>
      <c r="N727">
        <v>5</v>
      </c>
      <c r="O727" t="s">
        <v>31</v>
      </c>
      <c r="P727">
        <v>71.7</v>
      </c>
      <c r="Q727">
        <v>2315</v>
      </c>
      <c r="R727">
        <v>4</v>
      </c>
      <c r="S727">
        <v>2</v>
      </c>
      <c r="T727" t="s">
        <v>32</v>
      </c>
      <c r="U727" t="s">
        <v>33</v>
      </c>
      <c r="V727">
        <v>68804</v>
      </c>
      <c r="W727">
        <v>3.9</v>
      </c>
      <c r="X727">
        <v>6</v>
      </c>
      <c r="Y727" t="s">
        <v>43</v>
      </c>
      <c r="Z727">
        <v>3.32</v>
      </c>
      <c r="AA727" t="s">
        <v>35</v>
      </c>
    </row>
    <row r="728" spans="1:27" x14ac:dyDescent="0.3">
      <c r="A728" t="s">
        <v>52</v>
      </c>
      <c r="B728" t="s">
        <v>55</v>
      </c>
      <c r="C728">
        <v>2025</v>
      </c>
      <c r="D728" t="s">
        <v>50</v>
      </c>
      <c r="E728">
        <v>97027.38</v>
      </c>
      <c r="F728">
        <v>108.3</v>
      </c>
      <c r="G728">
        <v>372</v>
      </c>
      <c r="H728">
        <v>265.89999999999998</v>
      </c>
      <c r="I728">
        <v>5.23</v>
      </c>
      <c r="J728">
        <v>170</v>
      </c>
      <c r="K728">
        <v>708</v>
      </c>
      <c r="L728">
        <v>592</v>
      </c>
      <c r="M728" t="s">
        <v>54</v>
      </c>
      <c r="N728">
        <v>5</v>
      </c>
      <c r="O728" t="s">
        <v>31</v>
      </c>
      <c r="P728">
        <v>60.6</v>
      </c>
      <c r="Q728">
        <v>2443</v>
      </c>
      <c r="R728">
        <v>5</v>
      </c>
      <c r="S728">
        <v>2</v>
      </c>
      <c r="T728" t="s">
        <v>47</v>
      </c>
      <c r="U728" t="s">
        <v>38</v>
      </c>
      <c r="V728">
        <v>401761</v>
      </c>
      <c r="W728">
        <v>4.0999999999999996</v>
      </c>
      <c r="X728">
        <v>4</v>
      </c>
      <c r="Y728" t="s">
        <v>43</v>
      </c>
      <c r="Z728">
        <v>3.43</v>
      </c>
      <c r="AA728" t="s">
        <v>35</v>
      </c>
    </row>
    <row r="729" spans="1:27" x14ac:dyDescent="0.3">
      <c r="A729" t="s">
        <v>84</v>
      </c>
      <c r="B729" t="s">
        <v>99</v>
      </c>
      <c r="C729">
        <v>2025</v>
      </c>
      <c r="D729" t="s">
        <v>50</v>
      </c>
      <c r="E729">
        <v>53281.67</v>
      </c>
      <c r="F729">
        <v>84.7</v>
      </c>
      <c r="G729">
        <v>295</v>
      </c>
      <c r="H729">
        <v>89.2</v>
      </c>
      <c r="I729">
        <v>5.45</v>
      </c>
      <c r="J729">
        <v>173</v>
      </c>
      <c r="K729">
        <v>587</v>
      </c>
      <c r="L729">
        <v>498</v>
      </c>
      <c r="M729" t="s">
        <v>39</v>
      </c>
      <c r="N729">
        <v>4</v>
      </c>
      <c r="O729" t="s">
        <v>31</v>
      </c>
      <c r="P729">
        <v>66.599999999999994</v>
      </c>
      <c r="Q729">
        <v>2590</v>
      </c>
      <c r="R729">
        <v>4</v>
      </c>
      <c r="S729">
        <v>0</v>
      </c>
      <c r="T729" t="s">
        <v>47</v>
      </c>
      <c r="U729" t="s">
        <v>42</v>
      </c>
      <c r="V729">
        <v>59310</v>
      </c>
      <c r="W729">
        <v>3.4</v>
      </c>
      <c r="X729">
        <v>4</v>
      </c>
      <c r="Y729" t="s">
        <v>43</v>
      </c>
      <c r="Z729">
        <v>3.48</v>
      </c>
      <c r="AA729" t="s">
        <v>35</v>
      </c>
    </row>
    <row r="730" spans="1:27" x14ac:dyDescent="0.3">
      <c r="A730" t="s">
        <v>52</v>
      </c>
      <c r="B730" t="s">
        <v>55</v>
      </c>
      <c r="C730">
        <v>2023</v>
      </c>
      <c r="D730" t="s">
        <v>68</v>
      </c>
      <c r="E730">
        <v>53432.36</v>
      </c>
      <c r="F730">
        <v>79.599999999999994</v>
      </c>
      <c r="G730">
        <v>289</v>
      </c>
      <c r="H730">
        <v>218.5</v>
      </c>
      <c r="I730">
        <v>6.41</v>
      </c>
      <c r="J730">
        <v>146</v>
      </c>
      <c r="K730">
        <v>397</v>
      </c>
      <c r="L730">
        <v>369</v>
      </c>
      <c r="M730" t="s">
        <v>30</v>
      </c>
      <c r="N730">
        <v>7</v>
      </c>
      <c r="O730" t="s">
        <v>57</v>
      </c>
      <c r="P730">
        <v>31.6</v>
      </c>
      <c r="Q730">
        <v>1500</v>
      </c>
      <c r="R730">
        <v>5</v>
      </c>
      <c r="S730">
        <v>2</v>
      </c>
      <c r="T730" t="s">
        <v>47</v>
      </c>
      <c r="U730" t="s">
        <v>42</v>
      </c>
      <c r="V730">
        <v>490497</v>
      </c>
      <c r="W730">
        <v>3.9</v>
      </c>
      <c r="X730">
        <v>6</v>
      </c>
      <c r="Y730" t="s">
        <v>43</v>
      </c>
      <c r="Z730">
        <v>3.63</v>
      </c>
      <c r="AA730" t="s">
        <v>35</v>
      </c>
    </row>
    <row r="731" spans="1:27" x14ac:dyDescent="0.3">
      <c r="A731" t="s">
        <v>52</v>
      </c>
      <c r="B731" t="s">
        <v>86</v>
      </c>
      <c r="C731">
        <v>2025</v>
      </c>
      <c r="D731" t="s">
        <v>50</v>
      </c>
      <c r="E731">
        <v>92231.53</v>
      </c>
      <c r="F731">
        <v>76</v>
      </c>
      <c r="G731">
        <v>264</v>
      </c>
      <c r="H731">
        <v>230.5</v>
      </c>
      <c r="I731">
        <v>5.1100000000000003</v>
      </c>
      <c r="J731">
        <v>177</v>
      </c>
      <c r="K731">
        <v>643</v>
      </c>
      <c r="L731">
        <v>559</v>
      </c>
      <c r="M731" t="s">
        <v>39</v>
      </c>
      <c r="N731">
        <v>5</v>
      </c>
      <c r="O731" t="s">
        <v>46</v>
      </c>
      <c r="P731">
        <v>79.3</v>
      </c>
      <c r="Q731">
        <v>1571</v>
      </c>
      <c r="R731">
        <v>4</v>
      </c>
      <c r="S731">
        <v>2</v>
      </c>
      <c r="T731" t="s">
        <v>47</v>
      </c>
      <c r="U731" t="s">
        <v>38</v>
      </c>
      <c r="V731">
        <v>226342</v>
      </c>
      <c r="W731">
        <v>3.6</v>
      </c>
      <c r="X731">
        <v>5</v>
      </c>
      <c r="Y731" t="s">
        <v>43</v>
      </c>
      <c r="Z731">
        <v>3.47</v>
      </c>
      <c r="AA731" t="s">
        <v>35</v>
      </c>
    </row>
    <row r="732" spans="1:27" x14ac:dyDescent="0.3">
      <c r="A732" t="s">
        <v>52</v>
      </c>
      <c r="B732" t="s">
        <v>86</v>
      </c>
      <c r="C732">
        <v>2024</v>
      </c>
      <c r="D732" t="s">
        <v>68</v>
      </c>
      <c r="E732">
        <v>125065.93</v>
      </c>
      <c r="F732">
        <v>50.7</v>
      </c>
      <c r="G732">
        <v>159</v>
      </c>
      <c r="H732">
        <v>274.5</v>
      </c>
      <c r="I732">
        <v>5.27</v>
      </c>
      <c r="J732">
        <v>172</v>
      </c>
      <c r="K732">
        <v>917</v>
      </c>
      <c r="L732">
        <v>842</v>
      </c>
      <c r="M732" t="s">
        <v>54</v>
      </c>
      <c r="N732">
        <v>7</v>
      </c>
      <c r="O732" t="s">
        <v>56</v>
      </c>
      <c r="P732">
        <v>34.799999999999997</v>
      </c>
      <c r="Q732">
        <v>1620</v>
      </c>
      <c r="R732">
        <v>4</v>
      </c>
      <c r="S732">
        <v>2</v>
      </c>
      <c r="T732" t="s">
        <v>47</v>
      </c>
      <c r="U732" t="s">
        <v>33</v>
      </c>
      <c r="V732">
        <v>243623</v>
      </c>
      <c r="W732">
        <v>3.2</v>
      </c>
      <c r="X732">
        <v>6</v>
      </c>
      <c r="Y732" t="s">
        <v>43</v>
      </c>
      <c r="Z732">
        <v>3.14</v>
      </c>
      <c r="AA732" t="s">
        <v>35</v>
      </c>
    </row>
    <row r="733" spans="1:27" x14ac:dyDescent="0.3">
      <c r="A733" t="s">
        <v>84</v>
      </c>
      <c r="B733" t="s">
        <v>99</v>
      </c>
      <c r="C733">
        <v>2020</v>
      </c>
      <c r="D733" t="s">
        <v>50</v>
      </c>
      <c r="E733">
        <v>67768.09</v>
      </c>
      <c r="F733">
        <v>83.3</v>
      </c>
      <c r="G733">
        <v>291</v>
      </c>
      <c r="H733">
        <v>91.9</v>
      </c>
      <c r="I733">
        <v>4.58</v>
      </c>
      <c r="J733">
        <v>173</v>
      </c>
      <c r="K733">
        <v>752</v>
      </c>
      <c r="L733">
        <v>718</v>
      </c>
      <c r="M733" t="s">
        <v>39</v>
      </c>
      <c r="N733">
        <v>2</v>
      </c>
      <c r="O733" t="s">
        <v>31</v>
      </c>
      <c r="P733">
        <v>54.9</v>
      </c>
      <c r="Q733">
        <v>2624</v>
      </c>
      <c r="R733">
        <v>5</v>
      </c>
      <c r="S733">
        <v>0</v>
      </c>
      <c r="T733" t="s">
        <v>47</v>
      </c>
      <c r="U733" t="s">
        <v>38</v>
      </c>
      <c r="V733">
        <v>25258</v>
      </c>
      <c r="W733">
        <v>3.5</v>
      </c>
      <c r="X733">
        <v>4</v>
      </c>
      <c r="Y733" t="s">
        <v>43</v>
      </c>
      <c r="Z733">
        <v>3.49</v>
      </c>
      <c r="AA733" t="s">
        <v>35</v>
      </c>
    </row>
    <row r="734" spans="1:27" x14ac:dyDescent="0.3">
      <c r="A734" t="s">
        <v>91</v>
      </c>
      <c r="B734" t="s">
        <v>97</v>
      </c>
      <c r="C734">
        <v>2026</v>
      </c>
      <c r="D734" t="s">
        <v>68</v>
      </c>
      <c r="E734">
        <v>62674.5</v>
      </c>
      <c r="F734">
        <v>70.599999999999994</v>
      </c>
      <c r="G734">
        <v>211</v>
      </c>
      <c r="H734">
        <v>55.7</v>
      </c>
      <c r="I734">
        <v>6.14</v>
      </c>
      <c r="J734">
        <v>160</v>
      </c>
      <c r="K734">
        <v>342</v>
      </c>
      <c r="L734">
        <v>306</v>
      </c>
      <c r="M734" t="s">
        <v>39</v>
      </c>
      <c r="N734">
        <v>5</v>
      </c>
      <c r="O734" t="s">
        <v>57</v>
      </c>
      <c r="P734">
        <v>18</v>
      </c>
      <c r="Q734">
        <v>1500</v>
      </c>
      <c r="R734">
        <v>3</v>
      </c>
      <c r="S734">
        <v>1</v>
      </c>
      <c r="T734" t="s">
        <v>32</v>
      </c>
      <c r="U734" t="s">
        <v>42</v>
      </c>
      <c r="V734">
        <v>61611</v>
      </c>
      <c r="W734">
        <v>3.2</v>
      </c>
      <c r="X734">
        <v>6</v>
      </c>
      <c r="Y734" t="s">
        <v>43</v>
      </c>
      <c r="Z734">
        <v>2.99</v>
      </c>
      <c r="AA734" t="s">
        <v>35</v>
      </c>
    </row>
    <row r="735" spans="1:27" x14ac:dyDescent="0.3">
      <c r="A735" t="s">
        <v>76</v>
      </c>
      <c r="B735" t="s">
        <v>77</v>
      </c>
      <c r="C735">
        <v>2023</v>
      </c>
      <c r="D735" t="s">
        <v>50</v>
      </c>
      <c r="E735">
        <v>40702.92</v>
      </c>
      <c r="F735">
        <v>77.5</v>
      </c>
      <c r="G735">
        <v>277</v>
      </c>
      <c r="H735">
        <v>76.400000000000006</v>
      </c>
      <c r="I735">
        <v>4.6500000000000004</v>
      </c>
      <c r="J735">
        <v>183</v>
      </c>
      <c r="K735">
        <v>398</v>
      </c>
      <c r="L735">
        <v>317</v>
      </c>
      <c r="M735" t="s">
        <v>30</v>
      </c>
      <c r="N735">
        <v>5</v>
      </c>
      <c r="O735" t="s">
        <v>40</v>
      </c>
      <c r="P735">
        <v>61.4</v>
      </c>
      <c r="Q735">
        <v>2484</v>
      </c>
      <c r="R735">
        <v>4</v>
      </c>
      <c r="S735">
        <v>1</v>
      </c>
      <c r="T735" t="s">
        <v>51</v>
      </c>
      <c r="U735" t="s">
        <v>42</v>
      </c>
      <c r="V735">
        <v>128695</v>
      </c>
      <c r="W735">
        <v>3.6</v>
      </c>
      <c r="X735">
        <v>4</v>
      </c>
      <c r="Y735" t="s">
        <v>43</v>
      </c>
      <c r="Z735">
        <v>3.57</v>
      </c>
      <c r="AA735" t="s">
        <v>35</v>
      </c>
    </row>
    <row r="736" spans="1:27" x14ac:dyDescent="0.3">
      <c r="A736" t="s">
        <v>27</v>
      </c>
      <c r="B736" t="s">
        <v>28</v>
      </c>
      <c r="C736">
        <v>2026</v>
      </c>
      <c r="D736" t="s">
        <v>38</v>
      </c>
      <c r="E736">
        <v>50055.73</v>
      </c>
      <c r="F736">
        <v>71.2</v>
      </c>
      <c r="G736">
        <v>256</v>
      </c>
      <c r="H736">
        <v>121.7</v>
      </c>
      <c r="I736">
        <v>7.42</v>
      </c>
      <c r="J736">
        <v>140</v>
      </c>
      <c r="K736">
        <v>445</v>
      </c>
      <c r="L736">
        <v>413</v>
      </c>
      <c r="M736" t="s">
        <v>54</v>
      </c>
      <c r="N736">
        <v>7</v>
      </c>
      <c r="O736" t="s">
        <v>56</v>
      </c>
      <c r="P736">
        <v>37.1</v>
      </c>
      <c r="Q736">
        <v>1500</v>
      </c>
      <c r="R736">
        <v>5</v>
      </c>
      <c r="S736">
        <v>0</v>
      </c>
      <c r="T736" t="s">
        <v>32</v>
      </c>
      <c r="U736" t="s">
        <v>42</v>
      </c>
      <c r="V736">
        <v>296123</v>
      </c>
      <c r="W736">
        <v>3.7</v>
      </c>
      <c r="X736">
        <v>3</v>
      </c>
      <c r="Y736" t="s">
        <v>61</v>
      </c>
      <c r="Z736">
        <v>3.6</v>
      </c>
      <c r="AA736" t="s">
        <v>35</v>
      </c>
    </row>
    <row r="737" spans="1:27" x14ac:dyDescent="0.3">
      <c r="A737" t="s">
        <v>94</v>
      </c>
      <c r="B737" t="s">
        <v>95</v>
      </c>
      <c r="C737">
        <v>2023</v>
      </c>
      <c r="D737" t="s">
        <v>63</v>
      </c>
      <c r="E737">
        <v>67690.27</v>
      </c>
      <c r="F737">
        <v>64.3</v>
      </c>
      <c r="G737">
        <v>232</v>
      </c>
      <c r="H737">
        <v>90.1</v>
      </c>
      <c r="I737">
        <v>6.29</v>
      </c>
      <c r="J737">
        <v>158</v>
      </c>
      <c r="K737">
        <v>335</v>
      </c>
      <c r="L737">
        <v>307</v>
      </c>
      <c r="M737" t="s">
        <v>54</v>
      </c>
      <c r="N737">
        <v>5</v>
      </c>
      <c r="O737" t="s">
        <v>65</v>
      </c>
      <c r="P737">
        <v>19.600000000000001</v>
      </c>
      <c r="Q737">
        <v>1806</v>
      </c>
      <c r="R737">
        <v>4</v>
      </c>
      <c r="S737">
        <v>1</v>
      </c>
      <c r="T737" t="s">
        <v>32</v>
      </c>
      <c r="U737" t="s">
        <v>38</v>
      </c>
      <c r="V737">
        <v>63429</v>
      </c>
      <c r="W737">
        <v>3.4</v>
      </c>
      <c r="X737">
        <v>5</v>
      </c>
      <c r="Y737" t="s">
        <v>43</v>
      </c>
      <c r="Z737">
        <v>3.61</v>
      </c>
      <c r="AA737" t="s">
        <v>35</v>
      </c>
    </row>
    <row r="738" spans="1:27" x14ac:dyDescent="0.3">
      <c r="A738" t="s">
        <v>27</v>
      </c>
      <c r="B738" t="s">
        <v>93</v>
      </c>
      <c r="C738">
        <v>2024</v>
      </c>
      <c r="D738" t="s">
        <v>50</v>
      </c>
      <c r="E738">
        <v>37557.870000000003</v>
      </c>
      <c r="F738">
        <v>86.2</v>
      </c>
      <c r="G738">
        <v>299</v>
      </c>
      <c r="H738">
        <v>109.8</v>
      </c>
      <c r="I738">
        <v>4.74</v>
      </c>
      <c r="J738">
        <v>175</v>
      </c>
      <c r="K738">
        <v>291</v>
      </c>
      <c r="L738">
        <v>288</v>
      </c>
      <c r="M738" t="s">
        <v>39</v>
      </c>
      <c r="N738">
        <v>7</v>
      </c>
      <c r="O738" t="s">
        <v>57</v>
      </c>
      <c r="P738">
        <v>33.1</v>
      </c>
      <c r="Q738">
        <v>1738</v>
      </c>
      <c r="R738">
        <v>5</v>
      </c>
      <c r="S738">
        <v>0</v>
      </c>
      <c r="T738" t="s">
        <v>32</v>
      </c>
      <c r="U738" t="s">
        <v>42</v>
      </c>
      <c r="V738">
        <v>247190</v>
      </c>
      <c r="W738">
        <v>3.7</v>
      </c>
      <c r="X738">
        <v>4</v>
      </c>
      <c r="Y738" t="s">
        <v>43</v>
      </c>
      <c r="Z738">
        <v>3.47</v>
      </c>
      <c r="AA738" t="s">
        <v>35</v>
      </c>
    </row>
    <row r="739" spans="1:27" x14ac:dyDescent="0.3">
      <c r="A739" t="s">
        <v>84</v>
      </c>
      <c r="B739" t="s">
        <v>89</v>
      </c>
      <c r="C739">
        <v>2024</v>
      </c>
      <c r="D739" t="s">
        <v>68</v>
      </c>
      <c r="E739">
        <v>48328.54</v>
      </c>
      <c r="F739">
        <v>81.900000000000006</v>
      </c>
      <c r="G739">
        <v>268</v>
      </c>
      <c r="H739">
        <v>116.4</v>
      </c>
      <c r="I739">
        <v>7.97</v>
      </c>
      <c r="J739">
        <v>132</v>
      </c>
      <c r="K739">
        <v>460</v>
      </c>
      <c r="L739">
        <v>436</v>
      </c>
      <c r="M739" t="s">
        <v>30</v>
      </c>
      <c r="N739">
        <v>7</v>
      </c>
      <c r="O739" t="s">
        <v>40</v>
      </c>
      <c r="P739">
        <v>69.5</v>
      </c>
      <c r="Q739">
        <v>2108</v>
      </c>
      <c r="R739">
        <v>4</v>
      </c>
      <c r="S739">
        <v>0</v>
      </c>
      <c r="T739" t="s">
        <v>47</v>
      </c>
      <c r="U739" t="s">
        <v>42</v>
      </c>
      <c r="V739">
        <v>34857</v>
      </c>
      <c r="W739">
        <v>3.5</v>
      </c>
      <c r="X739">
        <v>3</v>
      </c>
      <c r="Y739" t="s">
        <v>61</v>
      </c>
      <c r="Z739">
        <v>3.27</v>
      </c>
      <c r="AA739" t="s">
        <v>35</v>
      </c>
    </row>
    <row r="740" spans="1:27" x14ac:dyDescent="0.3">
      <c r="A740" t="s">
        <v>27</v>
      </c>
      <c r="B740" t="s">
        <v>83</v>
      </c>
      <c r="C740">
        <v>2025</v>
      </c>
      <c r="D740" t="s">
        <v>50</v>
      </c>
      <c r="E740">
        <v>102771.71</v>
      </c>
      <c r="F740">
        <v>104.2</v>
      </c>
      <c r="G740">
        <v>392</v>
      </c>
      <c r="H740">
        <v>112.5</v>
      </c>
      <c r="I740">
        <v>5.33</v>
      </c>
      <c r="J740">
        <v>174</v>
      </c>
      <c r="K740">
        <v>1000</v>
      </c>
      <c r="L740">
        <v>854</v>
      </c>
      <c r="M740" t="s">
        <v>39</v>
      </c>
      <c r="N740">
        <v>5</v>
      </c>
      <c r="O740" t="s">
        <v>46</v>
      </c>
      <c r="P740">
        <v>77.2</v>
      </c>
      <c r="Q740">
        <v>2045</v>
      </c>
      <c r="R740">
        <v>4</v>
      </c>
      <c r="S740">
        <v>1</v>
      </c>
      <c r="T740" t="s">
        <v>32</v>
      </c>
      <c r="U740" t="s">
        <v>33</v>
      </c>
      <c r="V740">
        <v>235887</v>
      </c>
      <c r="W740">
        <v>3.8</v>
      </c>
      <c r="X740">
        <v>5</v>
      </c>
      <c r="Y740" t="s">
        <v>43</v>
      </c>
      <c r="Z740">
        <v>3.76</v>
      </c>
      <c r="AA740" t="s">
        <v>35</v>
      </c>
    </row>
    <row r="741" spans="1:27" x14ac:dyDescent="0.3">
      <c r="A741" t="s">
        <v>27</v>
      </c>
      <c r="B741" t="s">
        <v>83</v>
      </c>
      <c r="C741">
        <v>2025</v>
      </c>
      <c r="D741" t="s">
        <v>50</v>
      </c>
      <c r="E741">
        <v>97037.17</v>
      </c>
      <c r="F741">
        <v>79.8</v>
      </c>
      <c r="G741">
        <v>284</v>
      </c>
      <c r="H741">
        <v>132.30000000000001</v>
      </c>
      <c r="I741">
        <v>5.42</v>
      </c>
      <c r="J741">
        <v>167</v>
      </c>
      <c r="K741">
        <v>1000</v>
      </c>
      <c r="L741">
        <v>875</v>
      </c>
      <c r="M741" t="s">
        <v>54</v>
      </c>
      <c r="N741">
        <v>5</v>
      </c>
      <c r="O741" t="s">
        <v>57</v>
      </c>
      <c r="P741">
        <v>32.1</v>
      </c>
      <c r="Q741">
        <v>1540</v>
      </c>
      <c r="R741">
        <v>4</v>
      </c>
      <c r="S741">
        <v>0</v>
      </c>
      <c r="T741" t="s">
        <v>32</v>
      </c>
      <c r="U741" t="s">
        <v>38</v>
      </c>
      <c r="V741">
        <v>292071</v>
      </c>
      <c r="W741">
        <v>3.5</v>
      </c>
      <c r="X741">
        <v>4</v>
      </c>
      <c r="Y741" t="s">
        <v>43</v>
      </c>
      <c r="Z741">
        <v>3.56</v>
      </c>
      <c r="AA741" t="s">
        <v>35</v>
      </c>
    </row>
    <row r="742" spans="1:27" x14ac:dyDescent="0.3">
      <c r="A742" t="s">
        <v>76</v>
      </c>
      <c r="B742" t="s">
        <v>117</v>
      </c>
      <c r="C742">
        <v>2025</v>
      </c>
      <c r="D742" t="s">
        <v>50</v>
      </c>
      <c r="E742">
        <v>81032.960000000006</v>
      </c>
      <c r="F742">
        <v>109.2</v>
      </c>
      <c r="G742">
        <v>372</v>
      </c>
      <c r="H742">
        <v>121.6</v>
      </c>
      <c r="I742">
        <v>5.8</v>
      </c>
      <c r="J742">
        <v>171</v>
      </c>
      <c r="K742">
        <v>1000</v>
      </c>
      <c r="L742">
        <v>882</v>
      </c>
      <c r="M742" t="s">
        <v>54</v>
      </c>
      <c r="N742">
        <v>7</v>
      </c>
      <c r="O742" t="s">
        <v>57</v>
      </c>
      <c r="P742">
        <v>31.9</v>
      </c>
      <c r="Q742">
        <v>1543</v>
      </c>
      <c r="R742">
        <v>5</v>
      </c>
      <c r="S742">
        <v>2</v>
      </c>
      <c r="T742" t="s">
        <v>51</v>
      </c>
      <c r="U742" t="s">
        <v>38</v>
      </c>
      <c r="V742">
        <v>132543</v>
      </c>
      <c r="W742">
        <v>3.5</v>
      </c>
      <c r="X742">
        <v>4</v>
      </c>
      <c r="Y742" t="s">
        <v>43</v>
      </c>
      <c r="Z742">
        <v>3.41</v>
      </c>
      <c r="AA742" t="s">
        <v>35</v>
      </c>
    </row>
    <row r="743" spans="1:27" x14ac:dyDescent="0.3">
      <c r="A743" t="s">
        <v>71</v>
      </c>
      <c r="B743" t="s">
        <v>75</v>
      </c>
      <c r="C743">
        <v>2024</v>
      </c>
      <c r="D743" t="s">
        <v>50</v>
      </c>
      <c r="E743">
        <v>53347.12</v>
      </c>
      <c r="F743">
        <v>78.900000000000006</v>
      </c>
      <c r="G743">
        <v>277</v>
      </c>
      <c r="H743">
        <v>62.8</v>
      </c>
      <c r="I743">
        <v>4.71</v>
      </c>
      <c r="J743">
        <v>182</v>
      </c>
      <c r="K743">
        <v>623</v>
      </c>
      <c r="L743">
        <v>633</v>
      </c>
      <c r="M743" t="s">
        <v>30</v>
      </c>
      <c r="N743">
        <v>7</v>
      </c>
      <c r="O743" t="s">
        <v>65</v>
      </c>
      <c r="P743">
        <v>22.9</v>
      </c>
      <c r="Q743">
        <v>1500</v>
      </c>
      <c r="R743">
        <v>5</v>
      </c>
      <c r="S743">
        <v>1</v>
      </c>
      <c r="T743" t="s">
        <v>73</v>
      </c>
      <c r="U743" t="s">
        <v>42</v>
      </c>
      <c r="V743">
        <v>234710</v>
      </c>
      <c r="W743">
        <v>3.5</v>
      </c>
      <c r="X743">
        <v>5</v>
      </c>
      <c r="Y743" t="s">
        <v>43</v>
      </c>
      <c r="Z743">
        <v>3.51</v>
      </c>
      <c r="AA743" t="s">
        <v>35</v>
      </c>
    </row>
    <row r="744" spans="1:27" x14ac:dyDescent="0.3">
      <c r="A744" t="s">
        <v>44</v>
      </c>
      <c r="B744" t="s">
        <v>126</v>
      </c>
      <c r="C744">
        <v>2022</v>
      </c>
      <c r="D744" t="s">
        <v>63</v>
      </c>
      <c r="E744">
        <v>39747.919999999998</v>
      </c>
      <c r="F744">
        <v>47.2</v>
      </c>
      <c r="G744">
        <v>152</v>
      </c>
      <c r="H744">
        <v>54.7</v>
      </c>
      <c r="I744">
        <v>6.56</v>
      </c>
      <c r="J744">
        <v>152</v>
      </c>
      <c r="K744">
        <v>376</v>
      </c>
      <c r="L744">
        <v>332</v>
      </c>
      <c r="M744" t="s">
        <v>39</v>
      </c>
      <c r="N744">
        <v>7</v>
      </c>
      <c r="O744" t="s">
        <v>46</v>
      </c>
      <c r="P744">
        <v>76.5</v>
      </c>
      <c r="Q744">
        <v>1622</v>
      </c>
      <c r="R744">
        <v>5</v>
      </c>
      <c r="S744">
        <v>0</v>
      </c>
      <c r="T744" t="s">
        <v>47</v>
      </c>
      <c r="U744" t="s">
        <v>42</v>
      </c>
      <c r="V744">
        <v>29407</v>
      </c>
      <c r="W744">
        <v>3.1</v>
      </c>
      <c r="X744">
        <v>4</v>
      </c>
      <c r="Y744" t="s">
        <v>43</v>
      </c>
      <c r="Z744">
        <v>3.22</v>
      </c>
      <c r="AA744" t="s">
        <v>35</v>
      </c>
    </row>
    <row r="745" spans="1:27" x14ac:dyDescent="0.3">
      <c r="A745" t="s">
        <v>76</v>
      </c>
      <c r="B745" t="s">
        <v>98</v>
      </c>
      <c r="C745">
        <v>2025</v>
      </c>
      <c r="D745" t="s">
        <v>68</v>
      </c>
      <c r="E745">
        <v>59265.27</v>
      </c>
      <c r="F745">
        <v>76.5</v>
      </c>
      <c r="G745">
        <v>288</v>
      </c>
      <c r="H745">
        <v>123.1</v>
      </c>
      <c r="I745">
        <v>5.71</v>
      </c>
      <c r="J745">
        <v>166</v>
      </c>
      <c r="K745">
        <v>648</v>
      </c>
      <c r="L745">
        <v>577</v>
      </c>
      <c r="M745" t="s">
        <v>30</v>
      </c>
      <c r="N745">
        <v>5</v>
      </c>
      <c r="O745" t="s">
        <v>46</v>
      </c>
      <c r="P745">
        <v>77.900000000000006</v>
      </c>
      <c r="Q745">
        <v>1500</v>
      </c>
      <c r="R745">
        <v>5</v>
      </c>
      <c r="S745">
        <v>0</v>
      </c>
      <c r="T745" t="s">
        <v>51</v>
      </c>
      <c r="U745" t="s">
        <v>42</v>
      </c>
      <c r="V745">
        <v>55296</v>
      </c>
      <c r="W745">
        <v>3.4</v>
      </c>
      <c r="X745">
        <v>4</v>
      </c>
      <c r="Y745" t="s">
        <v>43</v>
      </c>
      <c r="Z745">
        <v>3.76</v>
      </c>
      <c r="AA745" t="s">
        <v>35</v>
      </c>
    </row>
    <row r="746" spans="1:27" x14ac:dyDescent="0.3">
      <c r="A746" t="s">
        <v>71</v>
      </c>
      <c r="B746" t="s">
        <v>104</v>
      </c>
      <c r="C746">
        <v>2025</v>
      </c>
      <c r="D746" t="s">
        <v>50</v>
      </c>
      <c r="E746">
        <v>24263.38</v>
      </c>
      <c r="F746">
        <v>90.6</v>
      </c>
      <c r="G746">
        <v>313</v>
      </c>
      <c r="H746">
        <v>69.599999999999994</v>
      </c>
      <c r="I746">
        <v>5.85</v>
      </c>
      <c r="J746">
        <v>165</v>
      </c>
      <c r="K746">
        <v>236</v>
      </c>
      <c r="L746">
        <v>233</v>
      </c>
      <c r="M746" t="s">
        <v>39</v>
      </c>
      <c r="N746">
        <v>7</v>
      </c>
      <c r="O746" t="s">
        <v>57</v>
      </c>
      <c r="P746">
        <v>35.299999999999997</v>
      </c>
      <c r="Q746">
        <v>1702</v>
      </c>
      <c r="R746">
        <v>4</v>
      </c>
      <c r="S746">
        <v>2</v>
      </c>
      <c r="T746" t="s">
        <v>73</v>
      </c>
      <c r="U746" t="s">
        <v>74</v>
      </c>
      <c r="V746">
        <v>185360</v>
      </c>
      <c r="W746">
        <v>3.8</v>
      </c>
      <c r="X746">
        <v>3</v>
      </c>
      <c r="Y746" t="s">
        <v>43</v>
      </c>
      <c r="Z746">
        <v>3.45</v>
      </c>
      <c r="AA746" t="s">
        <v>35</v>
      </c>
    </row>
    <row r="747" spans="1:27" x14ac:dyDescent="0.3">
      <c r="A747" t="s">
        <v>94</v>
      </c>
      <c r="B747" t="s">
        <v>113</v>
      </c>
      <c r="C747">
        <v>2023</v>
      </c>
      <c r="D747" t="s">
        <v>63</v>
      </c>
      <c r="E747">
        <v>103373.32</v>
      </c>
      <c r="F747">
        <v>48</v>
      </c>
      <c r="G747">
        <v>165</v>
      </c>
      <c r="H747">
        <v>87.7</v>
      </c>
      <c r="I747">
        <v>6.98</v>
      </c>
      <c r="J747">
        <v>147</v>
      </c>
      <c r="K747">
        <v>784</v>
      </c>
      <c r="L747">
        <v>695</v>
      </c>
      <c r="M747" t="s">
        <v>30</v>
      </c>
      <c r="N747">
        <v>5</v>
      </c>
      <c r="O747" t="s">
        <v>65</v>
      </c>
      <c r="P747">
        <v>39.700000000000003</v>
      </c>
      <c r="Q747">
        <v>1652</v>
      </c>
      <c r="R747">
        <v>4</v>
      </c>
      <c r="S747">
        <v>1</v>
      </c>
      <c r="T747" t="s">
        <v>32</v>
      </c>
      <c r="U747" t="s">
        <v>33</v>
      </c>
      <c r="V747">
        <v>46342</v>
      </c>
      <c r="W747">
        <v>3.6</v>
      </c>
      <c r="X747">
        <v>5</v>
      </c>
      <c r="Y747" t="s">
        <v>43</v>
      </c>
      <c r="Z747">
        <v>3.44</v>
      </c>
      <c r="AA747" t="s">
        <v>35</v>
      </c>
    </row>
    <row r="748" spans="1:27" x14ac:dyDescent="0.3">
      <c r="A748" t="s">
        <v>27</v>
      </c>
      <c r="B748" t="s">
        <v>28</v>
      </c>
      <c r="C748">
        <v>2025</v>
      </c>
      <c r="D748" t="s">
        <v>63</v>
      </c>
      <c r="E748">
        <v>65624.38</v>
      </c>
      <c r="F748">
        <v>83.8</v>
      </c>
      <c r="G748">
        <v>327</v>
      </c>
      <c r="H748">
        <v>93.1</v>
      </c>
      <c r="I748">
        <v>5.42</v>
      </c>
      <c r="J748">
        <v>166</v>
      </c>
      <c r="K748">
        <v>665</v>
      </c>
      <c r="L748">
        <v>569</v>
      </c>
      <c r="M748" t="s">
        <v>39</v>
      </c>
      <c r="N748">
        <v>5</v>
      </c>
      <c r="O748" t="s">
        <v>65</v>
      </c>
      <c r="P748">
        <v>23</v>
      </c>
      <c r="Q748">
        <v>1849</v>
      </c>
      <c r="R748">
        <v>5</v>
      </c>
      <c r="S748">
        <v>1</v>
      </c>
      <c r="T748" t="s">
        <v>32</v>
      </c>
      <c r="U748" t="s">
        <v>38</v>
      </c>
      <c r="V748">
        <v>228265</v>
      </c>
      <c r="W748">
        <v>3.8</v>
      </c>
      <c r="X748">
        <v>3</v>
      </c>
      <c r="Y748" t="s">
        <v>43</v>
      </c>
      <c r="Z748">
        <v>3.9</v>
      </c>
      <c r="AA748" t="s">
        <v>35</v>
      </c>
    </row>
    <row r="749" spans="1:27" x14ac:dyDescent="0.3">
      <c r="A749" t="s">
        <v>48</v>
      </c>
      <c r="B749" t="s">
        <v>123</v>
      </c>
      <c r="C749">
        <v>2025</v>
      </c>
      <c r="D749" t="s">
        <v>63</v>
      </c>
      <c r="E749">
        <v>34297.300000000003</v>
      </c>
      <c r="F749">
        <v>40.9</v>
      </c>
      <c r="G749">
        <v>150</v>
      </c>
      <c r="H749">
        <v>108</v>
      </c>
      <c r="I749">
        <v>6.15</v>
      </c>
      <c r="J749">
        <v>156</v>
      </c>
      <c r="K749">
        <v>241</v>
      </c>
      <c r="L749">
        <v>200</v>
      </c>
      <c r="M749" t="s">
        <v>30</v>
      </c>
      <c r="N749">
        <v>7</v>
      </c>
      <c r="O749" t="s">
        <v>57</v>
      </c>
      <c r="P749">
        <v>34.299999999999997</v>
      </c>
      <c r="Q749">
        <v>1500</v>
      </c>
      <c r="R749">
        <v>4</v>
      </c>
      <c r="S749">
        <v>1</v>
      </c>
      <c r="T749" t="s">
        <v>51</v>
      </c>
      <c r="U749" t="s">
        <v>74</v>
      </c>
      <c r="V749">
        <v>124108</v>
      </c>
      <c r="W749">
        <v>3.3</v>
      </c>
      <c r="X749">
        <v>4</v>
      </c>
      <c r="Y749" t="s">
        <v>43</v>
      </c>
      <c r="Z749">
        <v>3.67</v>
      </c>
      <c r="AA749" t="s">
        <v>35</v>
      </c>
    </row>
    <row r="750" spans="1:27" x14ac:dyDescent="0.3">
      <c r="A750" t="s">
        <v>94</v>
      </c>
      <c r="B750" t="s">
        <v>113</v>
      </c>
      <c r="C750">
        <v>2023</v>
      </c>
      <c r="D750" t="s">
        <v>38</v>
      </c>
      <c r="E750">
        <v>94046.97</v>
      </c>
      <c r="F750">
        <v>47.5</v>
      </c>
      <c r="G750">
        <v>160</v>
      </c>
      <c r="H750">
        <v>109.3</v>
      </c>
      <c r="I750">
        <v>6.08</v>
      </c>
      <c r="J750">
        <v>155</v>
      </c>
      <c r="K750">
        <v>683</v>
      </c>
      <c r="L750">
        <v>576</v>
      </c>
      <c r="M750" t="s">
        <v>30</v>
      </c>
      <c r="N750">
        <v>5</v>
      </c>
      <c r="O750" t="s">
        <v>31</v>
      </c>
      <c r="P750">
        <v>56</v>
      </c>
      <c r="Q750">
        <v>2616</v>
      </c>
      <c r="R750">
        <v>5</v>
      </c>
      <c r="S750">
        <v>2</v>
      </c>
      <c r="T750" t="s">
        <v>32</v>
      </c>
      <c r="U750" t="s">
        <v>38</v>
      </c>
      <c r="V750">
        <v>36637</v>
      </c>
      <c r="W750">
        <v>3.2</v>
      </c>
      <c r="X750">
        <v>7</v>
      </c>
      <c r="Y750" t="s">
        <v>43</v>
      </c>
      <c r="Z750">
        <v>3.37</v>
      </c>
      <c r="AA750" t="s">
        <v>35</v>
      </c>
    </row>
    <row r="751" spans="1:27" x14ac:dyDescent="0.3">
      <c r="A751" t="s">
        <v>91</v>
      </c>
      <c r="B751" t="s">
        <v>122</v>
      </c>
      <c r="C751">
        <v>2024</v>
      </c>
      <c r="D751" t="s">
        <v>63</v>
      </c>
      <c r="E751">
        <v>85524.800000000003</v>
      </c>
      <c r="F751">
        <v>65.2</v>
      </c>
      <c r="G751">
        <v>228</v>
      </c>
      <c r="H751">
        <v>67.599999999999994</v>
      </c>
      <c r="I751">
        <v>6.42</v>
      </c>
      <c r="J751">
        <v>154</v>
      </c>
      <c r="K751">
        <v>634</v>
      </c>
      <c r="L751">
        <v>525</v>
      </c>
      <c r="M751" t="s">
        <v>30</v>
      </c>
      <c r="N751">
        <v>7</v>
      </c>
      <c r="O751" t="s">
        <v>40</v>
      </c>
      <c r="P751">
        <v>57.5</v>
      </c>
      <c r="Q751">
        <v>1949</v>
      </c>
      <c r="R751">
        <v>5</v>
      </c>
      <c r="S751">
        <v>2</v>
      </c>
      <c r="T751" t="s">
        <v>32</v>
      </c>
      <c r="U751" t="s">
        <v>38</v>
      </c>
      <c r="V751">
        <v>61102</v>
      </c>
      <c r="W751">
        <v>3.2</v>
      </c>
      <c r="X751">
        <v>7</v>
      </c>
      <c r="Y751" t="s">
        <v>43</v>
      </c>
      <c r="Z751">
        <v>3.5</v>
      </c>
      <c r="AA751" t="s">
        <v>35</v>
      </c>
    </row>
    <row r="752" spans="1:27" x14ac:dyDescent="0.3">
      <c r="A752" t="s">
        <v>52</v>
      </c>
      <c r="B752" t="s">
        <v>53</v>
      </c>
      <c r="C752">
        <v>2025</v>
      </c>
      <c r="D752" t="s">
        <v>50</v>
      </c>
      <c r="E752">
        <v>37324.82</v>
      </c>
      <c r="F752">
        <v>100.2</v>
      </c>
      <c r="G752">
        <v>350</v>
      </c>
      <c r="H752">
        <v>328.5</v>
      </c>
      <c r="I752">
        <v>5.0999999999999996</v>
      </c>
      <c r="J752">
        <v>169</v>
      </c>
      <c r="K752">
        <v>239</v>
      </c>
      <c r="L752">
        <v>219</v>
      </c>
      <c r="M752" t="s">
        <v>54</v>
      </c>
      <c r="N752">
        <v>5</v>
      </c>
      <c r="O752" t="s">
        <v>57</v>
      </c>
      <c r="P752">
        <v>37.6</v>
      </c>
      <c r="Q752">
        <v>1636</v>
      </c>
      <c r="R752">
        <v>3</v>
      </c>
      <c r="S752">
        <v>2</v>
      </c>
      <c r="T752" t="s">
        <v>47</v>
      </c>
      <c r="U752" t="s">
        <v>42</v>
      </c>
      <c r="V752">
        <v>182729</v>
      </c>
      <c r="W752">
        <v>3.9</v>
      </c>
      <c r="X752">
        <v>6</v>
      </c>
      <c r="Y752" t="s">
        <v>43</v>
      </c>
      <c r="Z752">
        <v>3.49</v>
      </c>
      <c r="AA752" t="s">
        <v>35</v>
      </c>
    </row>
    <row r="753" spans="1:27" x14ac:dyDescent="0.3">
      <c r="A753" t="s">
        <v>100</v>
      </c>
      <c r="B753" t="s">
        <v>118</v>
      </c>
      <c r="C753">
        <v>2023</v>
      </c>
      <c r="D753" t="s">
        <v>68</v>
      </c>
      <c r="E753">
        <v>65637.97</v>
      </c>
      <c r="F753">
        <v>69.5</v>
      </c>
      <c r="G753">
        <v>270</v>
      </c>
      <c r="H753">
        <v>97.9</v>
      </c>
      <c r="I753">
        <v>5.86</v>
      </c>
      <c r="J753">
        <v>162</v>
      </c>
      <c r="K753">
        <v>521</v>
      </c>
      <c r="L753">
        <v>458</v>
      </c>
      <c r="M753" t="s">
        <v>39</v>
      </c>
      <c r="N753">
        <v>5</v>
      </c>
      <c r="O753" t="s">
        <v>56</v>
      </c>
      <c r="P753">
        <v>34.1</v>
      </c>
      <c r="Q753">
        <v>1846</v>
      </c>
      <c r="R753">
        <v>5</v>
      </c>
      <c r="S753">
        <v>0</v>
      </c>
      <c r="T753" t="s">
        <v>73</v>
      </c>
      <c r="U753" t="s">
        <v>38</v>
      </c>
      <c r="V753">
        <v>24026</v>
      </c>
      <c r="W753">
        <v>3.4</v>
      </c>
      <c r="X753">
        <v>4</v>
      </c>
      <c r="Y753" t="s">
        <v>43</v>
      </c>
      <c r="Z753">
        <v>3.88</v>
      </c>
      <c r="AA753" t="s">
        <v>35</v>
      </c>
    </row>
    <row r="754" spans="1:27" x14ac:dyDescent="0.3">
      <c r="A754" t="s">
        <v>91</v>
      </c>
      <c r="B754" t="s">
        <v>97</v>
      </c>
      <c r="C754">
        <v>2023</v>
      </c>
      <c r="D754" t="s">
        <v>38</v>
      </c>
      <c r="E754">
        <v>86679.02</v>
      </c>
      <c r="F754">
        <v>53.8</v>
      </c>
      <c r="G754">
        <v>171</v>
      </c>
      <c r="H754">
        <v>60.4</v>
      </c>
      <c r="I754">
        <v>7.04</v>
      </c>
      <c r="J754">
        <v>146</v>
      </c>
      <c r="K754">
        <v>639</v>
      </c>
      <c r="L754">
        <v>621</v>
      </c>
      <c r="M754" t="s">
        <v>30</v>
      </c>
      <c r="N754">
        <v>5</v>
      </c>
      <c r="O754" t="s">
        <v>31</v>
      </c>
      <c r="P754">
        <v>80</v>
      </c>
      <c r="Q754">
        <v>2454</v>
      </c>
      <c r="R754">
        <v>5</v>
      </c>
      <c r="S754">
        <v>2</v>
      </c>
      <c r="T754" t="s">
        <v>32</v>
      </c>
      <c r="U754" t="s">
        <v>38</v>
      </c>
      <c r="V754">
        <v>68670</v>
      </c>
      <c r="W754">
        <v>3.2</v>
      </c>
      <c r="X754">
        <v>6</v>
      </c>
      <c r="Y754" t="s">
        <v>61</v>
      </c>
      <c r="Z754">
        <v>3.18</v>
      </c>
      <c r="AA754" t="s">
        <v>35</v>
      </c>
    </row>
    <row r="755" spans="1:27" x14ac:dyDescent="0.3">
      <c r="A755" t="s">
        <v>71</v>
      </c>
      <c r="B755" t="s">
        <v>72</v>
      </c>
      <c r="C755">
        <v>2024</v>
      </c>
      <c r="D755" t="s">
        <v>63</v>
      </c>
      <c r="E755">
        <v>18386.22</v>
      </c>
      <c r="F755">
        <v>53.5</v>
      </c>
      <c r="G755">
        <v>197</v>
      </c>
      <c r="H755">
        <v>93.6</v>
      </c>
      <c r="I755">
        <v>5.77</v>
      </c>
      <c r="J755">
        <v>169</v>
      </c>
      <c r="K755">
        <v>150</v>
      </c>
      <c r="L755">
        <v>200</v>
      </c>
      <c r="M755" t="s">
        <v>39</v>
      </c>
      <c r="N755">
        <v>7</v>
      </c>
      <c r="O755" t="s">
        <v>56</v>
      </c>
      <c r="P755">
        <v>18.600000000000001</v>
      </c>
      <c r="Q755">
        <v>1500</v>
      </c>
      <c r="R755">
        <v>4</v>
      </c>
      <c r="S755">
        <v>0</v>
      </c>
      <c r="T755" t="s">
        <v>73</v>
      </c>
      <c r="U755" t="s">
        <v>74</v>
      </c>
      <c r="V755">
        <v>194535</v>
      </c>
      <c r="W755">
        <v>3.3</v>
      </c>
      <c r="X755">
        <v>4</v>
      </c>
      <c r="Y755" t="s">
        <v>43</v>
      </c>
      <c r="Z755">
        <v>3.68</v>
      </c>
      <c r="AA755" t="s">
        <v>35</v>
      </c>
    </row>
    <row r="756" spans="1:27" x14ac:dyDescent="0.3">
      <c r="A756" t="s">
        <v>52</v>
      </c>
      <c r="B756" t="s">
        <v>53</v>
      </c>
      <c r="C756">
        <v>2025</v>
      </c>
      <c r="D756" t="s">
        <v>63</v>
      </c>
      <c r="E756">
        <v>39961.089999999997</v>
      </c>
      <c r="F756">
        <v>82.4</v>
      </c>
      <c r="G756">
        <v>271</v>
      </c>
      <c r="H756">
        <v>326</v>
      </c>
      <c r="I756">
        <v>6.94</v>
      </c>
      <c r="J756">
        <v>140</v>
      </c>
      <c r="K756">
        <v>291</v>
      </c>
      <c r="L756">
        <v>304</v>
      </c>
      <c r="M756" t="s">
        <v>54</v>
      </c>
      <c r="N756">
        <v>5</v>
      </c>
      <c r="O756" t="s">
        <v>56</v>
      </c>
      <c r="P756">
        <v>35.799999999999997</v>
      </c>
      <c r="Q756">
        <v>1862</v>
      </c>
      <c r="R756">
        <v>5</v>
      </c>
      <c r="S756">
        <v>2</v>
      </c>
      <c r="T756" t="s">
        <v>47</v>
      </c>
      <c r="U756" t="s">
        <v>42</v>
      </c>
      <c r="V756">
        <v>132702</v>
      </c>
      <c r="W756">
        <v>4</v>
      </c>
      <c r="X756">
        <v>6</v>
      </c>
      <c r="Y756" t="s">
        <v>43</v>
      </c>
      <c r="Z756">
        <v>3.29</v>
      </c>
      <c r="AA756" t="s">
        <v>35</v>
      </c>
    </row>
    <row r="757" spans="1:27" x14ac:dyDescent="0.3">
      <c r="A757" t="s">
        <v>84</v>
      </c>
      <c r="B757" t="s">
        <v>99</v>
      </c>
      <c r="C757">
        <v>2025</v>
      </c>
      <c r="D757" t="s">
        <v>68</v>
      </c>
      <c r="E757">
        <v>71166.509999999995</v>
      </c>
      <c r="F757">
        <v>63.6</v>
      </c>
      <c r="G757">
        <v>211</v>
      </c>
      <c r="H757">
        <v>145.69999999999999</v>
      </c>
      <c r="I757">
        <v>5.67</v>
      </c>
      <c r="J757">
        <v>168</v>
      </c>
      <c r="K757">
        <v>779</v>
      </c>
      <c r="L757">
        <v>697</v>
      </c>
      <c r="M757" t="s">
        <v>39</v>
      </c>
      <c r="N757">
        <v>2</v>
      </c>
      <c r="O757" t="s">
        <v>31</v>
      </c>
      <c r="P757">
        <v>59.3</v>
      </c>
      <c r="Q757">
        <v>2632</v>
      </c>
      <c r="R757">
        <v>4</v>
      </c>
      <c r="S757">
        <v>1</v>
      </c>
      <c r="T757" t="s">
        <v>47</v>
      </c>
      <c r="U757" t="s">
        <v>38</v>
      </c>
      <c r="V757">
        <v>29813</v>
      </c>
      <c r="W757">
        <v>3.6</v>
      </c>
      <c r="X757">
        <v>3</v>
      </c>
      <c r="Y757" t="s">
        <v>43</v>
      </c>
      <c r="Z757">
        <v>3.32</v>
      </c>
      <c r="AA757" t="s">
        <v>35</v>
      </c>
    </row>
    <row r="758" spans="1:27" x14ac:dyDescent="0.3">
      <c r="A758" t="s">
        <v>91</v>
      </c>
      <c r="B758" t="s">
        <v>112</v>
      </c>
      <c r="C758">
        <v>2021</v>
      </c>
      <c r="D758" t="s">
        <v>29</v>
      </c>
      <c r="E758">
        <v>122478.25</v>
      </c>
      <c r="F758">
        <v>85.4</v>
      </c>
      <c r="G758">
        <v>288</v>
      </c>
      <c r="H758">
        <v>235.7</v>
      </c>
      <c r="I758">
        <v>3.68</v>
      </c>
      <c r="J758">
        <v>194</v>
      </c>
      <c r="K758">
        <v>1000</v>
      </c>
      <c r="L758">
        <v>890</v>
      </c>
      <c r="M758" t="s">
        <v>30</v>
      </c>
      <c r="N758">
        <v>5</v>
      </c>
      <c r="O758" t="s">
        <v>56</v>
      </c>
      <c r="P758">
        <v>32.700000000000003</v>
      </c>
      <c r="Q758">
        <v>1612</v>
      </c>
      <c r="R758">
        <v>3</v>
      </c>
      <c r="S758">
        <v>1</v>
      </c>
      <c r="T758" t="s">
        <v>32</v>
      </c>
      <c r="U758" t="s">
        <v>33</v>
      </c>
      <c r="V758">
        <v>61194</v>
      </c>
      <c r="W758">
        <v>3.6</v>
      </c>
      <c r="X758">
        <v>6</v>
      </c>
      <c r="Y758" t="s">
        <v>34</v>
      </c>
      <c r="Z758">
        <v>3.37</v>
      </c>
      <c r="AA758" t="s">
        <v>35</v>
      </c>
    </row>
    <row r="759" spans="1:27" x14ac:dyDescent="0.3">
      <c r="A759" t="s">
        <v>76</v>
      </c>
      <c r="B759" t="s">
        <v>77</v>
      </c>
      <c r="C759">
        <v>2025</v>
      </c>
      <c r="D759" t="s">
        <v>68</v>
      </c>
      <c r="E759">
        <v>33895.78</v>
      </c>
      <c r="F759">
        <v>72.7</v>
      </c>
      <c r="G759">
        <v>271</v>
      </c>
      <c r="H759">
        <v>66.400000000000006</v>
      </c>
      <c r="I759">
        <v>6.62</v>
      </c>
      <c r="J759">
        <v>148</v>
      </c>
      <c r="K759">
        <v>222</v>
      </c>
      <c r="L759">
        <v>200</v>
      </c>
      <c r="M759" t="s">
        <v>39</v>
      </c>
      <c r="N759">
        <v>5</v>
      </c>
      <c r="O759" t="s">
        <v>65</v>
      </c>
      <c r="P759">
        <v>26.3</v>
      </c>
      <c r="Q759">
        <v>1542</v>
      </c>
      <c r="R759">
        <v>4</v>
      </c>
      <c r="S759">
        <v>2</v>
      </c>
      <c r="T759" t="s">
        <v>51</v>
      </c>
      <c r="U759" t="s">
        <v>74</v>
      </c>
      <c r="V759">
        <v>74203</v>
      </c>
      <c r="W759">
        <v>3.7</v>
      </c>
      <c r="X759">
        <v>4</v>
      </c>
      <c r="Y759" t="s">
        <v>43</v>
      </c>
      <c r="Z759">
        <v>3.73</v>
      </c>
      <c r="AA759" t="s">
        <v>35</v>
      </c>
    </row>
    <row r="760" spans="1:27" x14ac:dyDescent="0.3">
      <c r="A760" t="s">
        <v>94</v>
      </c>
      <c r="B760" t="s">
        <v>95</v>
      </c>
      <c r="C760">
        <v>2026</v>
      </c>
      <c r="D760" t="s">
        <v>38</v>
      </c>
      <c r="E760">
        <v>101046.9</v>
      </c>
      <c r="F760">
        <v>80.3</v>
      </c>
      <c r="G760">
        <v>301</v>
      </c>
      <c r="H760">
        <v>125.2</v>
      </c>
      <c r="I760">
        <v>5.24</v>
      </c>
      <c r="J760">
        <v>174</v>
      </c>
      <c r="K760">
        <v>736</v>
      </c>
      <c r="L760">
        <v>669</v>
      </c>
      <c r="M760" t="s">
        <v>54</v>
      </c>
      <c r="N760">
        <v>5</v>
      </c>
      <c r="O760" t="s">
        <v>40</v>
      </c>
      <c r="P760">
        <v>39.5</v>
      </c>
      <c r="Q760">
        <v>2084</v>
      </c>
      <c r="R760">
        <v>4</v>
      </c>
      <c r="S760">
        <v>1</v>
      </c>
      <c r="T760" t="s">
        <v>32</v>
      </c>
      <c r="U760" t="s">
        <v>33</v>
      </c>
      <c r="V760">
        <v>68624</v>
      </c>
      <c r="W760">
        <v>3.8</v>
      </c>
      <c r="X760">
        <v>7</v>
      </c>
      <c r="Y760" t="s">
        <v>43</v>
      </c>
      <c r="Z760">
        <v>3.75</v>
      </c>
      <c r="AA760" t="s">
        <v>35</v>
      </c>
    </row>
    <row r="761" spans="1:27" x14ac:dyDescent="0.3">
      <c r="A761" t="s">
        <v>84</v>
      </c>
      <c r="B761" t="s">
        <v>106</v>
      </c>
      <c r="C761">
        <v>2023</v>
      </c>
      <c r="D761" t="s">
        <v>68</v>
      </c>
      <c r="E761">
        <v>42429.66</v>
      </c>
      <c r="F761">
        <v>63.3</v>
      </c>
      <c r="G761">
        <v>218</v>
      </c>
      <c r="H761">
        <v>93.3</v>
      </c>
      <c r="I761">
        <v>7.72</v>
      </c>
      <c r="J761">
        <v>140</v>
      </c>
      <c r="K761">
        <v>399</v>
      </c>
      <c r="L761">
        <v>416</v>
      </c>
      <c r="M761" t="s">
        <v>30</v>
      </c>
      <c r="N761">
        <v>7</v>
      </c>
      <c r="O761" t="s">
        <v>65</v>
      </c>
      <c r="P761">
        <v>26.7</v>
      </c>
      <c r="Q761">
        <v>1767</v>
      </c>
      <c r="R761">
        <v>3</v>
      </c>
      <c r="S761">
        <v>1</v>
      </c>
      <c r="T761" t="s">
        <v>47</v>
      </c>
      <c r="U761" t="s">
        <v>42</v>
      </c>
      <c r="V761">
        <v>37998</v>
      </c>
      <c r="W761">
        <v>3.5</v>
      </c>
      <c r="X761">
        <v>3</v>
      </c>
      <c r="Y761" t="s">
        <v>61</v>
      </c>
      <c r="Z761">
        <v>3.44</v>
      </c>
      <c r="AA761" t="s">
        <v>35</v>
      </c>
    </row>
    <row r="762" spans="1:27" x14ac:dyDescent="0.3">
      <c r="A762" t="s">
        <v>52</v>
      </c>
      <c r="B762" t="s">
        <v>86</v>
      </c>
      <c r="C762">
        <v>2025</v>
      </c>
      <c r="D762" t="s">
        <v>68</v>
      </c>
      <c r="E762">
        <v>81903.39</v>
      </c>
      <c r="F762">
        <v>69.099999999999994</v>
      </c>
      <c r="G762">
        <v>257</v>
      </c>
      <c r="H762">
        <v>348.4</v>
      </c>
      <c r="I762">
        <v>5.35</v>
      </c>
      <c r="J762">
        <v>170</v>
      </c>
      <c r="K762">
        <v>552</v>
      </c>
      <c r="L762">
        <v>541</v>
      </c>
      <c r="M762" t="s">
        <v>54</v>
      </c>
      <c r="N762">
        <v>5</v>
      </c>
      <c r="O762" t="s">
        <v>65</v>
      </c>
      <c r="P762">
        <v>20.399999999999999</v>
      </c>
      <c r="Q762">
        <v>1640</v>
      </c>
      <c r="R762">
        <v>4</v>
      </c>
      <c r="S762">
        <v>2</v>
      </c>
      <c r="T762" t="s">
        <v>47</v>
      </c>
      <c r="U762" t="s">
        <v>38</v>
      </c>
      <c r="V762">
        <v>135577</v>
      </c>
      <c r="W762">
        <v>3.8</v>
      </c>
      <c r="X762">
        <v>5</v>
      </c>
      <c r="Y762" t="s">
        <v>43</v>
      </c>
      <c r="Z762">
        <v>3.72</v>
      </c>
      <c r="AA762" t="s">
        <v>35</v>
      </c>
    </row>
    <row r="763" spans="1:27" x14ac:dyDescent="0.3">
      <c r="A763" t="s">
        <v>71</v>
      </c>
      <c r="B763" t="s">
        <v>96</v>
      </c>
      <c r="C763">
        <v>2026</v>
      </c>
      <c r="D763" t="s">
        <v>50</v>
      </c>
      <c r="E763">
        <v>92693.85</v>
      </c>
      <c r="F763">
        <v>89.9</v>
      </c>
      <c r="G763">
        <v>310</v>
      </c>
      <c r="H763">
        <v>124.3</v>
      </c>
      <c r="I763">
        <v>5.7</v>
      </c>
      <c r="J763">
        <v>159</v>
      </c>
      <c r="K763">
        <v>1000</v>
      </c>
      <c r="L763">
        <v>871</v>
      </c>
      <c r="M763" t="s">
        <v>54</v>
      </c>
      <c r="N763">
        <v>7</v>
      </c>
      <c r="O763" t="s">
        <v>31</v>
      </c>
      <c r="P763">
        <v>56.9</v>
      </c>
      <c r="Q763">
        <v>2517</v>
      </c>
      <c r="R763">
        <v>5</v>
      </c>
      <c r="S763">
        <v>0</v>
      </c>
      <c r="T763" t="s">
        <v>73</v>
      </c>
      <c r="U763" t="s">
        <v>38</v>
      </c>
      <c r="V763">
        <v>133159</v>
      </c>
      <c r="W763">
        <v>3.4</v>
      </c>
      <c r="X763">
        <v>4</v>
      </c>
      <c r="Y763" t="s">
        <v>43</v>
      </c>
      <c r="Z763">
        <v>3.45</v>
      </c>
      <c r="AA763" t="s">
        <v>35</v>
      </c>
    </row>
    <row r="764" spans="1:27" x14ac:dyDescent="0.3">
      <c r="A764" t="s">
        <v>71</v>
      </c>
      <c r="B764" t="s">
        <v>75</v>
      </c>
      <c r="C764">
        <v>2026</v>
      </c>
      <c r="D764" t="s">
        <v>29</v>
      </c>
      <c r="E764">
        <v>110109.78</v>
      </c>
      <c r="F764">
        <v>119.3</v>
      </c>
      <c r="G764">
        <v>403</v>
      </c>
      <c r="H764">
        <v>240.3</v>
      </c>
      <c r="I764">
        <v>2.97</v>
      </c>
      <c r="J764">
        <v>200</v>
      </c>
      <c r="K764">
        <v>1000</v>
      </c>
      <c r="L764">
        <v>912</v>
      </c>
      <c r="M764" t="s">
        <v>30</v>
      </c>
      <c r="N764">
        <v>7</v>
      </c>
      <c r="O764" t="s">
        <v>46</v>
      </c>
      <c r="P764">
        <v>68.8</v>
      </c>
      <c r="Q764">
        <v>1500</v>
      </c>
      <c r="R764">
        <v>4</v>
      </c>
      <c r="S764">
        <v>2</v>
      </c>
      <c r="T764" t="s">
        <v>73</v>
      </c>
      <c r="U764" t="s">
        <v>33</v>
      </c>
      <c r="V764">
        <v>116675</v>
      </c>
      <c r="W764">
        <v>4.2</v>
      </c>
      <c r="X764">
        <v>4</v>
      </c>
      <c r="Y764" t="s">
        <v>34</v>
      </c>
      <c r="Z764">
        <v>3.38</v>
      </c>
      <c r="AA764" t="s">
        <v>35</v>
      </c>
    </row>
    <row r="765" spans="1:27" x14ac:dyDescent="0.3">
      <c r="A765" t="s">
        <v>44</v>
      </c>
      <c r="B765" t="s">
        <v>110</v>
      </c>
      <c r="C765">
        <v>2026</v>
      </c>
      <c r="D765" t="s">
        <v>38</v>
      </c>
      <c r="E765">
        <v>81491.33</v>
      </c>
      <c r="F765">
        <v>73.3</v>
      </c>
      <c r="G765">
        <v>257</v>
      </c>
      <c r="H765">
        <v>131.5</v>
      </c>
      <c r="I765">
        <v>7.51</v>
      </c>
      <c r="J765">
        <v>145</v>
      </c>
      <c r="K765">
        <v>1000</v>
      </c>
      <c r="L765">
        <v>849</v>
      </c>
      <c r="M765" t="s">
        <v>54</v>
      </c>
      <c r="N765">
        <v>5</v>
      </c>
      <c r="O765" t="s">
        <v>40</v>
      </c>
      <c r="P765">
        <v>65.3</v>
      </c>
      <c r="Q765">
        <v>2230</v>
      </c>
      <c r="R765">
        <v>3</v>
      </c>
      <c r="S765">
        <v>0</v>
      </c>
      <c r="T765" t="s">
        <v>47</v>
      </c>
      <c r="U765" t="s">
        <v>38</v>
      </c>
      <c r="V765">
        <v>15310</v>
      </c>
      <c r="W765">
        <v>3.8</v>
      </c>
      <c r="X765">
        <v>4</v>
      </c>
      <c r="Y765" t="s">
        <v>61</v>
      </c>
      <c r="Z765">
        <v>3.51</v>
      </c>
      <c r="AA765" t="s">
        <v>43</v>
      </c>
    </row>
    <row r="766" spans="1:27" x14ac:dyDescent="0.3">
      <c r="A766" t="s">
        <v>52</v>
      </c>
      <c r="B766" t="s">
        <v>80</v>
      </c>
      <c r="C766">
        <v>2022</v>
      </c>
      <c r="D766" t="s">
        <v>63</v>
      </c>
      <c r="E766">
        <v>83011.59</v>
      </c>
      <c r="F766">
        <v>78.2</v>
      </c>
      <c r="G766">
        <v>288</v>
      </c>
      <c r="H766">
        <v>207.7</v>
      </c>
      <c r="I766">
        <v>6.44</v>
      </c>
      <c r="J766">
        <v>147</v>
      </c>
      <c r="K766">
        <v>570</v>
      </c>
      <c r="L766">
        <v>470</v>
      </c>
      <c r="M766" t="s">
        <v>39</v>
      </c>
      <c r="N766">
        <v>5</v>
      </c>
      <c r="O766" t="s">
        <v>31</v>
      </c>
      <c r="P766">
        <v>64</v>
      </c>
      <c r="Q766">
        <v>2568</v>
      </c>
      <c r="R766">
        <v>4</v>
      </c>
      <c r="S766">
        <v>2</v>
      </c>
      <c r="T766" t="s">
        <v>47</v>
      </c>
      <c r="U766" t="s">
        <v>38</v>
      </c>
      <c r="V766">
        <v>132378</v>
      </c>
      <c r="W766">
        <v>4.0999999999999996</v>
      </c>
      <c r="X766">
        <v>5</v>
      </c>
      <c r="Y766" t="s">
        <v>43</v>
      </c>
      <c r="Z766">
        <v>3.68</v>
      </c>
      <c r="AA766" t="s">
        <v>35</v>
      </c>
    </row>
    <row r="767" spans="1:27" x14ac:dyDescent="0.3">
      <c r="A767" t="s">
        <v>48</v>
      </c>
      <c r="B767" t="s">
        <v>49</v>
      </c>
      <c r="C767">
        <v>2023</v>
      </c>
      <c r="D767" t="s">
        <v>38</v>
      </c>
      <c r="E767">
        <v>59926.46</v>
      </c>
      <c r="F767">
        <v>66.3</v>
      </c>
      <c r="G767">
        <v>219</v>
      </c>
      <c r="H767">
        <v>99.8</v>
      </c>
      <c r="I767">
        <v>6.36</v>
      </c>
      <c r="J767">
        <v>162</v>
      </c>
      <c r="K767">
        <v>687</v>
      </c>
      <c r="L767">
        <v>676</v>
      </c>
      <c r="M767" t="s">
        <v>54</v>
      </c>
      <c r="N767">
        <v>7</v>
      </c>
      <c r="O767" t="s">
        <v>40</v>
      </c>
      <c r="P767">
        <v>44.7</v>
      </c>
      <c r="Q767">
        <v>1956</v>
      </c>
      <c r="R767">
        <v>5</v>
      </c>
      <c r="S767">
        <v>0</v>
      </c>
      <c r="T767" t="s">
        <v>51</v>
      </c>
      <c r="U767" t="s">
        <v>42</v>
      </c>
      <c r="V767">
        <v>144832</v>
      </c>
      <c r="W767">
        <v>3.1</v>
      </c>
      <c r="X767">
        <v>4</v>
      </c>
      <c r="Y767" t="s">
        <v>43</v>
      </c>
      <c r="Z767">
        <v>3.3</v>
      </c>
      <c r="AA767" t="s">
        <v>35</v>
      </c>
    </row>
    <row r="768" spans="1:27" x14ac:dyDescent="0.3">
      <c r="A768" t="s">
        <v>84</v>
      </c>
      <c r="B768" t="s">
        <v>99</v>
      </c>
      <c r="C768">
        <v>2025</v>
      </c>
      <c r="D768" t="s">
        <v>38</v>
      </c>
      <c r="E768">
        <v>44324.9</v>
      </c>
      <c r="F768">
        <v>61.8</v>
      </c>
      <c r="G768">
        <v>198</v>
      </c>
      <c r="H768">
        <v>133.69999999999999</v>
      </c>
      <c r="I768">
        <v>7.39</v>
      </c>
      <c r="J768">
        <v>139</v>
      </c>
      <c r="K768">
        <v>367</v>
      </c>
      <c r="L768">
        <v>300</v>
      </c>
      <c r="M768" t="s">
        <v>30</v>
      </c>
      <c r="N768">
        <v>2</v>
      </c>
      <c r="O768" t="s">
        <v>31</v>
      </c>
      <c r="P768">
        <v>59.1</v>
      </c>
      <c r="Q768">
        <v>2675</v>
      </c>
      <c r="R768">
        <v>4</v>
      </c>
      <c r="S768">
        <v>1</v>
      </c>
      <c r="T768" t="s">
        <v>47</v>
      </c>
      <c r="U768" t="s">
        <v>42</v>
      </c>
      <c r="V768">
        <v>57644</v>
      </c>
      <c r="W768">
        <v>3.5</v>
      </c>
      <c r="X768">
        <v>4</v>
      </c>
      <c r="Y768" t="s">
        <v>61</v>
      </c>
      <c r="Z768">
        <v>3.2</v>
      </c>
      <c r="AA768" t="s">
        <v>35</v>
      </c>
    </row>
    <row r="769" spans="1:27" x14ac:dyDescent="0.3">
      <c r="A769" t="s">
        <v>94</v>
      </c>
      <c r="B769" t="s">
        <v>116</v>
      </c>
      <c r="C769">
        <v>2025</v>
      </c>
      <c r="D769" t="s">
        <v>68</v>
      </c>
      <c r="E769">
        <v>114471.43</v>
      </c>
      <c r="F769">
        <v>76.2</v>
      </c>
      <c r="G769">
        <v>231</v>
      </c>
      <c r="H769">
        <v>133.1</v>
      </c>
      <c r="I769">
        <v>6.47</v>
      </c>
      <c r="J769">
        <v>152</v>
      </c>
      <c r="K769">
        <v>888</v>
      </c>
      <c r="L769">
        <v>750</v>
      </c>
      <c r="M769" t="s">
        <v>30</v>
      </c>
      <c r="N769">
        <v>7</v>
      </c>
      <c r="O769" t="s">
        <v>46</v>
      </c>
      <c r="P769">
        <v>74.2</v>
      </c>
      <c r="Q769">
        <v>1500</v>
      </c>
      <c r="R769">
        <v>4</v>
      </c>
      <c r="S769">
        <v>2</v>
      </c>
      <c r="T769" t="s">
        <v>32</v>
      </c>
      <c r="U769" t="s">
        <v>33</v>
      </c>
      <c r="V769">
        <v>21563</v>
      </c>
      <c r="W769">
        <v>3.5</v>
      </c>
      <c r="X769">
        <v>6</v>
      </c>
      <c r="Y769" t="s">
        <v>43</v>
      </c>
      <c r="Z769">
        <v>3.03</v>
      </c>
      <c r="AA769" t="s">
        <v>35</v>
      </c>
    </row>
    <row r="770" spans="1:27" x14ac:dyDescent="0.3">
      <c r="A770" t="s">
        <v>71</v>
      </c>
      <c r="B770" t="s">
        <v>75</v>
      </c>
      <c r="C770">
        <v>2026</v>
      </c>
      <c r="D770" t="s">
        <v>50</v>
      </c>
      <c r="E770">
        <v>104593.9</v>
      </c>
      <c r="F770">
        <v>89.1</v>
      </c>
      <c r="G770">
        <v>296</v>
      </c>
      <c r="H770">
        <v>104</v>
      </c>
      <c r="I770">
        <v>5.22</v>
      </c>
      <c r="J770">
        <v>172</v>
      </c>
      <c r="K770">
        <v>1000</v>
      </c>
      <c r="L770">
        <v>908</v>
      </c>
      <c r="M770" t="s">
        <v>54</v>
      </c>
      <c r="N770">
        <v>5</v>
      </c>
      <c r="O770" t="s">
        <v>46</v>
      </c>
      <c r="P770">
        <v>64.3</v>
      </c>
      <c r="Q770">
        <v>1680</v>
      </c>
      <c r="R770">
        <v>5</v>
      </c>
      <c r="S770">
        <v>1</v>
      </c>
      <c r="T770" t="s">
        <v>73</v>
      </c>
      <c r="U770" t="s">
        <v>33</v>
      </c>
      <c r="V770">
        <v>219672</v>
      </c>
      <c r="W770">
        <v>3.6</v>
      </c>
      <c r="X770">
        <v>3</v>
      </c>
      <c r="Y770" t="s">
        <v>43</v>
      </c>
      <c r="Z770">
        <v>3.32</v>
      </c>
      <c r="AA770" t="s">
        <v>35</v>
      </c>
    </row>
    <row r="771" spans="1:27" x14ac:dyDescent="0.3">
      <c r="A771" t="s">
        <v>84</v>
      </c>
      <c r="B771" t="s">
        <v>99</v>
      </c>
      <c r="C771">
        <v>2026</v>
      </c>
      <c r="D771" t="s">
        <v>38</v>
      </c>
      <c r="E771">
        <v>95704.24</v>
      </c>
      <c r="F771">
        <v>84.6</v>
      </c>
      <c r="G771">
        <v>300</v>
      </c>
      <c r="H771">
        <v>52.9</v>
      </c>
      <c r="I771">
        <v>5</v>
      </c>
      <c r="J771">
        <v>176</v>
      </c>
      <c r="K771">
        <v>1000</v>
      </c>
      <c r="L771">
        <v>887</v>
      </c>
      <c r="M771" t="s">
        <v>54</v>
      </c>
      <c r="N771">
        <v>2</v>
      </c>
      <c r="O771" t="s">
        <v>31</v>
      </c>
      <c r="P771">
        <v>75.900000000000006</v>
      </c>
      <c r="Q771">
        <v>2262</v>
      </c>
      <c r="R771">
        <v>5</v>
      </c>
      <c r="S771">
        <v>0</v>
      </c>
      <c r="T771" t="s">
        <v>47</v>
      </c>
      <c r="U771" t="s">
        <v>38</v>
      </c>
      <c r="V771">
        <v>70819</v>
      </c>
      <c r="W771">
        <v>3.5</v>
      </c>
      <c r="X771">
        <v>4</v>
      </c>
      <c r="Y771" t="s">
        <v>43</v>
      </c>
      <c r="Z771">
        <v>3.55</v>
      </c>
      <c r="AA771" t="s">
        <v>35</v>
      </c>
    </row>
    <row r="772" spans="1:27" x14ac:dyDescent="0.3">
      <c r="A772" t="s">
        <v>52</v>
      </c>
      <c r="B772" t="s">
        <v>80</v>
      </c>
      <c r="C772">
        <v>2024</v>
      </c>
      <c r="D772" t="s">
        <v>50</v>
      </c>
      <c r="E772">
        <v>81331.259999999995</v>
      </c>
      <c r="F772">
        <v>87</v>
      </c>
      <c r="G772">
        <v>324</v>
      </c>
      <c r="H772">
        <v>305</v>
      </c>
      <c r="I772">
        <v>5.93</v>
      </c>
      <c r="J772">
        <v>160</v>
      </c>
      <c r="K772">
        <v>588</v>
      </c>
      <c r="L772">
        <v>584</v>
      </c>
      <c r="M772" t="s">
        <v>30</v>
      </c>
      <c r="N772">
        <v>5</v>
      </c>
      <c r="O772" t="s">
        <v>31</v>
      </c>
      <c r="P772">
        <v>77.7</v>
      </c>
      <c r="Q772">
        <v>2504</v>
      </c>
      <c r="R772">
        <v>5</v>
      </c>
      <c r="S772">
        <v>3</v>
      </c>
      <c r="T772" t="s">
        <v>47</v>
      </c>
      <c r="U772" t="s">
        <v>38</v>
      </c>
      <c r="V772">
        <v>192430</v>
      </c>
      <c r="W772">
        <v>3.7</v>
      </c>
      <c r="X772">
        <v>6</v>
      </c>
      <c r="Y772" t="s">
        <v>43</v>
      </c>
      <c r="Z772">
        <v>3.72</v>
      </c>
      <c r="AA772" t="s">
        <v>35</v>
      </c>
    </row>
    <row r="773" spans="1:27" x14ac:dyDescent="0.3">
      <c r="A773" t="s">
        <v>58</v>
      </c>
      <c r="B773" t="s">
        <v>111</v>
      </c>
      <c r="C773">
        <v>2025</v>
      </c>
      <c r="D773" t="s">
        <v>50</v>
      </c>
      <c r="E773">
        <v>83712.42</v>
      </c>
      <c r="F773">
        <v>97.4</v>
      </c>
      <c r="G773">
        <v>338</v>
      </c>
      <c r="H773">
        <v>125.5</v>
      </c>
      <c r="I773">
        <v>5.85</v>
      </c>
      <c r="J773">
        <v>170</v>
      </c>
      <c r="K773">
        <v>335</v>
      </c>
      <c r="L773">
        <v>334</v>
      </c>
      <c r="M773" t="s">
        <v>39</v>
      </c>
      <c r="N773">
        <v>7</v>
      </c>
      <c r="O773" t="s">
        <v>46</v>
      </c>
      <c r="P773">
        <v>67.3</v>
      </c>
      <c r="Q773">
        <v>1677</v>
      </c>
      <c r="R773">
        <v>3</v>
      </c>
      <c r="S773">
        <v>1</v>
      </c>
      <c r="T773" t="s">
        <v>32</v>
      </c>
      <c r="U773" t="s">
        <v>38</v>
      </c>
      <c r="V773">
        <v>37695</v>
      </c>
      <c r="W773">
        <v>3.9</v>
      </c>
      <c r="X773">
        <v>5</v>
      </c>
      <c r="Y773" t="s">
        <v>43</v>
      </c>
      <c r="Z773">
        <v>3.47</v>
      </c>
      <c r="AA773" t="s">
        <v>35</v>
      </c>
    </row>
    <row r="774" spans="1:27" x14ac:dyDescent="0.3">
      <c r="A774" t="s">
        <v>52</v>
      </c>
      <c r="B774" t="s">
        <v>53</v>
      </c>
      <c r="C774">
        <v>2023</v>
      </c>
      <c r="D774" t="s">
        <v>68</v>
      </c>
      <c r="E774">
        <v>106795.24</v>
      </c>
      <c r="F774">
        <v>45.7</v>
      </c>
      <c r="G774">
        <v>163</v>
      </c>
      <c r="H774">
        <v>310.7</v>
      </c>
      <c r="I774">
        <v>5.09</v>
      </c>
      <c r="J774">
        <v>178</v>
      </c>
      <c r="K774">
        <v>739</v>
      </c>
      <c r="L774">
        <v>638</v>
      </c>
      <c r="M774" t="s">
        <v>54</v>
      </c>
      <c r="N774">
        <v>5</v>
      </c>
      <c r="O774" t="s">
        <v>46</v>
      </c>
      <c r="P774">
        <v>66.8</v>
      </c>
      <c r="Q774">
        <v>1724</v>
      </c>
      <c r="R774">
        <v>5</v>
      </c>
      <c r="S774">
        <v>3</v>
      </c>
      <c r="T774" t="s">
        <v>47</v>
      </c>
      <c r="U774" t="s">
        <v>33</v>
      </c>
      <c r="V774">
        <v>212365</v>
      </c>
      <c r="W774">
        <v>3.6</v>
      </c>
      <c r="X774">
        <v>5</v>
      </c>
      <c r="Y774" t="s">
        <v>43</v>
      </c>
      <c r="Z774">
        <v>3.57</v>
      </c>
      <c r="AA774" t="s">
        <v>35</v>
      </c>
    </row>
    <row r="775" spans="1:27" x14ac:dyDescent="0.3">
      <c r="A775" t="s">
        <v>27</v>
      </c>
      <c r="B775" t="s">
        <v>83</v>
      </c>
      <c r="C775">
        <v>2025</v>
      </c>
      <c r="D775" t="s">
        <v>50</v>
      </c>
      <c r="E775">
        <v>92182.9</v>
      </c>
      <c r="F775">
        <v>103.2</v>
      </c>
      <c r="G775">
        <v>359</v>
      </c>
      <c r="H775">
        <v>69.2</v>
      </c>
      <c r="I775">
        <v>4.2</v>
      </c>
      <c r="J775">
        <v>194</v>
      </c>
      <c r="K775">
        <v>1000</v>
      </c>
      <c r="L775">
        <v>910</v>
      </c>
      <c r="M775" t="s">
        <v>39</v>
      </c>
      <c r="N775">
        <v>5</v>
      </c>
      <c r="O775" t="s">
        <v>65</v>
      </c>
      <c r="P775">
        <v>20.9</v>
      </c>
      <c r="Q775">
        <v>1549</v>
      </c>
      <c r="R775">
        <v>5</v>
      </c>
      <c r="S775">
        <v>0</v>
      </c>
      <c r="T775" t="s">
        <v>32</v>
      </c>
      <c r="U775" t="s">
        <v>38</v>
      </c>
      <c r="V775">
        <v>254291</v>
      </c>
      <c r="W775">
        <v>3.6</v>
      </c>
      <c r="X775">
        <v>3</v>
      </c>
      <c r="Y775" t="s">
        <v>43</v>
      </c>
      <c r="Z775">
        <v>3.48</v>
      </c>
      <c r="AA775" t="s">
        <v>35</v>
      </c>
    </row>
    <row r="776" spans="1:27" x14ac:dyDescent="0.3">
      <c r="A776" t="s">
        <v>84</v>
      </c>
      <c r="B776" t="s">
        <v>106</v>
      </c>
      <c r="C776">
        <v>2025</v>
      </c>
      <c r="D776" t="s">
        <v>63</v>
      </c>
      <c r="E776">
        <v>31805.75</v>
      </c>
      <c r="F776">
        <v>48.6</v>
      </c>
      <c r="G776">
        <v>157</v>
      </c>
      <c r="H776">
        <v>114.5</v>
      </c>
      <c r="I776">
        <v>5.16</v>
      </c>
      <c r="J776">
        <v>168</v>
      </c>
      <c r="K776">
        <v>188</v>
      </c>
      <c r="L776">
        <v>200</v>
      </c>
      <c r="M776" t="s">
        <v>54</v>
      </c>
      <c r="N776">
        <v>5</v>
      </c>
      <c r="O776" t="s">
        <v>31</v>
      </c>
      <c r="P776">
        <v>74.5</v>
      </c>
      <c r="Q776">
        <v>2587</v>
      </c>
      <c r="R776">
        <v>4</v>
      </c>
      <c r="S776">
        <v>0</v>
      </c>
      <c r="T776" t="s">
        <v>47</v>
      </c>
      <c r="U776" t="s">
        <v>74</v>
      </c>
      <c r="V776">
        <v>49546</v>
      </c>
      <c r="W776">
        <v>3.2</v>
      </c>
      <c r="X776">
        <v>3</v>
      </c>
      <c r="Y776" t="s">
        <v>43</v>
      </c>
      <c r="Z776">
        <v>3.23</v>
      </c>
      <c r="AA776" t="s">
        <v>35</v>
      </c>
    </row>
    <row r="777" spans="1:27" x14ac:dyDescent="0.3">
      <c r="A777" t="s">
        <v>52</v>
      </c>
      <c r="B777" t="s">
        <v>64</v>
      </c>
      <c r="C777">
        <v>2023</v>
      </c>
      <c r="D777" t="s">
        <v>38</v>
      </c>
      <c r="E777">
        <v>64307.39</v>
      </c>
      <c r="F777">
        <v>44.8</v>
      </c>
      <c r="G777">
        <v>171</v>
      </c>
      <c r="H777">
        <v>301.60000000000002</v>
      </c>
      <c r="I777">
        <v>6.85</v>
      </c>
      <c r="J777">
        <v>147</v>
      </c>
      <c r="K777">
        <v>475</v>
      </c>
      <c r="L777">
        <v>444</v>
      </c>
      <c r="M777" t="s">
        <v>54</v>
      </c>
      <c r="N777">
        <v>7</v>
      </c>
      <c r="O777" t="s">
        <v>56</v>
      </c>
      <c r="P777">
        <v>22.8</v>
      </c>
      <c r="Q777">
        <v>1754</v>
      </c>
      <c r="R777">
        <v>4</v>
      </c>
      <c r="S777">
        <v>2</v>
      </c>
      <c r="T777" t="s">
        <v>47</v>
      </c>
      <c r="U777" t="s">
        <v>42</v>
      </c>
      <c r="V777">
        <v>138801</v>
      </c>
      <c r="W777">
        <v>3.7</v>
      </c>
      <c r="X777">
        <v>5</v>
      </c>
      <c r="Y777" t="s">
        <v>43</v>
      </c>
      <c r="Z777">
        <v>3.82</v>
      </c>
      <c r="AA777" t="s">
        <v>35</v>
      </c>
    </row>
    <row r="778" spans="1:27" x14ac:dyDescent="0.3">
      <c r="A778" t="s">
        <v>71</v>
      </c>
      <c r="B778" t="s">
        <v>96</v>
      </c>
      <c r="C778">
        <v>2023</v>
      </c>
      <c r="D778" t="s">
        <v>50</v>
      </c>
      <c r="E778">
        <v>99850.08</v>
      </c>
      <c r="F778">
        <v>105.9</v>
      </c>
      <c r="G778">
        <v>400</v>
      </c>
      <c r="H778">
        <v>137</v>
      </c>
      <c r="I778">
        <v>5.55</v>
      </c>
      <c r="J778">
        <v>171</v>
      </c>
      <c r="K778">
        <v>1000</v>
      </c>
      <c r="L778">
        <v>900</v>
      </c>
      <c r="M778" t="s">
        <v>39</v>
      </c>
      <c r="N778">
        <v>7</v>
      </c>
      <c r="O778" t="s">
        <v>31</v>
      </c>
      <c r="P778">
        <v>70.3</v>
      </c>
      <c r="Q778">
        <v>2608</v>
      </c>
      <c r="R778">
        <v>5</v>
      </c>
      <c r="S778">
        <v>0</v>
      </c>
      <c r="T778" t="s">
        <v>73</v>
      </c>
      <c r="U778" t="s">
        <v>38</v>
      </c>
      <c r="V778">
        <v>207644</v>
      </c>
      <c r="W778">
        <v>3.7</v>
      </c>
      <c r="X778">
        <v>3</v>
      </c>
      <c r="Y778" t="s">
        <v>43</v>
      </c>
      <c r="Z778">
        <v>3.78</v>
      </c>
      <c r="AA778" t="s">
        <v>35</v>
      </c>
    </row>
    <row r="779" spans="1:27" x14ac:dyDescent="0.3">
      <c r="A779" t="s">
        <v>44</v>
      </c>
      <c r="B779" t="s">
        <v>62</v>
      </c>
      <c r="C779">
        <v>2024</v>
      </c>
      <c r="D779" t="s">
        <v>38</v>
      </c>
      <c r="E779">
        <v>70082.06</v>
      </c>
      <c r="F779">
        <v>42.6</v>
      </c>
      <c r="G779">
        <v>156</v>
      </c>
      <c r="H779">
        <v>68.7</v>
      </c>
      <c r="I779">
        <v>5.71</v>
      </c>
      <c r="J779">
        <v>161</v>
      </c>
      <c r="K779">
        <v>940</v>
      </c>
      <c r="L779">
        <v>844</v>
      </c>
      <c r="M779" t="s">
        <v>30</v>
      </c>
      <c r="N779">
        <v>7</v>
      </c>
      <c r="O779" t="s">
        <v>56</v>
      </c>
      <c r="P779">
        <v>27.2</v>
      </c>
      <c r="Q779">
        <v>1500</v>
      </c>
      <c r="R779">
        <v>5</v>
      </c>
      <c r="S779">
        <v>1</v>
      </c>
      <c r="T779" t="s">
        <v>47</v>
      </c>
      <c r="U779" t="s">
        <v>38</v>
      </c>
      <c r="V779">
        <v>20253</v>
      </c>
      <c r="W779">
        <v>3.1</v>
      </c>
      <c r="X779">
        <v>3</v>
      </c>
      <c r="Y779" t="s">
        <v>43</v>
      </c>
      <c r="Z779">
        <v>3.66</v>
      </c>
      <c r="AA779" t="s">
        <v>35</v>
      </c>
    </row>
    <row r="780" spans="1:27" x14ac:dyDescent="0.3">
      <c r="A780" t="s">
        <v>44</v>
      </c>
      <c r="B780" t="s">
        <v>126</v>
      </c>
      <c r="C780">
        <v>2024</v>
      </c>
      <c r="D780" t="s">
        <v>68</v>
      </c>
      <c r="E780">
        <v>61767.69</v>
      </c>
      <c r="F780">
        <v>48</v>
      </c>
      <c r="G780">
        <v>161</v>
      </c>
      <c r="H780">
        <v>76.8</v>
      </c>
      <c r="I780">
        <v>6.23</v>
      </c>
      <c r="J780">
        <v>155</v>
      </c>
      <c r="K780">
        <v>875</v>
      </c>
      <c r="L780">
        <v>799</v>
      </c>
      <c r="M780" t="s">
        <v>39</v>
      </c>
      <c r="N780">
        <v>7</v>
      </c>
      <c r="O780" t="s">
        <v>40</v>
      </c>
      <c r="P780">
        <v>55.2</v>
      </c>
      <c r="Q780">
        <v>1989</v>
      </c>
      <c r="R780">
        <v>4</v>
      </c>
      <c r="S780">
        <v>0</v>
      </c>
      <c r="T780" t="s">
        <v>47</v>
      </c>
      <c r="U780" t="s">
        <v>42</v>
      </c>
      <c r="V780">
        <v>27695</v>
      </c>
      <c r="W780">
        <v>3.1</v>
      </c>
      <c r="X780">
        <v>4</v>
      </c>
      <c r="Y780" t="s">
        <v>43</v>
      </c>
      <c r="Z780">
        <v>3.35</v>
      </c>
      <c r="AA780" t="s">
        <v>35</v>
      </c>
    </row>
    <row r="781" spans="1:27" x14ac:dyDescent="0.3">
      <c r="A781" t="s">
        <v>91</v>
      </c>
      <c r="B781" t="s">
        <v>124</v>
      </c>
      <c r="C781">
        <v>2022</v>
      </c>
      <c r="D781" t="s">
        <v>63</v>
      </c>
      <c r="E781">
        <v>87727.18</v>
      </c>
      <c r="F781">
        <v>75.099999999999994</v>
      </c>
      <c r="G781">
        <v>238</v>
      </c>
      <c r="H781">
        <v>96.5</v>
      </c>
      <c r="I781">
        <v>6.69</v>
      </c>
      <c r="J781">
        <v>150</v>
      </c>
      <c r="K781">
        <v>650</v>
      </c>
      <c r="L781">
        <v>644</v>
      </c>
      <c r="M781" t="s">
        <v>39</v>
      </c>
      <c r="N781">
        <v>7</v>
      </c>
      <c r="O781" t="s">
        <v>46</v>
      </c>
      <c r="P781">
        <v>79.900000000000006</v>
      </c>
      <c r="Q781">
        <v>1500</v>
      </c>
      <c r="R781">
        <v>5</v>
      </c>
      <c r="S781">
        <v>1</v>
      </c>
      <c r="T781" t="s">
        <v>32</v>
      </c>
      <c r="U781" t="s">
        <v>38</v>
      </c>
      <c r="V781">
        <v>35030</v>
      </c>
      <c r="W781">
        <v>3.4</v>
      </c>
      <c r="X781">
        <v>6</v>
      </c>
      <c r="Y781" t="s">
        <v>43</v>
      </c>
      <c r="Z781">
        <v>3.17</v>
      </c>
      <c r="AA781" t="s">
        <v>35</v>
      </c>
    </row>
    <row r="782" spans="1:27" x14ac:dyDescent="0.3">
      <c r="A782" t="s">
        <v>44</v>
      </c>
      <c r="B782" t="s">
        <v>109</v>
      </c>
      <c r="C782">
        <v>2025</v>
      </c>
      <c r="D782" t="s">
        <v>68</v>
      </c>
      <c r="E782">
        <v>29502.2</v>
      </c>
      <c r="F782">
        <v>67.8</v>
      </c>
      <c r="G782">
        <v>248</v>
      </c>
      <c r="H782">
        <v>100</v>
      </c>
      <c r="I782">
        <v>7.13</v>
      </c>
      <c r="J782">
        <v>142</v>
      </c>
      <c r="K782">
        <v>218</v>
      </c>
      <c r="L782">
        <v>200</v>
      </c>
      <c r="M782" t="s">
        <v>54</v>
      </c>
      <c r="N782">
        <v>7</v>
      </c>
      <c r="O782" t="s">
        <v>56</v>
      </c>
      <c r="P782">
        <v>37.700000000000003</v>
      </c>
      <c r="Q782">
        <v>1722</v>
      </c>
      <c r="R782">
        <v>4</v>
      </c>
      <c r="S782">
        <v>1</v>
      </c>
      <c r="T782" t="s">
        <v>47</v>
      </c>
      <c r="U782" t="s">
        <v>74</v>
      </c>
      <c r="V782">
        <v>19509</v>
      </c>
      <c r="W782">
        <v>3.5</v>
      </c>
      <c r="X782">
        <v>3</v>
      </c>
      <c r="Y782" t="s">
        <v>61</v>
      </c>
      <c r="Z782">
        <v>3.66</v>
      </c>
      <c r="AA782" t="s">
        <v>43</v>
      </c>
    </row>
    <row r="783" spans="1:27" x14ac:dyDescent="0.3">
      <c r="A783" t="s">
        <v>48</v>
      </c>
      <c r="B783" t="s">
        <v>123</v>
      </c>
      <c r="C783">
        <v>2026</v>
      </c>
      <c r="D783" t="s">
        <v>38</v>
      </c>
      <c r="E783">
        <v>81787.56</v>
      </c>
      <c r="F783">
        <v>61.8</v>
      </c>
      <c r="G783">
        <v>200</v>
      </c>
      <c r="H783">
        <v>101.7</v>
      </c>
      <c r="I783">
        <v>5.15</v>
      </c>
      <c r="J783">
        <v>173</v>
      </c>
      <c r="K783">
        <v>967</v>
      </c>
      <c r="L783">
        <v>895</v>
      </c>
      <c r="M783" t="s">
        <v>54</v>
      </c>
      <c r="N783">
        <v>7</v>
      </c>
      <c r="O783" t="s">
        <v>57</v>
      </c>
      <c r="P783">
        <v>19.8</v>
      </c>
      <c r="Q783">
        <v>1500</v>
      </c>
      <c r="R783">
        <v>3</v>
      </c>
      <c r="S783">
        <v>0</v>
      </c>
      <c r="T783" t="s">
        <v>51</v>
      </c>
      <c r="U783" t="s">
        <v>38</v>
      </c>
      <c r="V783">
        <v>103637</v>
      </c>
      <c r="W783">
        <v>3.3</v>
      </c>
      <c r="X783">
        <v>4</v>
      </c>
      <c r="Y783" t="s">
        <v>43</v>
      </c>
      <c r="Z783">
        <v>3.24</v>
      </c>
      <c r="AA783" t="s">
        <v>35</v>
      </c>
    </row>
    <row r="784" spans="1:27" x14ac:dyDescent="0.3">
      <c r="A784" t="s">
        <v>71</v>
      </c>
      <c r="B784" t="s">
        <v>75</v>
      </c>
      <c r="C784">
        <v>2025</v>
      </c>
      <c r="D784" t="s">
        <v>29</v>
      </c>
      <c r="E784">
        <v>94900.11</v>
      </c>
      <c r="F784">
        <v>105.2</v>
      </c>
      <c r="G784">
        <v>381</v>
      </c>
      <c r="H784">
        <v>214.4</v>
      </c>
      <c r="I784">
        <v>3.93</v>
      </c>
      <c r="J784">
        <v>190</v>
      </c>
      <c r="K784">
        <v>1000</v>
      </c>
      <c r="L784">
        <v>907</v>
      </c>
      <c r="M784" t="s">
        <v>30</v>
      </c>
      <c r="N784">
        <v>5</v>
      </c>
      <c r="O784" t="s">
        <v>56</v>
      </c>
      <c r="P784">
        <v>25.2</v>
      </c>
      <c r="Q784">
        <v>1500</v>
      </c>
      <c r="R784">
        <v>5</v>
      </c>
      <c r="S784">
        <v>0</v>
      </c>
      <c r="T784" t="s">
        <v>73</v>
      </c>
      <c r="U784" t="s">
        <v>38</v>
      </c>
      <c r="V784">
        <v>172031</v>
      </c>
      <c r="W784">
        <v>3.9</v>
      </c>
      <c r="X784">
        <v>3</v>
      </c>
      <c r="Y784" t="s">
        <v>34</v>
      </c>
      <c r="Z784">
        <v>3.62</v>
      </c>
      <c r="AA784" t="s">
        <v>35</v>
      </c>
    </row>
    <row r="785" spans="1:27" x14ac:dyDescent="0.3">
      <c r="A785" t="s">
        <v>71</v>
      </c>
      <c r="B785" t="s">
        <v>96</v>
      </c>
      <c r="C785">
        <v>2026</v>
      </c>
      <c r="D785" t="s">
        <v>68</v>
      </c>
      <c r="E785">
        <v>76922.710000000006</v>
      </c>
      <c r="F785">
        <v>71.2</v>
      </c>
      <c r="G785">
        <v>254</v>
      </c>
      <c r="H785">
        <v>114.7</v>
      </c>
      <c r="I785">
        <v>7.54</v>
      </c>
      <c r="J785">
        <v>139</v>
      </c>
      <c r="K785">
        <v>885</v>
      </c>
      <c r="L785">
        <v>732</v>
      </c>
      <c r="M785" t="s">
        <v>54</v>
      </c>
      <c r="N785">
        <v>5</v>
      </c>
      <c r="O785" t="s">
        <v>31</v>
      </c>
      <c r="P785">
        <v>72.8</v>
      </c>
      <c r="Q785">
        <v>2840</v>
      </c>
      <c r="R785">
        <v>5</v>
      </c>
      <c r="S785">
        <v>0</v>
      </c>
      <c r="T785" t="s">
        <v>73</v>
      </c>
      <c r="U785" t="s">
        <v>38</v>
      </c>
      <c r="V785">
        <v>121433</v>
      </c>
      <c r="W785">
        <v>3.4</v>
      </c>
      <c r="X785">
        <v>4</v>
      </c>
      <c r="Y785" t="s">
        <v>61</v>
      </c>
      <c r="Z785">
        <v>3.57</v>
      </c>
      <c r="AA785" t="s">
        <v>35</v>
      </c>
    </row>
    <row r="786" spans="1:27" x14ac:dyDescent="0.3">
      <c r="A786" t="s">
        <v>52</v>
      </c>
      <c r="B786" t="s">
        <v>53</v>
      </c>
      <c r="C786">
        <v>2024</v>
      </c>
      <c r="D786" t="s">
        <v>38</v>
      </c>
      <c r="E786">
        <v>173467.44</v>
      </c>
      <c r="F786">
        <v>42.9</v>
      </c>
      <c r="G786">
        <v>150</v>
      </c>
      <c r="H786">
        <v>236.8</v>
      </c>
      <c r="I786">
        <v>5.49</v>
      </c>
      <c r="J786">
        <v>180</v>
      </c>
      <c r="K786">
        <v>1000</v>
      </c>
      <c r="L786">
        <v>906</v>
      </c>
      <c r="M786" t="s">
        <v>30</v>
      </c>
      <c r="N786">
        <v>5</v>
      </c>
      <c r="O786" t="s">
        <v>56</v>
      </c>
      <c r="P786">
        <v>15.4</v>
      </c>
      <c r="Q786">
        <v>2086</v>
      </c>
      <c r="R786">
        <v>4</v>
      </c>
      <c r="S786">
        <v>2</v>
      </c>
      <c r="T786" t="s">
        <v>47</v>
      </c>
      <c r="U786" t="s">
        <v>33</v>
      </c>
      <c r="V786">
        <v>241741</v>
      </c>
      <c r="W786">
        <v>3.8</v>
      </c>
      <c r="X786">
        <v>5</v>
      </c>
      <c r="Y786" t="s">
        <v>43</v>
      </c>
      <c r="Z786">
        <v>3.5</v>
      </c>
      <c r="AA786" t="s">
        <v>35</v>
      </c>
    </row>
    <row r="787" spans="1:27" x14ac:dyDescent="0.3">
      <c r="A787" t="s">
        <v>94</v>
      </c>
      <c r="B787" t="s">
        <v>113</v>
      </c>
      <c r="C787">
        <v>2024</v>
      </c>
      <c r="D787" t="s">
        <v>38</v>
      </c>
      <c r="E787">
        <v>105361.9</v>
      </c>
      <c r="F787">
        <v>71.8</v>
      </c>
      <c r="G787">
        <v>263</v>
      </c>
      <c r="H787">
        <v>52.5</v>
      </c>
      <c r="I787">
        <v>7.12</v>
      </c>
      <c r="J787">
        <v>144</v>
      </c>
      <c r="K787">
        <v>753</v>
      </c>
      <c r="L787">
        <v>661</v>
      </c>
      <c r="M787" t="s">
        <v>39</v>
      </c>
      <c r="N787">
        <v>5</v>
      </c>
      <c r="O787" t="s">
        <v>57</v>
      </c>
      <c r="P787">
        <v>39.5</v>
      </c>
      <c r="Q787">
        <v>1500</v>
      </c>
      <c r="R787">
        <v>5</v>
      </c>
      <c r="S787">
        <v>2</v>
      </c>
      <c r="T787" t="s">
        <v>32</v>
      </c>
      <c r="U787" t="s">
        <v>33</v>
      </c>
      <c r="V787">
        <v>22361</v>
      </c>
      <c r="W787">
        <v>3.6</v>
      </c>
      <c r="X787">
        <v>7</v>
      </c>
      <c r="Y787" t="s">
        <v>61</v>
      </c>
      <c r="Z787">
        <v>3.66</v>
      </c>
      <c r="AA787" t="s">
        <v>35</v>
      </c>
    </row>
    <row r="788" spans="1:27" x14ac:dyDescent="0.3">
      <c r="A788" t="s">
        <v>48</v>
      </c>
      <c r="B788" t="s">
        <v>79</v>
      </c>
      <c r="C788">
        <v>2022</v>
      </c>
      <c r="D788" t="s">
        <v>68</v>
      </c>
      <c r="E788">
        <v>39229.86</v>
      </c>
      <c r="F788">
        <v>42.7</v>
      </c>
      <c r="G788">
        <v>154</v>
      </c>
      <c r="H788">
        <v>100.5</v>
      </c>
      <c r="I788">
        <v>5.09</v>
      </c>
      <c r="J788">
        <v>170</v>
      </c>
      <c r="K788">
        <v>325</v>
      </c>
      <c r="L788">
        <v>298</v>
      </c>
      <c r="M788" t="s">
        <v>39</v>
      </c>
      <c r="N788">
        <v>5</v>
      </c>
      <c r="O788" t="s">
        <v>56</v>
      </c>
      <c r="P788">
        <v>18</v>
      </c>
      <c r="Q788">
        <v>1570</v>
      </c>
      <c r="R788">
        <v>4</v>
      </c>
      <c r="S788">
        <v>0</v>
      </c>
      <c r="T788" t="s">
        <v>51</v>
      </c>
      <c r="U788" t="s">
        <v>42</v>
      </c>
      <c r="V788">
        <v>92917</v>
      </c>
      <c r="W788">
        <v>3</v>
      </c>
      <c r="X788">
        <v>4</v>
      </c>
      <c r="Y788" t="s">
        <v>43</v>
      </c>
      <c r="Z788">
        <v>3.61</v>
      </c>
      <c r="AA788" t="s">
        <v>35</v>
      </c>
    </row>
    <row r="789" spans="1:27" x14ac:dyDescent="0.3">
      <c r="A789" t="s">
        <v>27</v>
      </c>
      <c r="B789" t="s">
        <v>82</v>
      </c>
      <c r="C789">
        <v>2022</v>
      </c>
      <c r="D789" t="s">
        <v>38</v>
      </c>
      <c r="E789">
        <v>90567.3</v>
      </c>
      <c r="F789">
        <v>69.5</v>
      </c>
      <c r="G789">
        <v>208</v>
      </c>
      <c r="H789">
        <v>142</v>
      </c>
      <c r="I789">
        <v>6.59</v>
      </c>
      <c r="J789">
        <v>147</v>
      </c>
      <c r="K789">
        <v>1000</v>
      </c>
      <c r="L789">
        <v>914</v>
      </c>
      <c r="M789" t="s">
        <v>30</v>
      </c>
      <c r="N789">
        <v>5</v>
      </c>
      <c r="O789" t="s">
        <v>31</v>
      </c>
      <c r="P789">
        <v>74</v>
      </c>
      <c r="Q789">
        <v>2426</v>
      </c>
      <c r="R789">
        <v>5</v>
      </c>
      <c r="S789">
        <v>0</v>
      </c>
      <c r="T789" t="s">
        <v>32</v>
      </c>
      <c r="U789" t="s">
        <v>38</v>
      </c>
      <c r="V789">
        <v>266134</v>
      </c>
      <c r="W789">
        <v>3.3</v>
      </c>
      <c r="X789">
        <v>4</v>
      </c>
      <c r="Y789" t="s">
        <v>43</v>
      </c>
      <c r="Z789">
        <v>2.99</v>
      </c>
      <c r="AA789" t="s">
        <v>35</v>
      </c>
    </row>
    <row r="790" spans="1:27" x14ac:dyDescent="0.3">
      <c r="A790" t="s">
        <v>76</v>
      </c>
      <c r="B790" t="s">
        <v>98</v>
      </c>
      <c r="C790">
        <v>2025</v>
      </c>
      <c r="D790" t="s">
        <v>29</v>
      </c>
      <c r="E790">
        <v>95402.2</v>
      </c>
      <c r="F790">
        <v>91.6</v>
      </c>
      <c r="G790">
        <v>321</v>
      </c>
      <c r="H790">
        <v>184.8</v>
      </c>
      <c r="I790">
        <v>4.4400000000000004</v>
      </c>
      <c r="J790">
        <v>187</v>
      </c>
      <c r="K790">
        <v>1000</v>
      </c>
      <c r="L790">
        <v>888</v>
      </c>
      <c r="M790" t="s">
        <v>30</v>
      </c>
      <c r="N790">
        <v>7</v>
      </c>
      <c r="O790" t="s">
        <v>57</v>
      </c>
      <c r="P790">
        <v>25.2</v>
      </c>
      <c r="Q790">
        <v>1627</v>
      </c>
      <c r="R790">
        <v>4</v>
      </c>
      <c r="S790">
        <v>1</v>
      </c>
      <c r="T790" t="s">
        <v>51</v>
      </c>
      <c r="U790" t="s">
        <v>38</v>
      </c>
      <c r="V790">
        <v>124589</v>
      </c>
      <c r="W790">
        <v>3.9</v>
      </c>
      <c r="X790">
        <v>4</v>
      </c>
      <c r="Y790" t="s">
        <v>43</v>
      </c>
      <c r="Z790">
        <v>3.5</v>
      </c>
      <c r="AA790" t="s">
        <v>35</v>
      </c>
    </row>
    <row r="791" spans="1:27" x14ac:dyDescent="0.3">
      <c r="A791" t="s">
        <v>36</v>
      </c>
      <c r="B791" t="s">
        <v>37</v>
      </c>
      <c r="C791">
        <v>2025</v>
      </c>
      <c r="D791" t="s">
        <v>50</v>
      </c>
      <c r="E791">
        <v>84185.72</v>
      </c>
      <c r="F791">
        <v>103.8</v>
      </c>
      <c r="G791">
        <v>377</v>
      </c>
      <c r="H791">
        <v>121.9</v>
      </c>
      <c r="I791">
        <v>5.79</v>
      </c>
      <c r="J791">
        <v>165</v>
      </c>
      <c r="K791">
        <v>1000</v>
      </c>
      <c r="L791">
        <v>868</v>
      </c>
      <c r="M791" t="s">
        <v>39</v>
      </c>
      <c r="N791">
        <v>5</v>
      </c>
      <c r="O791" t="s">
        <v>40</v>
      </c>
      <c r="P791">
        <v>60.4</v>
      </c>
      <c r="Q791">
        <v>1969</v>
      </c>
      <c r="R791">
        <v>5</v>
      </c>
      <c r="S791">
        <v>1</v>
      </c>
      <c r="T791" t="s">
        <v>41</v>
      </c>
      <c r="U791" t="s">
        <v>38</v>
      </c>
      <c r="V791">
        <v>15914</v>
      </c>
      <c r="W791">
        <v>3.9</v>
      </c>
      <c r="X791">
        <v>4</v>
      </c>
      <c r="Y791" t="s">
        <v>43</v>
      </c>
      <c r="Z791">
        <v>3.63</v>
      </c>
      <c r="AA791" t="s">
        <v>43</v>
      </c>
    </row>
    <row r="792" spans="1:27" x14ac:dyDescent="0.3">
      <c r="A792" t="s">
        <v>52</v>
      </c>
      <c r="B792" t="s">
        <v>55</v>
      </c>
      <c r="C792">
        <v>2026</v>
      </c>
      <c r="D792" t="s">
        <v>68</v>
      </c>
      <c r="E792">
        <v>131838.32999999999</v>
      </c>
      <c r="F792">
        <v>68.900000000000006</v>
      </c>
      <c r="G792">
        <v>241</v>
      </c>
      <c r="H792">
        <v>340.8</v>
      </c>
      <c r="I792">
        <v>6.65</v>
      </c>
      <c r="J792">
        <v>152</v>
      </c>
      <c r="K792">
        <v>1000</v>
      </c>
      <c r="L792">
        <v>923</v>
      </c>
      <c r="M792" t="s">
        <v>39</v>
      </c>
      <c r="N792">
        <v>7</v>
      </c>
      <c r="O792" t="s">
        <v>65</v>
      </c>
      <c r="P792">
        <v>31.8</v>
      </c>
      <c r="Q792">
        <v>1541</v>
      </c>
      <c r="R792">
        <v>5</v>
      </c>
      <c r="S792">
        <v>2</v>
      </c>
      <c r="T792" t="s">
        <v>47</v>
      </c>
      <c r="U792" t="s">
        <v>33</v>
      </c>
      <c r="V792">
        <v>410211</v>
      </c>
      <c r="W792">
        <v>3.8</v>
      </c>
      <c r="X792">
        <v>5</v>
      </c>
      <c r="Y792" t="s">
        <v>43</v>
      </c>
      <c r="Z792">
        <v>3.5</v>
      </c>
      <c r="AA792" t="s">
        <v>35</v>
      </c>
    </row>
    <row r="793" spans="1:27" x14ac:dyDescent="0.3">
      <c r="A793" t="s">
        <v>48</v>
      </c>
      <c r="B793" t="s">
        <v>88</v>
      </c>
      <c r="C793">
        <v>2024</v>
      </c>
      <c r="D793" t="s">
        <v>63</v>
      </c>
      <c r="E793">
        <v>36206.519999999997</v>
      </c>
      <c r="F793">
        <v>53.7</v>
      </c>
      <c r="G793">
        <v>182</v>
      </c>
      <c r="H793">
        <v>132.1</v>
      </c>
      <c r="I793">
        <v>6.92</v>
      </c>
      <c r="J793">
        <v>143</v>
      </c>
      <c r="K793">
        <v>296</v>
      </c>
      <c r="L793">
        <v>296</v>
      </c>
      <c r="M793" t="s">
        <v>30</v>
      </c>
      <c r="N793">
        <v>7</v>
      </c>
      <c r="O793" t="s">
        <v>40</v>
      </c>
      <c r="P793">
        <v>60.1</v>
      </c>
      <c r="Q793">
        <v>2343</v>
      </c>
      <c r="R793">
        <v>4</v>
      </c>
      <c r="S793">
        <v>0</v>
      </c>
      <c r="T793" t="s">
        <v>51</v>
      </c>
      <c r="U793" t="s">
        <v>42</v>
      </c>
      <c r="V793">
        <v>96649</v>
      </c>
      <c r="W793">
        <v>3.2</v>
      </c>
      <c r="X793">
        <v>5</v>
      </c>
      <c r="Y793" t="s">
        <v>43</v>
      </c>
      <c r="Z793">
        <v>3.39</v>
      </c>
      <c r="AA793" t="s">
        <v>35</v>
      </c>
    </row>
    <row r="794" spans="1:27" x14ac:dyDescent="0.3">
      <c r="A794" t="s">
        <v>76</v>
      </c>
      <c r="B794" t="s">
        <v>114</v>
      </c>
      <c r="C794">
        <v>2026</v>
      </c>
      <c r="D794" t="s">
        <v>68</v>
      </c>
      <c r="E794">
        <v>60217.03</v>
      </c>
      <c r="F794">
        <v>73.900000000000006</v>
      </c>
      <c r="G794">
        <v>251</v>
      </c>
      <c r="H794">
        <v>102.4</v>
      </c>
      <c r="I794">
        <v>6.68</v>
      </c>
      <c r="J794">
        <v>159</v>
      </c>
      <c r="K794">
        <v>721</v>
      </c>
      <c r="L794">
        <v>665</v>
      </c>
      <c r="M794" t="s">
        <v>39</v>
      </c>
      <c r="N794">
        <v>5</v>
      </c>
      <c r="O794" t="s">
        <v>40</v>
      </c>
      <c r="P794">
        <v>41.2</v>
      </c>
      <c r="Q794">
        <v>2085</v>
      </c>
      <c r="R794">
        <v>4</v>
      </c>
      <c r="S794">
        <v>0</v>
      </c>
      <c r="T794" t="s">
        <v>51</v>
      </c>
      <c r="U794" t="s">
        <v>42</v>
      </c>
      <c r="V794">
        <v>83698</v>
      </c>
      <c r="W794">
        <v>3.2</v>
      </c>
      <c r="X794">
        <v>5</v>
      </c>
      <c r="Y794" t="s">
        <v>43</v>
      </c>
      <c r="Z794">
        <v>3.4</v>
      </c>
      <c r="AA794" t="s">
        <v>35</v>
      </c>
    </row>
    <row r="795" spans="1:27" x14ac:dyDescent="0.3">
      <c r="A795" t="s">
        <v>48</v>
      </c>
      <c r="B795" t="s">
        <v>49</v>
      </c>
      <c r="C795">
        <v>2025</v>
      </c>
      <c r="D795" t="s">
        <v>38</v>
      </c>
      <c r="E795">
        <v>76146.100000000006</v>
      </c>
      <c r="F795">
        <v>42.4</v>
      </c>
      <c r="G795">
        <v>175</v>
      </c>
      <c r="H795">
        <v>62.2</v>
      </c>
      <c r="I795">
        <v>7.08</v>
      </c>
      <c r="J795">
        <v>146</v>
      </c>
      <c r="K795">
        <v>931</v>
      </c>
      <c r="L795">
        <v>831</v>
      </c>
      <c r="M795" t="s">
        <v>39</v>
      </c>
      <c r="N795">
        <v>5</v>
      </c>
      <c r="O795" t="s">
        <v>40</v>
      </c>
      <c r="P795">
        <v>46.6</v>
      </c>
      <c r="Q795">
        <v>1980</v>
      </c>
      <c r="R795">
        <v>4</v>
      </c>
      <c r="S795">
        <v>0</v>
      </c>
      <c r="T795" t="s">
        <v>51</v>
      </c>
      <c r="U795" t="s">
        <v>38</v>
      </c>
      <c r="V795">
        <v>86432</v>
      </c>
      <c r="W795">
        <v>3.4</v>
      </c>
      <c r="X795">
        <v>5</v>
      </c>
      <c r="Y795" t="s">
        <v>61</v>
      </c>
      <c r="Z795">
        <v>4.13</v>
      </c>
      <c r="AA795" t="s">
        <v>35</v>
      </c>
    </row>
    <row r="796" spans="1:27" x14ac:dyDescent="0.3">
      <c r="A796" t="s">
        <v>52</v>
      </c>
      <c r="B796" t="s">
        <v>53</v>
      </c>
      <c r="C796">
        <v>2024</v>
      </c>
      <c r="D796" t="s">
        <v>38</v>
      </c>
      <c r="E796">
        <v>92300.78</v>
      </c>
      <c r="F796">
        <v>48.8</v>
      </c>
      <c r="G796">
        <v>173</v>
      </c>
      <c r="H796">
        <v>313.2</v>
      </c>
      <c r="I796">
        <v>7.14</v>
      </c>
      <c r="J796">
        <v>146</v>
      </c>
      <c r="K796">
        <v>654</v>
      </c>
      <c r="L796">
        <v>617</v>
      </c>
      <c r="M796" t="s">
        <v>54</v>
      </c>
      <c r="N796">
        <v>7</v>
      </c>
      <c r="O796" t="s">
        <v>56</v>
      </c>
      <c r="P796">
        <v>32.1</v>
      </c>
      <c r="Q796">
        <v>1604</v>
      </c>
      <c r="R796">
        <v>5</v>
      </c>
      <c r="S796">
        <v>3</v>
      </c>
      <c r="T796" t="s">
        <v>47</v>
      </c>
      <c r="U796" t="s">
        <v>38</v>
      </c>
      <c r="V796">
        <v>249410</v>
      </c>
      <c r="W796">
        <v>3.5</v>
      </c>
      <c r="X796">
        <v>6</v>
      </c>
      <c r="Y796" t="s">
        <v>61</v>
      </c>
      <c r="Z796">
        <v>3.55</v>
      </c>
      <c r="AA796" t="s">
        <v>35</v>
      </c>
    </row>
    <row r="797" spans="1:27" x14ac:dyDescent="0.3">
      <c r="A797" t="s">
        <v>58</v>
      </c>
      <c r="B797" t="s">
        <v>111</v>
      </c>
      <c r="C797">
        <v>2025</v>
      </c>
      <c r="D797" t="s">
        <v>38</v>
      </c>
      <c r="E797">
        <v>158316.82999999999</v>
      </c>
      <c r="F797">
        <v>76</v>
      </c>
      <c r="G797">
        <v>241</v>
      </c>
      <c r="H797">
        <v>96.3</v>
      </c>
      <c r="I797">
        <v>5.44</v>
      </c>
      <c r="J797">
        <v>164</v>
      </c>
      <c r="K797">
        <v>1000</v>
      </c>
      <c r="L797">
        <v>889</v>
      </c>
      <c r="M797" t="s">
        <v>30</v>
      </c>
      <c r="N797">
        <v>5</v>
      </c>
      <c r="O797" t="s">
        <v>46</v>
      </c>
      <c r="P797">
        <v>73.7</v>
      </c>
      <c r="Q797">
        <v>1882</v>
      </c>
      <c r="R797">
        <v>5</v>
      </c>
      <c r="S797">
        <v>2</v>
      </c>
      <c r="T797" t="s">
        <v>32</v>
      </c>
      <c r="U797" t="s">
        <v>33</v>
      </c>
      <c r="V797">
        <v>22636</v>
      </c>
      <c r="W797">
        <v>3.8</v>
      </c>
      <c r="X797">
        <v>6</v>
      </c>
      <c r="Y797" t="s">
        <v>43</v>
      </c>
      <c r="Z797">
        <v>3.17</v>
      </c>
      <c r="AA797" t="s">
        <v>35</v>
      </c>
    </row>
    <row r="798" spans="1:27" x14ac:dyDescent="0.3">
      <c r="A798" t="s">
        <v>102</v>
      </c>
      <c r="B798" t="s">
        <v>103</v>
      </c>
      <c r="C798">
        <v>2025</v>
      </c>
      <c r="D798" t="s">
        <v>29</v>
      </c>
      <c r="E798">
        <v>109164.41</v>
      </c>
      <c r="F798">
        <v>79.599999999999994</v>
      </c>
      <c r="G798">
        <v>288</v>
      </c>
      <c r="H798">
        <v>191.9</v>
      </c>
      <c r="I798">
        <v>3.34</v>
      </c>
      <c r="J798">
        <v>197</v>
      </c>
      <c r="K798">
        <v>1000</v>
      </c>
      <c r="L798">
        <v>857</v>
      </c>
      <c r="M798" t="s">
        <v>30</v>
      </c>
      <c r="N798">
        <v>5</v>
      </c>
      <c r="O798" t="s">
        <v>56</v>
      </c>
      <c r="P798">
        <v>39.1</v>
      </c>
      <c r="Q798">
        <v>1853</v>
      </c>
      <c r="R798">
        <v>5</v>
      </c>
      <c r="S798">
        <v>1</v>
      </c>
      <c r="T798" t="s">
        <v>47</v>
      </c>
      <c r="U798" t="s">
        <v>33</v>
      </c>
      <c r="V798">
        <v>19234</v>
      </c>
      <c r="W798">
        <v>3.8</v>
      </c>
      <c r="X798">
        <v>4</v>
      </c>
      <c r="Y798" t="s">
        <v>34</v>
      </c>
      <c r="Z798">
        <v>3.62</v>
      </c>
      <c r="AA798" t="s">
        <v>43</v>
      </c>
    </row>
    <row r="799" spans="1:27" x14ac:dyDescent="0.3">
      <c r="A799" t="s">
        <v>48</v>
      </c>
      <c r="B799" t="s">
        <v>60</v>
      </c>
      <c r="C799">
        <v>2025</v>
      </c>
      <c r="D799" t="s">
        <v>38</v>
      </c>
      <c r="E799">
        <v>108567.95</v>
      </c>
      <c r="F799">
        <v>56.3</v>
      </c>
      <c r="G799">
        <v>197</v>
      </c>
      <c r="H799">
        <v>122.5</v>
      </c>
      <c r="I799">
        <v>5.25</v>
      </c>
      <c r="J799">
        <v>165</v>
      </c>
      <c r="K799">
        <v>1000</v>
      </c>
      <c r="L799">
        <v>911</v>
      </c>
      <c r="M799" t="s">
        <v>30</v>
      </c>
      <c r="N799">
        <v>7</v>
      </c>
      <c r="O799" t="s">
        <v>46</v>
      </c>
      <c r="P799">
        <v>74.400000000000006</v>
      </c>
      <c r="Q799">
        <v>1655</v>
      </c>
      <c r="R799">
        <v>4</v>
      </c>
      <c r="S799">
        <v>0</v>
      </c>
      <c r="T799" t="s">
        <v>51</v>
      </c>
      <c r="U799" t="s">
        <v>33</v>
      </c>
      <c r="V799">
        <v>139588</v>
      </c>
      <c r="W799">
        <v>3.6</v>
      </c>
      <c r="X799">
        <v>4</v>
      </c>
      <c r="Y799" t="s">
        <v>43</v>
      </c>
      <c r="Z799">
        <v>3.5</v>
      </c>
      <c r="AA799" t="s">
        <v>35</v>
      </c>
    </row>
    <row r="800" spans="1:27" x14ac:dyDescent="0.3">
      <c r="A800" t="s">
        <v>44</v>
      </c>
      <c r="B800" t="s">
        <v>126</v>
      </c>
      <c r="C800">
        <v>2024</v>
      </c>
      <c r="D800" t="s">
        <v>63</v>
      </c>
      <c r="E800">
        <v>33469.379999999997</v>
      </c>
      <c r="F800">
        <v>55.2</v>
      </c>
      <c r="G800">
        <v>198</v>
      </c>
      <c r="H800">
        <v>50.6</v>
      </c>
      <c r="I800">
        <v>7.96</v>
      </c>
      <c r="J800">
        <v>130</v>
      </c>
      <c r="K800">
        <v>287</v>
      </c>
      <c r="L800">
        <v>257</v>
      </c>
      <c r="M800" t="s">
        <v>39</v>
      </c>
      <c r="N800">
        <v>5</v>
      </c>
      <c r="O800" t="s">
        <v>40</v>
      </c>
      <c r="P800">
        <v>57.3</v>
      </c>
      <c r="Q800">
        <v>2124</v>
      </c>
      <c r="R800">
        <v>4</v>
      </c>
      <c r="S800">
        <v>0</v>
      </c>
      <c r="T800" t="s">
        <v>47</v>
      </c>
      <c r="U800" t="s">
        <v>74</v>
      </c>
      <c r="V800">
        <v>2373</v>
      </c>
      <c r="W800">
        <v>3.3</v>
      </c>
      <c r="X800">
        <v>3</v>
      </c>
      <c r="Y800" t="s">
        <v>61</v>
      </c>
      <c r="Z800">
        <v>3.59</v>
      </c>
      <c r="AA800" t="s">
        <v>69</v>
      </c>
    </row>
    <row r="801" spans="1:27" x14ac:dyDescent="0.3">
      <c r="A801" t="s">
        <v>102</v>
      </c>
      <c r="B801" t="s">
        <v>103</v>
      </c>
      <c r="C801">
        <v>2025</v>
      </c>
      <c r="D801" t="s">
        <v>63</v>
      </c>
      <c r="E801">
        <v>79068.679999999993</v>
      </c>
      <c r="F801">
        <v>62.9</v>
      </c>
      <c r="G801">
        <v>236</v>
      </c>
      <c r="H801">
        <v>98.4</v>
      </c>
      <c r="I801">
        <v>7.54</v>
      </c>
      <c r="J801">
        <v>146</v>
      </c>
      <c r="K801">
        <v>668</v>
      </c>
      <c r="L801">
        <v>618</v>
      </c>
      <c r="M801" t="s">
        <v>54</v>
      </c>
      <c r="N801">
        <v>5</v>
      </c>
      <c r="O801" t="s">
        <v>40</v>
      </c>
      <c r="P801">
        <v>53.7</v>
      </c>
      <c r="Q801">
        <v>1833</v>
      </c>
      <c r="R801">
        <v>5</v>
      </c>
      <c r="S801">
        <v>2</v>
      </c>
      <c r="T801" t="s">
        <v>47</v>
      </c>
      <c r="U801" t="s">
        <v>38</v>
      </c>
      <c r="V801">
        <v>25139</v>
      </c>
      <c r="W801">
        <v>3.3</v>
      </c>
      <c r="X801">
        <v>4</v>
      </c>
      <c r="Y801" t="s">
        <v>61</v>
      </c>
      <c r="Z801">
        <v>3.75</v>
      </c>
      <c r="AA801" t="s">
        <v>35</v>
      </c>
    </row>
    <row r="802" spans="1:27" x14ac:dyDescent="0.3">
      <c r="A802" t="s">
        <v>44</v>
      </c>
      <c r="B802" t="s">
        <v>45</v>
      </c>
      <c r="C802">
        <v>2023</v>
      </c>
      <c r="D802" t="s">
        <v>63</v>
      </c>
      <c r="E802">
        <v>59074.75</v>
      </c>
      <c r="F802">
        <v>54.5</v>
      </c>
      <c r="G802">
        <v>198</v>
      </c>
      <c r="H802">
        <v>119.9</v>
      </c>
      <c r="I802">
        <v>6.02</v>
      </c>
      <c r="J802">
        <v>163</v>
      </c>
      <c r="K802">
        <v>760</v>
      </c>
      <c r="L802">
        <v>681</v>
      </c>
      <c r="M802" t="s">
        <v>30</v>
      </c>
      <c r="N802">
        <v>7</v>
      </c>
      <c r="O802" t="s">
        <v>57</v>
      </c>
      <c r="P802">
        <v>20.5</v>
      </c>
      <c r="Q802">
        <v>1586</v>
      </c>
      <c r="R802">
        <v>4</v>
      </c>
      <c r="S802">
        <v>0</v>
      </c>
      <c r="T802" t="s">
        <v>47</v>
      </c>
      <c r="U802" t="s">
        <v>42</v>
      </c>
      <c r="V802">
        <v>15584</v>
      </c>
      <c r="W802">
        <v>3.3</v>
      </c>
      <c r="X802">
        <v>4</v>
      </c>
      <c r="Y802" t="s">
        <v>43</v>
      </c>
      <c r="Z802">
        <v>3.63</v>
      </c>
      <c r="AA802" t="s">
        <v>43</v>
      </c>
    </row>
    <row r="803" spans="1:27" x14ac:dyDescent="0.3">
      <c r="A803" t="s">
        <v>52</v>
      </c>
      <c r="B803" t="s">
        <v>53</v>
      </c>
      <c r="C803">
        <v>2025</v>
      </c>
      <c r="D803" t="s">
        <v>63</v>
      </c>
      <c r="E803">
        <v>38136.97</v>
      </c>
      <c r="F803">
        <v>76</v>
      </c>
      <c r="G803">
        <v>284</v>
      </c>
      <c r="H803">
        <v>200.7</v>
      </c>
      <c r="I803">
        <v>7.25</v>
      </c>
      <c r="J803">
        <v>142</v>
      </c>
      <c r="K803">
        <v>219</v>
      </c>
      <c r="L803">
        <v>232</v>
      </c>
      <c r="M803" t="s">
        <v>39</v>
      </c>
      <c r="N803">
        <v>7</v>
      </c>
      <c r="O803" t="s">
        <v>65</v>
      </c>
      <c r="P803">
        <v>37.299999999999997</v>
      </c>
      <c r="Q803">
        <v>1674</v>
      </c>
      <c r="R803">
        <v>5</v>
      </c>
      <c r="S803">
        <v>2</v>
      </c>
      <c r="T803" t="s">
        <v>47</v>
      </c>
      <c r="U803" t="s">
        <v>42</v>
      </c>
      <c r="V803">
        <v>113015</v>
      </c>
      <c r="W803">
        <v>3.9</v>
      </c>
      <c r="X803">
        <v>5</v>
      </c>
      <c r="Y803" t="s">
        <v>61</v>
      </c>
      <c r="Z803">
        <v>3.74</v>
      </c>
      <c r="AA803" t="s">
        <v>35</v>
      </c>
    </row>
    <row r="804" spans="1:27" x14ac:dyDescent="0.3">
      <c r="A804" t="s">
        <v>48</v>
      </c>
      <c r="B804" t="s">
        <v>49</v>
      </c>
      <c r="C804">
        <v>2024</v>
      </c>
      <c r="D804" t="s">
        <v>38</v>
      </c>
      <c r="E804">
        <v>72898.84</v>
      </c>
      <c r="F804">
        <v>65.7</v>
      </c>
      <c r="G804">
        <v>244</v>
      </c>
      <c r="H804">
        <v>77.2</v>
      </c>
      <c r="I804">
        <v>5.44</v>
      </c>
      <c r="J804">
        <v>172</v>
      </c>
      <c r="K804">
        <v>843</v>
      </c>
      <c r="L804">
        <v>702</v>
      </c>
      <c r="M804" t="s">
        <v>30</v>
      </c>
      <c r="N804">
        <v>5</v>
      </c>
      <c r="O804" t="s">
        <v>40</v>
      </c>
      <c r="P804">
        <v>36.9</v>
      </c>
      <c r="Q804">
        <v>1586</v>
      </c>
      <c r="R804">
        <v>5</v>
      </c>
      <c r="S804">
        <v>0</v>
      </c>
      <c r="T804" t="s">
        <v>51</v>
      </c>
      <c r="U804" t="s">
        <v>38</v>
      </c>
      <c r="V804">
        <v>78422</v>
      </c>
      <c r="W804">
        <v>3.5</v>
      </c>
      <c r="X804">
        <v>5</v>
      </c>
      <c r="Y804" t="s">
        <v>43</v>
      </c>
      <c r="Z804">
        <v>3.71</v>
      </c>
      <c r="AA804" t="s">
        <v>35</v>
      </c>
    </row>
    <row r="805" spans="1:27" x14ac:dyDescent="0.3">
      <c r="A805" t="s">
        <v>48</v>
      </c>
      <c r="B805" t="s">
        <v>49</v>
      </c>
      <c r="C805">
        <v>2026</v>
      </c>
      <c r="D805" t="s">
        <v>63</v>
      </c>
      <c r="E805">
        <v>72429.61</v>
      </c>
      <c r="F805">
        <v>64.2</v>
      </c>
      <c r="G805">
        <v>178</v>
      </c>
      <c r="H805">
        <v>50.8</v>
      </c>
      <c r="I805">
        <v>6.33</v>
      </c>
      <c r="J805">
        <v>153</v>
      </c>
      <c r="K805">
        <v>877</v>
      </c>
      <c r="L805">
        <v>756</v>
      </c>
      <c r="M805" t="s">
        <v>54</v>
      </c>
      <c r="N805">
        <v>5</v>
      </c>
      <c r="O805" t="s">
        <v>40</v>
      </c>
      <c r="P805">
        <v>46.5</v>
      </c>
      <c r="Q805">
        <v>1686</v>
      </c>
      <c r="R805">
        <v>5</v>
      </c>
      <c r="S805">
        <v>0</v>
      </c>
      <c r="T805" t="s">
        <v>51</v>
      </c>
      <c r="U805" t="s">
        <v>38</v>
      </c>
      <c r="V805">
        <v>52716</v>
      </c>
      <c r="W805">
        <v>3</v>
      </c>
      <c r="X805">
        <v>4</v>
      </c>
      <c r="Y805" t="s">
        <v>43</v>
      </c>
      <c r="Z805">
        <v>2.77</v>
      </c>
      <c r="AA805" t="s">
        <v>35</v>
      </c>
    </row>
    <row r="806" spans="1:27" x14ac:dyDescent="0.3">
      <c r="A806" t="s">
        <v>27</v>
      </c>
      <c r="B806" t="s">
        <v>83</v>
      </c>
      <c r="C806">
        <v>2024</v>
      </c>
      <c r="D806" t="s">
        <v>29</v>
      </c>
      <c r="E806">
        <v>90339.09</v>
      </c>
      <c r="F806">
        <v>78.099999999999994</v>
      </c>
      <c r="G806">
        <v>263</v>
      </c>
      <c r="H806">
        <v>193.1</v>
      </c>
      <c r="I806">
        <v>4.3600000000000003</v>
      </c>
      <c r="J806">
        <v>181</v>
      </c>
      <c r="K806">
        <v>986</v>
      </c>
      <c r="L806">
        <v>890</v>
      </c>
      <c r="M806" t="s">
        <v>30</v>
      </c>
      <c r="N806">
        <v>5</v>
      </c>
      <c r="O806" t="s">
        <v>40</v>
      </c>
      <c r="P806">
        <v>50.4</v>
      </c>
      <c r="Q806">
        <v>2218</v>
      </c>
      <c r="R806">
        <v>4</v>
      </c>
      <c r="S806">
        <v>0</v>
      </c>
      <c r="T806" t="s">
        <v>32</v>
      </c>
      <c r="U806" t="s">
        <v>38</v>
      </c>
      <c r="V806">
        <v>202441</v>
      </c>
      <c r="W806">
        <v>3.2</v>
      </c>
      <c r="X806">
        <v>3</v>
      </c>
      <c r="Y806" t="s">
        <v>43</v>
      </c>
      <c r="Z806">
        <v>3.37</v>
      </c>
      <c r="AA806" t="s">
        <v>35</v>
      </c>
    </row>
    <row r="807" spans="1:27" x14ac:dyDescent="0.3">
      <c r="A807" t="s">
        <v>44</v>
      </c>
      <c r="B807" t="s">
        <v>109</v>
      </c>
      <c r="C807">
        <v>2024</v>
      </c>
      <c r="D807" t="s">
        <v>68</v>
      </c>
      <c r="E807">
        <v>57794.12</v>
      </c>
      <c r="F807">
        <v>67.8</v>
      </c>
      <c r="G807">
        <v>255</v>
      </c>
      <c r="H807">
        <v>120.9</v>
      </c>
      <c r="I807">
        <v>7.67</v>
      </c>
      <c r="J807">
        <v>135</v>
      </c>
      <c r="K807">
        <v>696</v>
      </c>
      <c r="L807">
        <v>587</v>
      </c>
      <c r="M807" t="s">
        <v>39</v>
      </c>
      <c r="N807">
        <v>7</v>
      </c>
      <c r="O807" t="s">
        <v>31</v>
      </c>
      <c r="P807">
        <v>51</v>
      </c>
      <c r="Q807">
        <v>2854</v>
      </c>
      <c r="R807">
        <v>5</v>
      </c>
      <c r="S807">
        <v>1</v>
      </c>
      <c r="T807" t="s">
        <v>47</v>
      </c>
      <c r="U807" t="s">
        <v>42</v>
      </c>
      <c r="V807">
        <v>28957</v>
      </c>
      <c r="W807">
        <v>3.2</v>
      </c>
      <c r="X807">
        <v>4</v>
      </c>
      <c r="Y807" t="s">
        <v>61</v>
      </c>
      <c r="Z807">
        <v>3.76</v>
      </c>
      <c r="AA807" t="s">
        <v>35</v>
      </c>
    </row>
    <row r="808" spans="1:27" x14ac:dyDescent="0.3">
      <c r="A808" t="s">
        <v>100</v>
      </c>
      <c r="B808" t="s">
        <v>127</v>
      </c>
      <c r="C808">
        <v>2024</v>
      </c>
      <c r="D808" t="s">
        <v>50</v>
      </c>
      <c r="E808">
        <v>99775.41</v>
      </c>
      <c r="F808">
        <v>109.9</v>
      </c>
      <c r="G808">
        <v>380</v>
      </c>
      <c r="H808">
        <v>65.599999999999994</v>
      </c>
      <c r="I808">
        <v>5.18</v>
      </c>
      <c r="J808">
        <v>171</v>
      </c>
      <c r="K808">
        <v>958</v>
      </c>
      <c r="L808">
        <v>836</v>
      </c>
      <c r="M808" t="s">
        <v>54</v>
      </c>
      <c r="N808">
        <v>5</v>
      </c>
      <c r="O808" t="s">
        <v>40</v>
      </c>
      <c r="P808">
        <v>63.5</v>
      </c>
      <c r="Q808">
        <v>1845</v>
      </c>
      <c r="R808">
        <v>4</v>
      </c>
      <c r="S808">
        <v>2</v>
      </c>
      <c r="T808" t="s">
        <v>73</v>
      </c>
      <c r="U808" t="s">
        <v>38</v>
      </c>
      <c r="V808">
        <v>27479</v>
      </c>
      <c r="W808">
        <v>3.6</v>
      </c>
      <c r="X808">
        <v>4</v>
      </c>
      <c r="Y808" t="s">
        <v>43</v>
      </c>
      <c r="Z808">
        <v>3.46</v>
      </c>
      <c r="AA808" t="s">
        <v>35</v>
      </c>
    </row>
    <row r="809" spans="1:27" x14ac:dyDescent="0.3">
      <c r="A809" t="s">
        <v>102</v>
      </c>
      <c r="B809" t="s">
        <v>128</v>
      </c>
      <c r="C809">
        <v>2026</v>
      </c>
      <c r="D809" t="s">
        <v>50</v>
      </c>
      <c r="E809">
        <v>98562.96</v>
      </c>
      <c r="F809">
        <v>97.1</v>
      </c>
      <c r="G809">
        <v>316</v>
      </c>
      <c r="H809">
        <v>50.1</v>
      </c>
      <c r="I809">
        <v>5.61</v>
      </c>
      <c r="J809">
        <v>160</v>
      </c>
      <c r="K809">
        <v>1000</v>
      </c>
      <c r="L809">
        <v>952</v>
      </c>
      <c r="M809" t="s">
        <v>30</v>
      </c>
      <c r="N809">
        <v>7</v>
      </c>
      <c r="O809" t="s">
        <v>40</v>
      </c>
      <c r="P809">
        <v>58.8</v>
      </c>
      <c r="Q809">
        <v>2158</v>
      </c>
      <c r="R809">
        <v>3</v>
      </c>
      <c r="S809">
        <v>0</v>
      </c>
      <c r="T809" t="s">
        <v>47</v>
      </c>
      <c r="U809" t="s">
        <v>38</v>
      </c>
      <c r="V809">
        <v>20133</v>
      </c>
      <c r="W809">
        <v>3.7</v>
      </c>
      <c r="X809">
        <v>6</v>
      </c>
      <c r="Y809" t="s">
        <v>43</v>
      </c>
      <c r="Z809">
        <v>3.25</v>
      </c>
      <c r="AA809" t="s">
        <v>35</v>
      </c>
    </row>
    <row r="810" spans="1:27" x14ac:dyDescent="0.3">
      <c r="A810" t="s">
        <v>27</v>
      </c>
      <c r="B810" t="s">
        <v>28</v>
      </c>
      <c r="C810">
        <v>2025</v>
      </c>
      <c r="D810" t="s">
        <v>38</v>
      </c>
      <c r="E810">
        <v>45327.13</v>
      </c>
      <c r="F810">
        <v>67.8</v>
      </c>
      <c r="G810">
        <v>261</v>
      </c>
      <c r="H810">
        <v>127.3</v>
      </c>
      <c r="I810">
        <v>7.88</v>
      </c>
      <c r="J810">
        <v>132</v>
      </c>
      <c r="K810">
        <v>357</v>
      </c>
      <c r="L810">
        <v>330</v>
      </c>
      <c r="M810" t="s">
        <v>30</v>
      </c>
      <c r="N810">
        <v>5</v>
      </c>
      <c r="O810" t="s">
        <v>57</v>
      </c>
      <c r="P810">
        <v>20.5</v>
      </c>
      <c r="Q810">
        <v>1619</v>
      </c>
      <c r="R810">
        <v>4</v>
      </c>
      <c r="S810">
        <v>0</v>
      </c>
      <c r="T810" t="s">
        <v>32</v>
      </c>
      <c r="U810" t="s">
        <v>42</v>
      </c>
      <c r="V810">
        <v>299882</v>
      </c>
      <c r="W810">
        <v>3.6</v>
      </c>
      <c r="X810">
        <v>3</v>
      </c>
      <c r="Y810" t="s">
        <v>61</v>
      </c>
      <c r="Z810">
        <v>3.85</v>
      </c>
      <c r="AA810" t="s">
        <v>35</v>
      </c>
    </row>
    <row r="811" spans="1:27" x14ac:dyDescent="0.3">
      <c r="A811" t="s">
        <v>52</v>
      </c>
      <c r="B811" t="s">
        <v>55</v>
      </c>
      <c r="C811">
        <v>2023</v>
      </c>
      <c r="D811" t="s">
        <v>68</v>
      </c>
      <c r="E811">
        <v>100758.31</v>
      </c>
      <c r="F811">
        <v>46</v>
      </c>
      <c r="G811">
        <v>171</v>
      </c>
      <c r="H811">
        <v>297.7</v>
      </c>
      <c r="I811">
        <v>5.13</v>
      </c>
      <c r="J811">
        <v>175</v>
      </c>
      <c r="K811">
        <v>786</v>
      </c>
      <c r="L811">
        <v>685</v>
      </c>
      <c r="M811" t="s">
        <v>54</v>
      </c>
      <c r="N811">
        <v>7</v>
      </c>
      <c r="O811" t="s">
        <v>40</v>
      </c>
      <c r="P811">
        <v>47.3</v>
      </c>
      <c r="Q811">
        <v>1900</v>
      </c>
      <c r="R811">
        <v>5</v>
      </c>
      <c r="S811">
        <v>2</v>
      </c>
      <c r="T811" t="s">
        <v>47</v>
      </c>
      <c r="U811" t="s">
        <v>33</v>
      </c>
      <c r="V811">
        <v>472436</v>
      </c>
      <c r="W811">
        <v>3.4</v>
      </c>
      <c r="X811">
        <v>4</v>
      </c>
      <c r="Y811" t="s">
        <v>43</v>
      </c>
      <c r="Z811">
        <v>3.72</v>
      </c>
      <c r="AA811" t="s">
        <v>35</v>
      </c>
    </row>
    <row r="812" spans="1:27" x14ac:dyDescent="0.3">
      <c r="A812" t="s">
        <v>107</v>
      </c>
      <c r="B812" t="s">
        <v>108</v>
      </c>
      <c r="C812">
        <v>2025</v>
      </c>
      <c r="D812" t="s">
        <v>68</v>
      </c>
      <c r="E812">
        <v>185796.61</v>
      </c>
      <c r="F812">
        <v>78.099999999999994</v>
      </c>
      <c r="G812">
        <v>296</v>
      </c>
      <c r="H812">
        <v>229</v>
      </c>
      <c r="I812">
        <v>6.69</v>
      </c>
      <c r="J812">
        <v>148</v>
      </c>
      <c r="K812">
        <v>990</v>
      </c>
      <c r="L812">
        <v>873</v>
      </c>
      <c r="M812" t="s">
        <v>30</v>
      </c>
      <c r="N812">
        <v>7</v>
      </c>
      <c r="O812" t="s">
        <v>57</v>
      </c>
      <c r="P812">
        <v>17.2</v>
      </c>
      <c r="Q812">
        <v>1665</v>
      </c>
      <c r="R812">
        <v>4</v>
      </c>
      <c r="S812">
        <v>0</v>
      </c>
      <c r="T812" t="s">
        <v>32</v>
      </c>
      <c r="U812" t="s">
        <v>33</v>
      </c>
      <c r="V812">
        <v>21608</v>
      </c>
      <c r="W812">
        <v>3.9</v>
      </c>
      <c r="X812">
        <v>6</v>
      </c>
      <c r="Y812" t="s">
        <v>43</v>
      </c>
      <c r="Z812">
        <v>3.79</v>
      </c>
      <c r="AA812" t="s">
        <v>35</v>
      </c>
    </row>
    <row r="813" spans="1:27" x14ac:dyDescent="0.3">
      <c r="A813" t="s">
        <v>58</v>
      </c>
      <c r="B813" t="s">
        <v>70</v>
      </c>
      <c r="C813">
        <v>2025</v>
      </c>
      <c r="D813" t="s">
        <v>50</v>
      </c>
      <c r="E813">
        <v>94596.53</v>
      </c>
      <c r="F813">
        <v>77.5</v>
      </c>
      <c r="G813">
        <v>267</v>
      </c>
      <c r="H813">
        <v>149.80000000000001</v>
      </c>
      <c r="I813">
        <v>4.8600000000000003</v>
      </c>
      <c r="J813">
        <v>167</v>
      </c>
      <c r="K813">
        <v>486</v>
      </c>
      <c r="L813">
        <v>470</v>
      </c>
      <c r="M813" t="s">
        <v>30</v>
      </c>
      <c r="N813">
        <v>5</v>
      </c>
      <c r="O813" t="s">
        <v>57</v>
      </c>
      <c r="P813">
        <v>31.6</v>
      </c>
      <c r="Q813">
        <v>1500</v>
      </c>
      <c r="R813">
        <v>5</v>
      </c>
      <c r="S813">
        <v>2</v>
      </c>
      <c r="T813" t="s">
        <v>32</v>
      </c>
      <c r="U813" t="s">
        <v>38</v>
      </c>
      <c r="V813">
        <v>48573</v>
      </c>
      <c r="W813">
        <v>3.8</v>
      </c>
      <c r="X813">
        <v>5</v>
      </c>
      <c r="Y813" t="s">
        <v>43</v>
      </c>
      <c r="Z813">
        <v>3.45</v>
      </c>
      <c r="AA813" t="s">
        <v>35</v>
      </c>
    </row>
    <row r="814" spans="1:27" x14ac:dyDescent="0.3">
      <c r="A814" t="s">
        <v>52</v>
      </c>
      <c r="B814" t="s">
        <v>64</v>
      </c>
      <c r="C814">
        <v>2021</v>
      </c>
      <c r="D814" t="s">
        <v>38</v>
      </c>
      <c r="E814">
        <v>108109.05</v>
      </c>
      <c r="F814">
        <v>82.6</v>
      </c>
      <c r="G814">
        <v>273</v>
      </c>
      <c r="H814">
        <v>272.2</v>
      </c>
      <c r="I814">
        <v>7.76</v>
      </c>
      <c r="J814">
        <v>128</v>
      </c>
      <c r="K814">
        <v>740</v>
      </c>
      <c r="L814">
        <v>654</v>
      </c>
      <c r="M814" t="s">
        <v>30</v>
      </c>
      <c r="N814">
        <v>5</v>
      </c>
      <c r="O814" t="s">
        <v>46</v>
      </c>
      <c r="P814">
        <v>65.7</v>
      </c>
      <c r="Q814">
        <v>1524</v>
      </c>
      <c r="R814">
        <v>4</v>
      </c>
      <c r="S814">
        <v>2</v>
      </c>
      <c r="T814" t="s">
        <v>47</v>
      </c>
      <c r="U814" t="s">
        <v>33</v>
      </c>
      <c r="V814">
        <v>201131</v>
      </c>
      <c r="W814">
        <v>3.9</v>
      </c>
      <c r="X814">
        <v>5</v>
      </c>
      <c r="Y814" t="s">
        <v>61</v>
      </c>
      <c r="Z814">
        <v>3.31</v>
      </c>
      <c r="AA814" t="s">
        <v>35</v>
      </c>
    </row>
    <row r="815" spans="1:27" x14ac:dyDescent="0.3">
      <c r="A815" t="s">
        <v>102</v>
      </c>
      <c r="B815" t="s">
        <v>128</v>
      </c>
      <c r="C815">
        <v>2025</v>
      </c>
      <c r="D815" t="s">
        <v>63</v>
      </c>
      <c r="E815">
        <v>79447.62</v>
      </c>
      <c r="F815">
        <v>60.5</v>
      </c>
      <c r="G815">
        <v>184</v>
      </c>
      <c r="H815">
        <v>86.2</v>
      </c>
      <c r="I815">
        <v>5.83</v>
      </c>
      <c r="J815">
        <v>158</v>
      </c>
      <c r="K815">
        <v>619</v>
      </c>
      <c r="L815">
        <v>525</v>
      </c>
      <c r="M815" t="s">
        <v>30</v>
      </c>
      <c r="N815">
        <v>7</v>
      </c>
      <c r="O815" t="s">
        <v>31</v>
      </c>
      <c r="P815">
        <v>67.2</v>
      </c>
      <c r="Q815">
        <v>2460</v>
      </c>
      <c r="R815">
        <v>5</v>
      </c>
      <c r="S815">
        <v>0</v>
      </c>
      <c r="T815" t="s">
        <v>47</v>
      </c>
      <c r="U815" t="s">
        <v>38</v>
      </c>
      <c r="V815">
        <v>21177</v>
      </c>
      <c r="W815">
        <v>3.4</v>
      </c>
      <c r="X815">
        <v>5</v>
      </c>
      <c r="Y815" t="s">
        <v>43</v>
      </c>
      <c r="Z815">
        <v>3.04</v>
      </c>
      <c r="AA815" t="s">
        <v>35</v>
      </c>
    </row>
    <row r="816" spans="1:27" x14ac:dyDescent="0.3">
      <c r="A816" t="s">
        <v>58</v>
      </c>
      <c r="B816" t="s">
        <v>105</v>
      </c>
      <c r="C816">
        <v>2026</v>
      </c>
      <c r="D816" t="s">
        <v>38</v>
      </c>
      <c r="E816">
        <v>151394.73000000001</v>
      </c>
      <c r="F816">
        <v>70.8</v>
      </c>
      <c r="G816">
        <v>264</v>
      </c>
      <c r="H816">
        <v>136.9</v>
      </c>
      <c r="I816">
        <v>6.41</v>
      </c>
      <c r="J816">
        <v>153</v>
      </c>
      <c r="K816">
        <v>1000</v>
      </c>
      <c r="L816">
        <v>939</v>
      </c>
      <c r="M816" t="s">
        <v>30</v>
      </c>
      <c r="N816">
        <v>5</v>
      </c>
      <c r="O816" t="s">
        <v>46</v>
      </c>
      <c r="P816">
        <v>60.1</v>
      </c>
      <c r="Q816">
        <v>1500</v>
      </c>
      <c r="R816">
        <v>5</v>
      </c>
      <c r="S816">
        <v>1</v>
      </c>
      <c r="T816" t="s">
        <v>32</v>
      </c>
      <c r="U816" t="s">
        <v>33</v>
      </c>
      <c r="V816">
        <v>37405</v>
      </c>
      <c r="W816">
        <v>3.7</v>
      </c>
      <c r="X816">
        <v>6</v>
      </c>
      <c r="Y816" t="s">
        <v>43</v>
      </c>
      <c r="Z816">
        <v>3.73</v>
      </c>
      <c r="AA816" t="s">
        <v>35</v>
      </c>
    </row>
    <row r="817" spans="1:27" x14ac:dyDescent="0.3">
      <c r="A817" t="s">
        <v>76</v>
      </c>
      <c r="B817" t="s">
        <v>117</v>
      </c>
      <c r="C817">
        <v>2025</v>
      </c>
      <c r="D817" t="s">
        <v>68</v>
      </c>
      <c r="E817">
        <v>30172.57</v>
      </c>
      <c r="F817">
        <v>82.9</v>
      </c>
      <c r="G817">
        <v>283</v>
      </c>
      <c r="H817">
        <v>111.6</v>
      </c>
      <c r="I817">
        <v>7.77</v>
      </c>
      <c r="J817">
        <v>137</v>
      </c>
      <c r="K817">
        <v>187</v>
      </c>
      <c r="L817">
        <v>200</v>
      </c>
      <c r="M817" t="s">
        <v>39</v>
      </c>
      <c r="N817">
        <v>5</v>
      </c>
      <c r="O817" t="s">
        <v>31</v>
      </c>
      <c r="P817">
        <v>79.5</v>
      </c>
      <c r="Q817">
        <v>2516</v>
      </c>
      <c r="R817">
        <v>3</v>
      </c>
      <c r="S817">
        <v>1</v>
      </c>
      <c r="T817" t="s">
        <v>51</v>
      </c>
      <c r="U817" t="s">
        <v>74</v>
      </c>
      <c r="V817">
        <v>76614</v>
      </c>
      <c r="W817">
        <v>3.6</v>
      </c>
      <c r="X817">
        <v>3</v>
      </c>
      <c r="Y817" t="s">
        <v>61</v>
      </c>
      <c r="Z817">
        <v>3.41</v>
      </c>
      <c r="AA817" t="s">
        <v>35</v>
      </c>
    </row>
    <row r="818" spans="1:27" x14ac:dyDescent="0.3">
      <c r="A818" t="s">
        <v>48</v>
      </c>
      <c r="B818" t="s">
        <v>60</v>
      </c>
      <c r="C818">
        <v>2024</v>
      </c>
      <c r="D818" t="s">
        <v>29</v>
      </c>
      <c r="E818">
        <v>81763.199999999997</v>
      </c>
      <c r="F818">
        <v>89.6</v>
      </c>
      <c r="G818">
        <v>319</v>
      </c>
      <c r="H818">
        <v>232.9</v>
      </c>
      <c r="I818">
        <v>3.7</v>
      </c>
      <c r="J818">
        <v>188</v>
      </c>
      <c r="K818">
        <v>985</v>
      </c>
      <c r="L818">
        <v>960</v>
      </c>
      <c r="M818" t="s">
        <v>30</v>
      </c>
      <c r="N818">
        <v>5</v>
      </c>
      <c r="O818" t="s">
        <v>57</v>
      </c>
      <c r="P818">
        <v>25</v>
      </c>
      <c r="Q818">
        <v>1629</v>
      </c>
      <c r="R818">
        <v>4</v>
      </c>
      <c r="S818">
        <v>0</v>
      </c>
      <c r="T818" t="s">
        <v>51</v>
      </c>
      <c r="U818" t="s">
        <v>38</v>
      </c>
      <c r="V818">
        <v>93663</v>
      </c>
      <c r="W818">
        <v>3.4</v>
      </c>
      <c r="X818">
        <v>3</v>
      </c>
      <c r="Y818" t="s">
        <v>34</v>
      </c>
      <c r="Z818">
        <v>3.56</v>
      </c>
      <c r="AA818" t="s">
        <v>35</v>
      </c>
    </row>
    <row r="819" spans="1:27" x14ac:dyDescent="0.3">
      <c r="A819" t="s">
        <v>27</v>
      </c>
      <c r="B819" t="s">
        <v>28</v>
      </c>
      <c r="C819">
        <v>2026</v>
      </c>
      <c r="D819" t="s">
        <v>50</v>
      </c>
      <c r="E819">
        <v>42399.68</v>
      </c>
      <c r="F819">
        <v>101.9</v>
      </c>
      <c r="G819">
        <v>356</v>
      </c>
      <c r="H819">
        <v>96.8</v>
      </c>
      <c r="I819">
        <v>4.99</v>
      </c>
      <c r="J819">
        <v>186</v>
      </c>
      <c r="K819">
        <v>269</v>
      </c>
      <c r="L819">
        <v>207</v>
      </c>
      <c r="M819" t="s">
        <v>39</v>
      </c>
      <c r="N819">
        <v>5</v>
      </c>
      <c r="O819" t="s">
        <v>56</v>
      </c>
      <c r="P819">
        <v>29.9</v>
      </c>
      <c r="Q819">
        <v>1500</v>
      </c>
      <c r="R819">
        <v>4</v>
      </c>
      <c r="S819">
        <v>0</v>
      </c>
      <c r="T819" t="s">
        <v>32</v>
      </c>
      <c r="U819" t="s">
        <v>42</v>
      </c>
      <c r="V819">
        <v>252676</v>
      </c>
      <c r="W819">
        <v>3.7</v>
      </c>
      <c r="X819">
        <v>5</v>
      </c>
      <c r="Y819" t="s">
        <v>43</v>
      </c>
      <c r="Z819">
        <v>3.49</v>
      </c>
      <c r="AA819" t="s">
        <v>35</v>
      </c>
    </row>
    <row r="820" spans="1:27" x14ac:dyDescent="0.3">
      <c r="A820" t="s">
        <v>52</v>
      </c>
      <c r="B820" t="s">
        <v>86</v>
      </c>
      <c r="C820">
        <v>2022</v>
      </c>
      <c r="D820" t="s">
        <v>68</v>
      </c>
      <c r="E820">
        <v>98265.87</v>
      </c>
      <c r="F820">
        <v>83.7</v>
      </c>
      <c r="G820">
        <v>298</v>
      </c>
      <c r="H820">
        <v>223.7</v>
      </c>
      <c r="I820">
        <v>5.16</v>
      </c>
      <c r="J820">
        <v>173</v>
      </c>
      <c r="K820">
        <v>717</v>
      </c>
      <c r="L820">
        <v>646</v>
      </c>
      <c r="M820" t="s">
        <v>39</v>
      </c>
      <c r="N820">
        <v>5</v>
      </c>
      <c r="O820" t="s">
        <v>56</v>
      </c>
      <c r="P820">
        <v>24.2</v>
      </c>
      <c r="Q820">
        <v>1500</v>
      </c>
      <c r="R820">
        <v>4</v>
      </c>
      <c r="S820">
        <v>2</v>
      </c>
      <c r="T820" t="s">
        <v>47</v>
      </c>
      <c r="U820" t="s">
        <v>38</v>
      </c>
      <c r="V820">
        <v>144367</v>
      </c>
      <c r="W820">
        <v>3.6</v>
      </c>
      <c r="X820">
        <v>5</v>
      </c>
      <c r="Y820" t="s">
        <v>43</v>
      </c>
      <c r="Z820">
        <v>3.56</v>
      </c>
      <c r="AA820" t="s">
        <v>35</v>
      </c>
    </row>
    <row r="821" spans="1:27" x14ac:dyDescent="0.3">
      <c r="A821" t="s">
        <v>71</v>
      </c>
      <c r="B821" t="s">
        <v>96</v>
      </c>
      <c r="C821">
        <v>2024</v>
      </c>
      <c r="D821" t="s">
        <v>68</v>
      </c>
      <c r="E821">
        <v>70846.850000000006</v>
      </c>
      <c r="F821">
        <v>56.4</v>
      </c>
      <c r="G821">
        <v>200</v>
      </c>
      <c r="H821">
        <v>89</v>
      </c>
      <c r="I821">
        <v>6.56</v>
      </c>
      <c r="J821">
        <v>161</v>
      </c>
      <c r="K821">
        <v>813</v>
      </c>
      <c r="L821">
        <v>686</v>
      </c>
      <c r="M821" t="s">
        <v>30</v>
      </c>
      <c r="N821">
        <v>7</v>
      </c>
      <c r="O821" t="s">
        <v>46</v>
      </c>
      <c r="P821">
        <v>60.4</v>
      </c>
      <c r="Q821">
        <v>1921</v>
      </c>
      <c r="R821">
        <v>4</v>
      </c>
      <c r="S821">
        <v>0</v>
      </c>
      <c r="T821" t="s">
        <v>73</v>
      </c>
      <c r="U821" t="s">
        <v>38</v>
      </c>
      <c r="V821">
        <v>234001</v>
      </c>
      <c r="W821">
        <v>3.6</v>
      </c>
      <c r="X821">
        <v>4</v>
      </c>
      <c r="Y821" t="s">
        <v>43</v>
      </c>
      <c r="Z821">
        <v>3.55</v>
      </c>
      <c r="AA821" t="s">
        <v>35</v>
      </c>
    </row>
    <row r="822" spans="1:27" x14ac:dyDescent="0.3">
      <c r="A822" t="s">
        <v>84</v>
      </c>
      <c r="B822" t="s">
        <v>106</v>
      </c>
      <c r="C822">
        <v>2023</v>
      </c>
      <c r="D822" t="s">
        <v>29</v>
      </c>
      <c r="E822">
        <v>78508.55</v>
      </c>
      <c r="F822">
        <v>73</v>
      </c>
      <c r="G822">
        <v>274</v>
      </c>
      <c r="H822">
        <v>224.9</v>
      </c>
      <c r="I822">
        <v>2.91</v>
      </c>
      <c r="J822">
        <v>200</v>
      </c>
      <c r="K822">
        <v>915</v>
      </c>
      <c r="L822">
        <v>850</v>
      </c>
      <c r="M822" t="s">
        <v>54</v>
      </c>
      <c r="N822">
        <v>5</v>
      </c>
      <c r="O822" t="s">
        <v>46</v>
      </c>
      <c r="P822">
        <v>70.099999999999994</v>
      </c>
      <c r="Q822">
        <v>1650</v>
      </c>
      <c r="R822">
        <v>4</v>
      </c>
      <c r="S822">
        <v>1</v>
      </c>
      <c r="T822" t="s">
        <v>47</v>
      </c>
      <c r="U822" t="s">
        <v>38</v>
      </c>
      <c r="V822">
        <v>51688</v>
      </c>
      <c r="W822">
        <v>3.3</v>
      </c>
      <c r="X822">
        <v>3</v>
      </c>
      <c r="Y822" t="s">
        <v>34</v>
      </c>
      <c r="Z822">
        <v>3.75</v>
      </c>
      <c r="AA822" t="s">
        <v>35</v>
      </c>
    </row>
    <row r="823" spans="1:27" x14ac:dyDescent="0.3">
      <c r="A823" t="s">
        <v>52</v>
      </c>
      <c r="B823" t="s">
        <v>80</v>
      </c>
      <c r="C823">
        <v>2022</v>
      </c>
      <c r="D823" t="s">
        <v>38</v>
      </c>
      <c r="E823">
        <v>154962.64000000001</v>
      </c>
      <c r="F823">
        <v>53.2</v>
      </c>
      <c r="G823">
        <v>157</v>
      </c>
      <c r="H823">
        <v>316.3</v>
      </c>
      <c r="I823">
        <v>7.79</v>
      </c>
      <c r="J823">
        <v>135</v>
      </c>
      <c r="K823">
        <v>1000</v>
      </c>
      <c r="L823">
        <v>884</v>
      </c>
      <c r="M823" t="s">
        <v>30</v>
      </c>
      <c r="N823">
        <v>5</v>
      </c>
      <c r="O823" t="s">
        <v>31</v>
      </c>
      <c r="P823">
        <v>78.2</v>
      </c>
      <c r="Q823">
        <v>1876</v>
      </c>
      <c r="R823">
        <v>5</v>
      </c>
      <c r="S823">
        <v>2</v>
      </c>
      <c r="T823" t="s">
        <v>47</v>
      </c>
      <c r="U823" t="s">
        <v>33</v>
      </c>
      <c r="V823">
        <v>148718</v>
      </c>
      <c r="W823">
        <v>3.7</v>
      </c>
      <c r="X823">
        <v>6</v>
      </c>
      <c r="Y823" t="s">
        <v>61</v>
      </c>
      <c r="Z823">
        <v>2.95</v>
      </c>
      <c r="AA823" t="s">
        <v>35</v>
      </c>
    </row>
    <row r="824" spans="1:27" x14ac:dyDescent="0.3">
      <c r="A824" t="s">
        <v>71</v>
      </c>
      <c r="B824" t="s">
        <v>81</v>
      </c>
      <c r="C824">
        <v>2023</v>
      </c>
      <c r="D824" t="s">
        <v>50</v>
      </c>
      <c r="E824">
        <v>44084.51</v>
      </c>
      <c r="F824">
        <v>94</v>
      </c>
      <c r="G824">
        <v>330</v>
      </c>
      <c r="H824">
        <v>88.8</v>
      </c>
      <c r="I824">
        <v>4.32</v>
      </c>
      <c r="J824">
        <v>179</v>
      </c>
      <c r="K824">
        <v>505</v>
      </c>
      <c r="L824">
        <v>466</v>
      </c>
      <c r="M824" t="s">
        <v>54</v>
      </c>
      <c r="N824">
        <v>7</v>
      </c>
      <c r="O824" t="s">
        <v>57</v>
      </c>
      <c r="P824">
        <v>29.7</v>
      </c>
      <c r="Q824">
        <v>1693</v>
      </c>
      <c r="R824">
        <v>4</v>
      </c>
      <c r="S824">
        <v>1</v>
      </c>
      <c r="T824" t="s">
        <v>73</v>
      </c>
      <c r="U824" t="s">
        <v>42</v>
      </c>
      <c r="V824">
        <v>187463</v>
      </c>
      <c r="W824">
        <v>3.7</v>
      </c>
      <c r="X824">
        <v>3</v>
      </c>
      <c r="Y824" t="s">
        <v>43</v>
      </c>
      <c r="Z824">
        <v>3.51</v>
      </c>
      <c r="AA824" t="s">
        <v>35</v>
      </c>
    </row>
    <row r="825" spans="1:27" x14ac:dyDescent="0.3">
      <c r="A825" t="s">
        <v>27</v>
      </c>
      <c r="B825" t="s">
        <v>93</v>
      </c>
      <c r="C825">
        <v>2024</v>
      </c>
      <c r="D825" t="s">
        <v>50</v>
      </c>
      <c r="E825">
        <v>47038.76</v>
      </c>
      <c r="F825">
        <v>86.5</v>
      </c>
      <c r="G825">
        <v>330</v>
      </c>
      <c r="H825">
        <v>108.8</v>
      </c>
      <c r="I825">
        <v>4.24</v>
      </c>
      <c r="J825">
        <v>194</v>
      </c>
      <c r="K825">
        <v>352</v>
      </c>
      <c r="L825">
        <v>368</v>
      </c>
      <c r="M825" t="s">
        <v>54</v>
      </c>
      <c r="N825">
        <v>7</v>
      </c>
      <c r="O825" t="s">
        <v>31</v>
      </c>
      <c r="P825">
        <v>71.8</v>
      </c>
      <c r="Q825">
        <v>2639</v>
      </c>
      <c r="R825">
        <v>5</v>
      </c>
      <c r="S825">
        <v>1</v>
      </c>
      <c r="T825" t="s">
        <v>32</v>
      </c>
      <c r="U825" t="s">
        <v>42</v>
      </c>
      <c r="V825">
        <v>270498</v>
      </c>
      <c r="W825">
        <v>3.4</v>
      </c>
      <c r="X825">
        <v>3</v>
      </c>
      <c r="Y825" t="s">
        <v>43</v>
      </c>
      <c r="Z825">
        <v>3.82</v>
      </c>
      <c r="AA825" t="s">
        <v>35</v>
      </c>
    </row>
    <row r="826" spans="1:27" x14ac:dyDescent="0.3">
      <c r="A826" t="s">
        <v>76</v>
      </c>
      <c r="B826" t="s">
        <v>114</v>
      </c>
      <c r="C826">
        <v>2025</v>
      </c>
      <c r="D826" t="s">
        <v>50</v>
      </c>
      <c r="E826">
        <v>50915.71</v>
      </c>
      <c r="F826">
        <v>81</v>
      </c>
      <c r="G826">
        <v>278</v>
      </c>
      <c r="H826">
        <v>99.3</v>
      </c>
      <c r="I826">
        <v>4.13</v>
      </c>
      <c r="J826">
        <v>183</v>
      </c>
      <c r="K826">
        <v>517</v>
      </c>
      <c r="L826">
        <v>482</v>
      </c>
      <c r="M826" t="s">
        <v>39</v>
      </c>
      <c r="N826">
        <v>5</v>
      </c>
      <c r="O826" t="s">
        <v>65</v>
      </c>
      <c r="P826">
        <v>22.8</v>
      </c>
      <c r="Q826">
        <v>1672</v>
      </c>
      <c r="R826">
        <v>3</v>
      </c>
      <c r="S826">
        <v>1</v>
      </c>
      <c r="T826" t="s">
        <v>51</v>
      </c>
      <c r="U826" t="s">
        <v>42</v>
      </c>
      <c r="V826">
        <v>54316</v>
      </c>
      <c r="W826">
        <v>3.5</v>
      </c>
      <c r="X826">
        <v>5</v>
      </c>
      <c r="Y826" t="s">
        <v>43</v>
      </c>
      <c r="Z826">
        <v>3.43</v>
      </c>
      <c r="AA826" t="s">
        <v>35</v>
      </c>
    </row>
    <row r="827" spans="1:27" x14ac:dyDescent="0.3">
      <c r="A827" t="s">
        <v>102</v>
      </c>
      <c r="B827" t="s">
        <v>136</v>
      </c>
      <c r="C827">
        <v>2022</v>
      </c>
      <c r="D827" t="s">
        <v>63</v>
      </c>
      <c r="E827">
        <v>64347.55</v>
      </c>
      <c r="F827">
        <v>45.6</v>
      </c>
      <c r="G827">
        <v>150</v>
      </c>
      <c r="H827">
        <v>110.6</v>
      </c>
      <c r="I827">
        <v>6.54</v>
      </c>
      <c r="J827">
        <v>152</v>
      </c>
      <c r="K827">
        <v>150</v>
      </c>
      <c r="L827">
        <v>200</v>
      </c>
      <c r="M827" t="s">
        <v>54</v>
      </c>
      <c r="N827">
        <v>7</v>
      </c>
      <c r="O827" t="s">
        <v>40</v>
      </c>
      <c r="P827">
        <v>46.2</v>
      </c>
      <c r="Q827">
        <v>2128</v>
      </c>
      <c r="R827">
        <v>5</v>
      </c>
      <c r="S827">
        <v>1</v>
      </c>
      <c r="T827" t="s">
        <v>47</v>
      </c>
      <c r="U827" t="s">
        <v>42</v>
      </c>
      <c r="V827">
        <v>3522</v>
      </c>
      <c r="W827">
        <v>3.3</v>
      </c>
      <c r="X827">
        <v>5</v>
      </c>
      <c r="Y827" t="s">
        <v>43</v>
      </c>
      <c r="Z827">
        <v>3.29</v>
      </c>
      <c r="AA827" t="s">
        <v>69</v>
      </c>
    </row>
    <row r="828" spans="1:27" x14ac:dyDescent="0.3">
      <c r="A828" t="s">
        <v>71</v>
      </c>
      <c r="B828" t="s">
        <v>75</v>
      </c>
      <c r="C828">
        <v>2022</v>
      </c>
      <c r="D828" t="s">
        <v>63</v>
      </c>
      <c r="E828">
        <v>21384.75</v>
      </c>
      <c r="F828">
        <v>62.9</v>
      </c>
      <c r="G828">
        <v>201</v>
      </c>
      <c r="H828">
        <v>67.5</v>
      </c>
      <c r="I828">
        <v>6.88</v>
      </c>
      <c r="J828">
        <v>146</v>
      </c>
      <c r="K828">
        <v>173</v>
      </c>
      <c r="L828">
        <v>200</v>
      </c>
      <c r="M828" t="s">
        <v>54</v>
      </c>
      <c r="N828">
        <v>5</v>
      </c>
      <c r="O828" t="s">
        <v>56</v>
      </c>
      <c r="P828">
        <v>37.1</v>
      </c>
      <c r="Q828">
        <v>1781</v>
      </c>
      <c r="R828">
        <v>5</v>
      </c>
      <c r="S828">
        <v>0</v>
      </c>
      <c r="T828" t="s">
        <v>73</v>
      </c>
      <c r="U828" t="s">
        <v>74</v>
      </c>
      <c r="V828">
        <v>233873</v>
      </c>
      <c r="W828">
        <v>3.3</v>
      </c>
      <c r="X828">
        <v>3</v>
      </c>
      <c r="Y828" t="s">
        <v>43</v>
      </c>
      <c r="Z828">
        <v>3.2</v>
      </c>
      <c r="AA828" t="s">
        <v>35</v>
      </c>
    </row>
    <row r="829" spans="1:27" x14ac:dyDescent="0.3">
      <c r="A829" t="s">
        <v>71</v>
      </c>
      <c r="B829" t="s">
        <v>75</v>
      </c>
      <c r="C829">
        <v>2025</v>
      </c>
      <c r="D829" t="s">
        <v>50</v>
      </c>
      <c r="E829">
        <v>99107.520000000004</v>
      </c>
      <c r="F829">
        <v>98.9</v>
      </c>
      <c r="G829">
        <v>347</v>
      </c>
      <c r="H829">
        <v>107.3</v>
      </c>
      <c r="I829">
        <v>4.5599999999999996</v>
      </c>
      <c r="J829">
        <v>177</v>
      </c>
      <c r="K829">
        <v>1000</v>
      </c>
      <c r="L829">
        <v>894</v>
      </c>
      <c r="M829" t="s">
        <v>39</v>
      </c>
      <c r="N829">
        <v>7</v>
      </c>
      <c r="O829" t="s">
        <v>56</v>
      </c>
      <c r="P829">
        <v>27.1</v>
      </c>
      <c r="Q829">
        <v>1842</v>
      </c>
      <c r="R829">
        <v>5</v>
      </c>
      <c r="S829">
        <v>1</v>
      </c>
      <c r="T829" t="s">
        <v>73</v>
      </c>
      <c r="U829" t="s">
        <v>38</v>
      </c>
      <c r="V829">
        <v>190865</v>
      </c>
      <c r="W829">
        <v>3.3</v>
      </c>
      <c r="X829">
        <v>3</v>
      </c>
      <c r="Y829" t="s">
        <v>43</v>
      </c>
      <c r="Z829">
        <v>3.51</v>
      </c>
      <c r="AA829" t="s">
        <v>35</v>
      </c>
    </row>
    <row r="830" spans="1:27" x14ac:dyDescent="0.3">
      <c r="A830" t="s">
        <v>44</v>
      </c>
      <c r="B830" t="s">
        <v>45</v>
      </c>
      <c r="C830">
        <v>2025</v>
      </c>
      <c r="D830" t="s">
        <v>63</v>
      </c>
      <c r="E830">
        <v>60512.959999999999</v>
      </c>
      <c r="F830">
        <v>58.6</v>
      </c>
      <c r="G830">
        <v>258</v>
      </c>
      <c r="H830">
        <v>69.400000000000006</v>
      </c>
      <c r="I830">
        <v>7.07</v>
      </c>
      <c r="J830">
        <v>146</v>
      </c>
      <c r="K830">
        <v>780</v>
      </c>
      <c r="L830">
        <v>691</v>
      </c>
      <c r="M830" t="s">
        <v>30</v>
      </c>
      <c r="N830">
        <v>7</v>
      </c>
      <c r="O830" t="s">
        <v>56</v>
      </c>
      <c r="P830">
        <v>24.1</v>
      </c>
      <c r="Q830">
        <v>1720</v>
      </c>
      <c r="R830">
        <v>5</v>
      </c>
      <c r="S830">
        <v>0</v>
      </c>
      <c r="T830" t="s">
        <v>47</v>
      </c>
      <c r="U830" t="s">
        <v>42</v>
      </c>
      <c r="V830">
        <v>12934</v>
      </c>
      <c r="W830">
        <v>3.4</v>
      </c>
      <c r="X830">
        <v>5</v>
      </c>
      <c r="Y830" t="s">
        <v>61</v>
      </c>
      <c r="Z830">
        <v>4.4000000000000004</v>
      </c>
      <c r="AA830" t="s">
        <v>43</v>
      </c>
    </row>
    <row r="831" spans="1:27" x14ac:dyDescent="0.3">
      <c r="A831" t="s">
        <v>27</v>
      </c>
      <c r="B831" t="s">
        <v>82</v>
      </c>
      <c r="C831">
        <v>2023</v>
      </c>
      <c r="D831" t="s">
        <v>29</v>
      </c>
      <c r="E831">
        <v>64071.199999999997</v>
      </c>
      <c r="F831">
        <v>77.7</v>
      </c>
      <c r="G831">
        <v>297</v>
      </c>
      <c r="H831">
        <v>179.6</v>
      </c>
      <c r="I831">
        <v>4.0199999999999996</v>
      </c>
      <c r="J831">
        <v>191</v>
      </c>
      <c r="K831">
        <v>682</v>
      </c>
      <c r="L831">
        <v>641</v>
      </c>
      <c r="M831" t="s">
        <v>54</v>
      </c>
      <c r="N831">
        <v>5</v>
      </c>
      <c r="O831" t="s">
        <v>57</v>
      </c>
      <c r="P831">
        <v>38.700000000000003</v>
      </c>
      <c r="Q831">
        <v>1826</v>
      </c>
      <c r="R831">
        <v>3</v>
      </c>
      <c r="S831">
        <v>0</v>
      </c>
      <c r="T831" t="s">
        <v>32</v>
      </c>
      <c r="U831" t="s">
        <v>42</v>
      </c>
      <c r="V831">
        <v>290103</v>
      </c>
      <c r="W831">
        <v>3.7</v>
      </c>
      <c r="X831">
        <v>5</v>
      </c>
      <c r="Y831" t="s">
        <v>43</v>
      </c>
      <c r="Z831">
        <v>3.82</v>
      </c>
      <c r="AA831" t="s">
        <v>35</v>
      </c>
    </row>
    <row r="832" spans="1:27" x14ac:dyDescent="0.3">
      <c r="A832" t="s">
        <v>71</v>
      </c>
      <c r="B832" t="s">
        <v>75</v>
      </c>
      <c r="C832">
        <v>2026</v>
      </c>
      <c r="D832" t="s">
        <v>29</v>
      </c>
      <c r="E832">
        <v>31933.47</v>
      </c>
      <c r="F832">
        <v>119.9</v>
      </c>
      <c r="G832">
        <v>430</v>
      </c>
      <c r="H832">
        <v>171.3</v>
      </c>
      <c r="I832">
        <v>2.71</v>
      </c>
      <c r="J832">
        <v>200</v>
      </c>
      <c r="K832">
        <v>363</v>
      </c>
      <c r="L832">
        <v>329</v>
      </c>
      <c r="M832" t="s">
        <v>54</v>
      </c>
      <c r="N832">
        <v>7</v>
      </c>
      <c r="O832" t="s">
        <v>57</v>
      </c>
      <c r="P832">
        <v>20.7</v>
      </c>
      <c r="Q832">
        <v>1500</v>
      </c>
      <c r="R832">
        <v>3</v>
      </c>
      <c r="S832">
        <v>0</v>
      </c>
      <c r="T832" t="s">
        <v>73</v>
      </c>
      <c r="U832" t="s">
        <v>74</v>
      </c>
      <c r="V832">
        <v>219100</v>
      </c>
      <c r="W832">
        <v>4.2</v>
      </c>
      <c r="X832">
        <v>5</v>
      </c>
      <c r="Y832" t="s">
        <v>34</v>
      </c>
      <c r="Z832">
        <v>3.59</v>
      </c>
      <c r="AA832" t="s">
        <v>35</v>
      </c>
    </row>
    <row r="833" spans="1:27" x14ac:dyDescent="0.3">
      <c r="A833" t="s">
        <v>27</v>
      </c>
      <c r="B833" t="s">
        <v>93</v>
      </c>
      <c r="C833">
        <v>2026</v>
      </c>
      <c r="D833" t="s">
        <v>68</v>
      </c>
      <c r="E833">
        <v>33483.919999999998</v>
      </c>
      <c r="F833">
        <v>82.6</v>
      </c>
      <c r="G833">
        <v>293</v>
      </c>
      <c r="H833">
        <v>136.4</v>
      </c>
      <c r="I833">
        <v>6.02</v>
      </c>
      <c r="J833">
        <v>160</v>
      </c>
      <c r="K833">
        <v>201</v>
      </c>
      <c r="L833">
        <v>200</v>
      </c>
      <c r="M833" t="s">
        <v>30</v>
      </c>
      <c r="N833">
        <v>5</v>
      </c>
      <c r="O833" t="s">
        <v>31</v>
      </c>
      <c r="P833">
        <v>53.2</v>
      </c>
      <c r="Q833">
        <v>2437</v>
      </c>
      <c r="R833">
        <v>5</v>
      </c>
      <c r="S833">
        <v>0</v>
      </c>
      <c r="T833" t="s">
        <v>32</v>
      </c>
      <c r="U833" t="s">
        <v>74</v>
      </c>
      <c r="V833">
        <v>207337</v>
      </c>
      <c r="W833">
        <v>3.6</v>
      </c>
      <c r="X833">
        <v>5</v>
      </c>
      <c r="Y833" t="s">
        <v>43</v>
      </c>
      <c r="Z833">
        <v>3.55</v>
      </c>
      <c r="AA833" t="s">
        <v>35</v>
      </c>
    </row>
    <row r="834" spans="1:27" x14ac:dyDescent="0.3">
      <c r="A834" t="s">
        <v>52</v>
      </c>
      <c r="B834" t="s">
        <v>64</v>
      </c>
      <c r="C834">
        <v>2025</v>
      </c>
      <c r="D834" t="s">
        <v>29</v>
      </c>
      <c r="E834">
        <v>68593.72</v>
      </c>
      <c r="F834">
        <v>107.6</v>
      </c>
      <c r="G834">
        <v>361</v>
      </c>
      <c r="H834">
        <v>209.3</v>
      </c>
      <c r="I834">
        <v>4.22</v>
      </c>
      <c r="J834">
        <v>192</v>
      </c>
      <c r="K834">
        <v>452</v>
      </c>
      <c r="L834">
        <v>389</v>
      </c>
      <c r="M834" t="s">
        <v>39</v>
      </c>
      <c r="N834">
        <v>7</v>
      </c>
      <c r="O834" t="s">
        <v>57</v>
      </c>
      <c r="P834">
        <v>33.5</v>
      </c>
      <c r="Q834">
        <v>1685</v>
      </c>
      <c r="R834">
        <v>5</v>
      </c>
      <c r="S834">
        <v>3</v>
      </c>
      <c r="T834" t="s">
        <v>47</v>
      </c>
      <c r="U834" t="s">
        <v>38</v>
      </c>
      <c r="V834">
        <v>245974</v>
      </c>
      <c r="W834">
        <v>4.2</v>
      </c>
      <c r="X834">
        <v>5</v>
      </c>
      <c r="Y834" t="s">
        <v>43</v>
      </c>
      <c r="Z834">
        <v>3.36</v>
      </c>
      <c r="AA834" t="s">
        <v>35</v>
      </c>
    </row>
    <row r="835" spans="1:27" x14ac:dyDescent="0.3">
      <c r="A835" t="s">
        <v>52</v>
      </c>
      <c r="B835" t="s">
        <v>80</v>
      </c>
      <c r="C835">
        <v>2025</v>
      </c>
      <c r="D835" t="s">
        <v>68</v>
      </c>
      <c r="E835">
        <v>61013.48</v>
      </c>
      <c r="F835">
        <v>45.2</v>
      </c>
      <c r="G835">
        <v>156</v>
      </c>
      <c r="H835">
        <v>307</v>
      </c>
      <c r="I835">
        <v>6.71</v>
      </c>
      <c r="J835">
        <v>151</v>
      </c>
      <c r="K835">
        <v>429</v>
      </c>
      <c r="L835">
        <v>358</v>
      </c>
      <c r="M835" t="s">
        <v>39</v>
      </c>
      <c r="N835">
        <v>7</v>
      </c>
      <c r="O835" t="s">
        <v>31</v>
      </c>
      <c r="P835">
        <v>52.1</v>
      </c>
      <c r="Q835">
        <v>2708</v>
      </c>
      <c r="R835">
        <v>3</v>
      </c>
      <c r="S835">
        <v>2</v>
      </c>
      <c r="T835" t="s">
        <v>47</v>
      </c>
      <c r="U835" t="s">
        <v>42</v>
      </c>
      <c r="V835">
        <v>132800</v>
      </c>
      <c r="W835">
        <v>3.4</v>
      </c>
      <c r="X835">
        <v>5</v>
      </c>
      <c r="Y835" t="s">
        <v>43</v>
      </c>
      <c r="Z835">
        <v>3.45</v>
      </c>
      <c r="AA835" t="s">
        <v>35</v>
      </c>
    </row>
    <row r="836" spans="1:27" x14ac:dyDescent="0.3">
      <c r="A836" t="s">
        <v>76</v>
      </c>
      <c r="B836" t="s">
        <v>114</v>
      </c>
      <c r="C836">
        <v>2025</v>
      </c>
      <c r="D836" t="s">
        <v>63</v>
      </c>
      <c r="E836">
        <v>68602.240000000005</v>
      </c>
      <c r="F836">
        <v>75.7</v>
      </c>
      <c r="G836">
        <v>260</v>
      </c>
      <c r="H836">
        <v>70.099999999999994</v>
      </c>
      <c r="I836">
        <v>5.05</v>
      </c>
      <c r="J836">
        <v>164</v>
      </c>
      <c r="K836">
        <v>815</v>
      </c>
      <c r="L836">
        <v>690</v>
      </c>
      <c r="M836" t="s">
        <v>39</v>
      </c>
      <c r="N836">
        <v>7</v>
      </c>
      <c r="O836" t="s">
        <v>40</v>
      </c>
      <c r="P836">
        <v>60.5</v>
      </c>
      <c r="Q836">
        <v>2317</v>
      </c>
      <c r="R836">
        <v>5</v>
      </c>
      <c r="S836">
        <v>0</v>
      </c>
      <c r="T836" t="s">
        <v>51</v>
      </c>
      <c r="U836" t="s">
        <v>38</v>
      </c>
      <c r="V836">
        <v>109721</v>
      </c>
      <c r="W836">
        <v>3.3</v>
      </c>
      <c r="X836">
        <v>5</v>
      </c>
      <c r="Y836" t="s">
        <v>43</v>
      </c>
      <c r="Z836">
        <v>3.43</v>
      </c>
      <c r="AA836" t="s">
        <v>35</v>
      </c>
    </row>
    <row r="837" spans="1:27" x14ac:dyDescent="0.3">
      <c r="A837" t="s">
        <v>27</v>
      </c>
      <c r="B837" t="s">
        <v>83</v>
      </c>
      <c r="C837">
        <v>2021</v>
      </c>
      <c r="D837" t="s">
        <v>50</v>
      </c>
      <c r="E837">
        <v>76214.899999999994</v>
      </c>
      <c r="F837">
        <v>92.3</v>
      </c>
      <c r="G837">
        <v>348</v>
      </c>
      <c r="H837">
        <v>138.4</v>
      </c>
      <c r="I837">
        <v>5.53</v>
      </c>
      <c r="J837">
        <v>172</v>
      </c>
      <c r="K837">
        <v>859</v>
      </c>
      <c r="L837">
        <v>782</v>
      </c>
      <c r="M837" t="s">
        <v>54</v>
      </c>
      <c r="N837">
        <v>5</v>
      </c>
      <c r="O837" t="s">
        <v>31</v>
      </c>
      <c r="P837">
        <v>71.900000000000006</v>
      </c>
      <c r="Q837">
        <v>2363</v>
      </c>
      <c r="R837">
        <v>5</v>
      </c>
      <c r="S837">
        <v>2</v>
      </c>
      <c r="T837" t="s">
        <v>32</v>
      </c>
      <c r="U837" t="s">
        <v>38</v>
      </c>
      <c r="V837">
        <v>249899</v>
      </c>
      <c r="W837">
        <v>3.7</v>
      </c>
      <c r="X837">
        <v>4</v>
      </c>
      <c r="Y837" t="s">
        <v>43</v>
      </c>
      <c r="Z837">
        <v>3.77</v>
      </c>
      <c r="AA837" t="s">
        <v>35</v>
      </c>
    </row>
    <row r="838" spans="1:27" x14ac:dyDescent="0.3">
      <c r="A838" t="s">
        <v>102</v>
      </c>
      <c r="B838" t="s">
        <v>136</v>
      </c>
      <c r="C838">
        <v>2026</v>
      </c>
      <c r="D838" t="s">
        <v>38</v>
      </c>
      <c r="E838">
        <v>110739.07</v>
      </c>
      <c r="F838">
        <v>48.4</v>
      </c>
      <c r="G838">
        <v>163</v>
      </c>
      <c r="H838">
        <v>78.5</v>
      </c>
      <c r="I838">
        <v>7.01</v>
      </c>
      <c r="J838">
        <v>146</v>
      </c>
      <c r="K838">
        <v>1000</v>
      </c>
      <c r="L838">
        <v>896</v>
      </c>
      <c r="M838" t="s">
        <v>54</v>
      </c>
      <c r="N838">
        <v>5</v>
      </c>
      <c r="O838" t="s">
        <v>65</v>
      </c>
      <c r="P838">
        <v>37.6</v>
      </c>
      <c r="Q838">
        <v>1664</v>
      </c>
      <c r="R838">
        <v>5</v>
      </c>
      <c r="S838">
        <v>1</v>
      </c>
      <c r="T838" t="s">
        <v>47</v>
      </c>
      <c r="U838" t="s">
        <v>33</v>
      </c>
      <c r="V838">
        <v>26386</v>
      </c>
      <c r="W838">
        <v>3.2</v>
      </c>
      <c r="X838">
        <v>6</v>
      </c>
      <c r="Y838" t="s">
        <v>61</v>
      </c>
      <c r="Z838">
        <v>3.37</v>
      </c>
      <c r="AA838" t="s">
        <v>35</v>
      </c>
    </row>
    <row r="839" spans="1:27" x14ac:dyDescent="0.3">
      <c r="A839" t="s">
        <v>27</v>
      </c>
      <c r="B839" t="s">
        <v>78</v>
      </c>
      <c r="C839">
        <v>2024</v>
      </c>
      <c r="D839" t="s">
        <v>29</v>
      </c>
      <c r="E839">
        <v>111511.26</v>
      </c>
      <c r="F839">
        <v>74.099999999999994</v>
      </c>
      <c r="G839">
        <v>241</v>
      </c>
      <c r="H839">
        <v>161.6</v>
      </c>
      <c r="I839">
        <v>4.29</v>
      </c>
      <c r="J839">
        <v>189</v>
      </c>
      <c r="K839">
        <v>1000</v>
      </c>
      <c r="L839">
        <v>921</v>
      </c>
      <c r="M839" t="s">
        <v>30</v>
      </c>
      <c r="N839">
        <v>7</v>
      </c>
      <c r="O839" t="s">
        <v>31</v>
      </c>
      <c r="P839">
        <v>57.8</v>
      </c>
      <c r="Q839">
        <v>2464</v>
      </c>
      <c r="R839">
        <v>5</v>
      </c>
      <c r="S839">
        <v>0</v>
      </c>
      <c r="T839" t="s">
        <v>32</v>
      </c>
      <c r="U839" t="s">
        <v>33</v>
      </c>
      <c r="V839">
        <v>230069</v>
      </c>
      <c r="W839">
        <v>3.2</v>
      </c>
      <c r="X839">
        <v>4</v>
      </c>
      <c r="Y839" t="s">
        <v>43</v>
      </c>
      <c r="Z839">
        <v>3.25</v>
      </c>
      <c r="AA839" t="s">
        <v>35</v>
      </c>
    </row>
    <row r="840" spans="1:27" x14ac:dyDescent="0.3">
      <c r="A840" t="s">
        <v>48</v>
      </c>
      <c r="B840" t="s">
        <v>60</v>
      </c>
      <c r="C840">
        <v>2025</v>
      </c>
      <c r="D840" t="s">
        <v>38</v>
      </c>
      <c r="E840">
        <v>64726.92</v>
      </c>
      <c r="F840">
        <v>52.3</v>
      </c>
      <c r="G840">
        <v>203</v>
      </c>
      <c r="H840">
        <v>95.6</v>
      </c>
      <c r="I840">
        <v>7.54</v>
      </c>
      <c r="J840">
        <v>136</v>
      </c>
      <c r="K840">
        <v>686</v>
      </c>
      <c r="L840">
        <v>608</v>
      </c>
      <c r="M840" t="s">
        <v>54</v>
      </c>
      <c r="N840">
        <v>5</v>
      </c>
      <c r="O840" t="s">
        <v>31</v>
      </c>
      <c r="P840">
        <v>66.3</v>
      </c>
      <c r="Q840">
        <v>2102</v>
      </c>
      <c r="R840">
        <v>5</v>
      </c>
      <c r="S840">
        <v>0</v>
      </c>
      <c r="T840" t="s">
        <v>51</v>
      </c>
      <c r="U840" t="s">
        <v>42</v>
      </c>
      <c r="V840">
        <v>135916</v>
      </c>
      <c r="W840">
        <v>3.1</v>
      </c>
      <c r="X840">
        <v>4</v>
      </c>
      <c r="Y840" t="s">
        <v>61</v>
      </c>
      <c r="Z840">
        <v>3.88</v>
      </c>
      <c r="AA840" t="s">
        <v>35</v>
      </c>
    </row>
    <row r="841" spans="1:27" x14ac:dyDescent="0.3">
      <c r="A841" t="s">
        <v>91</v>
      </c>
      <c r="B841" t="s">
        <v>92</v>
      </c>
      <c r="C841">
        <v>2023</v>
      </c>
      <c r="D841" t="s">
        <v>63</v>
      </c>
      <c r="E841">
        <v>89651.14</v>
      </c>
      <c r="F841">
        <v>73.099999999999994</v>
      </c>
      <c r="G841">
        <v>249</v>
      </c>
      <c r="H841">
        <v>98.1</v>
      </c>
      <c r="I841">
        <v>5.68</v>
      </c>
      <c r="J841">
        <v>165</v>
      </c>
      <c r="K841">
        <v>711</v>
      </c>
      <c r="L841">
        <v>632</v>
      </c>
      <c r="M841" t="s">
        <v>54</v>
      </c>
      <c r="N841">
        <v>5</v>
      </c>
      <c r="O841" t="s">
        <v>31</v>
      </c>
      <c r="P841">
        <v>78.599999999999994</v>
      </c>
      <c r="Q841">
        <v>2470</v>
      </c>
      <c r="R841">
        <v>4</v>
      </c>
      <c r="S841">
        <v>1</v>
      </c>
      <c r="T841" t="s">
        <v>32</v>
      </c>
      <c r="U841" t="s">
        <v>38</v>
      </c>
      <c r="V841">
        <v>72062</v>
      </c>
      <c r="W841">
        <v>3.4</v>
      </c>
      <c r="X841">
        <v>6</v>
      </c>
      <c r="Y841" t="s">
        <v>43</v>
      </c>
      <c r="Z841">
        <v>3.41</v>
      </c>
      <c r="AA841" t="s">
        <v>35</v>
      </c>
    </row>
    <row r="842" spans="1:27" x14ac:dyDescent="0.3">
      <c r="A842" t="s">
        <v>52</v>
      </c>
      <c r="B842" t="s">
        <v>53</v>
      </c>
      <c r="C842">
        <v>2023</v>
      </c>
      <c r="D842" t="s">
        <v>29</v>
      </c>
      <c r="E842">
        <v>125634.38</v>
      </c>
      <c r="F842">
        <v>79.599999999999994</v>
      </c>
      <c r="G842">
        <v>268</v>
      </c>
      <c r="H842">
        <v>325</v>
      </c>
      <c r="I842">
        <v>3.23</v>
      </c>
      <c r="J842">
        <v>195</v>
      </c>
      <c r="K842">
        <v>906</v>
      </c>
      <c r="L842">
        <v>862</v>
      </c>
      <c r="M842" t="s">
        <v>54</v>
      </c>
      <c r="N842">
        <v>7</v>
      </c>
      <c r="O842" t="s">
        <v>56</v>
      </c>
      <c r="P842">
        <v>15.1</v>
      </c>
      <c r="Q842">
        <v>1567</v>
      </c>
      <c r="R842">
        <v>5</v>
      </c>
      <c r="S842">
        <v>2</v>
      </c>
      <c r="T842" t="s">
        <v>47</v>
      </c>
      <c r="U842" t="s">
        <v>33</v>
      </c>
      <c r="V842">
        <v>223587</v>
      </c>
      <c r="W842">
        <v>3.9</v>
      </c>
      <c r="X842">
        <v>4</v>
      </c>
      <c r="Y842" t="s">
        <v>34</v>
      </c>
      <c r="Z842">
        <v>3.37</v>
      </c>
      <c r="AA842" t="s">
        <v>35</v>
      </c>
    </row>
    <row r="843" spans="1:27" x14ac:dyDescent="0.3">
      <c r="A843" t="s">
        <v>91</v>
      </c>
      <c r="B843" t="s">
        <v>97</v>
      </c>
      <c r="C843">
        <v>2025</v>
      </c>
      <c r="D843" t="s">
        <v>63</v>
      </c>
      <c r="E843">
        <v>93156.19</v>
      </c>
      <c r="F843">
        <v>74.599999999999994</v>
      </c>
      <c r="G843">
        <v>254</v>
      </c>
      <c r="H843">
        <v>78.5</v>
      </c>
      <c r="I843">
        <v>7.38</v>
      </c>
      <c r="J843">
        <v>143</v>
      </c>
      <c r="K843">
        <v>683</v>
      </c>
      <c r="L843">
        <v>632</v>
      </c>
      <c r="M843" t="s">
        <v>39</v>
      </c>
      <c r="N843">
        <v>5</v>
      </c>
      <c r="O843" t="s">
        <v>46</v>
      </c>
      <c r="P843">
        <v>60.1</v>
      </c>
      <c r="Q843">
        <v>1564</v>
      </c>
      <c r="R843">
        <v>4</v>
      </c>
      <c r="S843">
        <v>2</v>
      </c>
      <c r="T843" t="s">
        <v>32</v>
      </c>
      <c r="U843" t="s">
        <v>38</v>
      </c>
      <c r="V843">
        <v>71204</v>
      </c>
      <c r="W843">
        <v>3.6</v>
      </c>
      <c r="X843">
        <v>7</v>
      </c>
      <c r="Y843" t="s">
        <v>61</v>
      </c>
      <c r="Z843">
        <v>3.4</v>
      </c>
      <c r="AA843" t="s">
        <v>35</v>
      </c>
    </row>
    <row r="844" spans="1:27" x14ac:dyDescent="0.3">
      <c r="A844" t="s">
        <v>52</v>
      </c>
      <c r="B844" t="s">
        <v>80</v>
      </c>
      <c r="C844">
        <v>2022</v>
      </c>
      <c r="D844" t="s">
        <v>50</v>
      </c>
      <c r="E844">
        <v>93999.45</v>
      </c>
      <c r="F844">
        <v>88.3</v>
      </c>
      <c r="G844">
        <v>333</v>
      </c>
      <c r="H844">
        <v>289.10000000000002</v>
      </c>
      <c r="I844">
        <v>5.84</v>
      </c>
      <c r="J844">
        <v>167</v>
      </c>
      <c r="K844">
        <v>703</v>
      </c>
      <c r="L844">
        <v>641</v>
      </c>
      <c r="M844" t="s">
        <v>39</v>
      </c>
      <c r="N844">
        <v>5</v>
      </c>
      <c r="O844" t="s">
        <v>31</v>
      </c>
      <c r="P844">
        <v>66</v>
      </c>
      <c r="Q844">
        <v>2476</v>
      </c>
      <c r="R844">
        <v>5</v>
      </c>
      <c r="S844">
        <v>2</v>
      </c>
      <c r="T844" t="s">
        <v>47</v>
      </c>
      <c r="U844" t="s">
        <v>38</v>
      </c>
      <c r="V844">
        <v>124977</v>
      </c>
      <c r="W844">
        <v>4</v>
      </c>
      <c r="X844">
        <v>5</v>
      </c>
      <c r="Y844" t="s">
        <v>43</v>
      </c>
      <c r="Z844">
        <v>3.77</v>
      </c>
      <c r="AA844" t="s">
        <v>35</v>
      </c>
    </row>
    <row r="845" spans="1:27" x14ac:dyDescent="0.3">
      <c r="A845" t="s">
        <v>36</v>
      </c>
      <c r="B845" t="s">
        <v>37</v>
      </c>
      <c r="C845">
        <v>2023</v>
      </c>
      <c r="D845" t="s">
        <v>38</v>
      </c>
      <c r="E845">
        <v>52160.99</v>
      </c>
      <c r="F845">
        <v>69.400000000000006</v>
      </c>
      <c r="G845">
        <v>234</v>
      </c>
      <c r="H845">
        <v>77.8</v>
      </c>
      <c r="I845">
        <v>6.21</v>
      </c>
      <c r="J845">
        <v>169</v>
      </c>
      <c r="K845">
        <v>511</v>
      </c>
      <c r="L845">
        <v>481</v>
      </c>
      <c r="M845" t="s">
        <v>54</v>
      </c>
      <c r="N845">
        <v>7</v>
      </c>
      <c r="O845" t="s">
        <v>40</v>
      </c>
      <c r="P845">
        <v>40</v>
      </c>
      <c r="Q845">
        <v>2088</v>
      </c>
      <c r="R845">
        <v>5</v>
      </c>
      <c r="S845">
        <v>0</v>
      </c>
      <c r="T845" t="s">
        <v>41</v>
      </c>
      <c r="U845" t="s">
        <v>42</v>
      </c>
      <c r="V845">
        <v>7110</v>
      </c>
      <c r="W845">
        <v>3.6</v>
      </c>
      <c r="X845">
        <v>4</v>
      </c>
      <c r="Y845" t="s">
        <v>43</v>
      </c>
      <c r="Z845">
        <v>3.37</v>
      </c>
      <c r="AA845" t="s">
        <v>43</v>
      </c>
    </row>
    <row r="846" spans="1:27" x14ac:dyDescent="0.3">
      <c r="A846" t="s">
        <v>52</v>
      </c>
      <c r="B846" t="s">
        <v>64</v>
      </c>
      <c r="C846">
        <v>2024</v>
      </c>
      <c r="D846" t="s">
        <v>29</v>
      </c>
      <c r="E846">
        <v>77897.86</v>
      </c>
      <c r="F846">
        <v>71.2</v>
      </c>
      <c r="G846">
        <v>254</v>
      </c>
      <c r="H846">
        <v>322.3</v>
      </c>
      <c r="I846">
        <v>4.29</v>
      </c>
      <c r="J846">
        <v>186</v>
      </c>
      <c r="K846">
        <v>542</v>
      </c>
      <c r="L846">
        <v>558</v>
      </c>
      <c r="M846" t="s">
        <v>54</v>
      </c>
      <c r="N846">
        <v>5</v>
      </c>
      <c r="O846" t="s">
        <v>65</v>
      </c>
      <c r="P846">
        <v>35.799999999999997</v>
      </c>
      <c r="Q846">
        <v>1500</v>
      </c>
      <c r="R846">
        <v>4</v>
      </c>
      <c r="S846">
        <v>3</v>
      </c>
      <c r="T846" t="s">
        <v>47</v>
      </c>
      <c r="U846" t="s">
        <v>38</v>
      </c>
      <c r="V846">
        <v>153891</v>
      </c>
      <c r="W846">
        <v>3.7</v>
      </c>
      <c r="X846">
        <v>4</v>
      </c>
      <c r="Y846" t="s">
        <v>43</v>
      </c>
      <c r="Z846">
        <v>3.57</v>
      </c>
      <c r="AA846" t="s">
        <v>35</v>
      </c>
    </row>
    <row r="847" spans="1:27" x14ac:dyDescent="0.3">
      <c r="A847" t="s">
        <v>27</v>
      </c>
      <c r="B847" t="s">
        <v>78</v>
      </c>
      <c r="C847">
        <v>2025</v>
      </c>
      <c r="D847" t="s">
        <v>63</v>
      </c>
      <c r="E847">
        <v>78698.7</v>
      </c>
      <c r="F847">
        <v>67.400000000000006</v>
      </c>
      <c r="G847">
        <v>200</v>
      </c>
      <c r="H847">
        <v>139.9</v>
      </c>
      <c r="I847">
        <v>5.73</v>
      </c>
      <c r="J847">
        <v>164</v>
      </c>
      <c r="K847">
        <v>839</v>
      </c>
      <c r="L847">
        <v>744</v>
      </c>
      <c r="M847" t="s">
        <v>54</v>
      </c>
      <c r="N847">
        <v>5</v>
      </c>
      <c r="O847" t="s">
        <v>57</v>
      </c>
      <c r="P847">
        <v>26</v>
      </c>
      <c r="Q847">
        <v>1649</v>
      </c>
      <c r="R847">
        <v>5</v>
      </c>
      <c r="S847">
        <v>0</v>
      </c>
      <c r="T847" t="s">
        <v>32</v>
      </c>
      <c r="U847" t="s">
        <v>38</v>
      </c>
      <c r="V847">
        <v>200182</v>
      </c>
      <c r="W847">
        <v>3.4</v>
      </c>
      <c r="X847">
        <v>4</v>
      </c>
      <c r="Y847" t="s">
        <v>43</v>
      </c>
      <c r="Z847">
        <v>2.97</v>
      </c>
      <c r="AA847" t="s">
        <v>35</v>
      </c>
    </row>
    <row r="848" spans="1:27" x14ac:dyDescent="0.3">
      <c r="A848" t="s">
        <v>52</v>
      </c>
      <c r="B848" t="s">
        <v>64</v>
      </c>
      <c r="C848">
        <v>2021</v>
      </c>
      <c r="D848" t="s">
        <v>63</v>
      </c>
      <c r="E848">
        <v>109935.85</v>
      </c>
      <c r="F848">
        <v>84.2</v>
      </c>
      <c r="G848">
        <v>288</v>
      </c>
      <c r="H848">
        <v>209.4</v>
      </c>
      <c r="I848">
        <v>7.62</v>
      </c>
      <c r="J848">
        <v>127</v>
      </c>
      <c r="K848">
        <v>738</v>
      </c>
      <c r="L848">
        <v>699</v>
      </c>
      <c r="M848" t="s">
        <v>30</v>
      </c>
      <c r="N848">
        <v>7</v>
      </c>
      <c r="O848" t="s">
        <v>31</v>
      </c>
      <c r="P848">
        <v>78.2</v>
      </c>
      <c r="Q848">
        <v>2219</v>
      </c>
      <c r="R848">
        <v>4</v>
      </c>
      <c r="S848">
        <v>3</v>
      </c>
      <c r="T848" t="s">
        <v>47</v>
      </c>
      <c r="U848" t="s">
        <v>33</v>
      </c>
      <c r="V848">
        <v>117148</v>
      </c>
      <c r="W848">
        <v>4</v>
      </c>
      <c r="X848">
        <v>5</v>
      </c>
      <c r="Y848" t="s">
        <v>61</v>
      </c>
      <c r="Z848">
        <v>3.42</v>
      </c>
      <c r="AA848" t="s">
        <v>35</v>
      </c>
    </row>
    <row r="849" spans="1:27" x14ac:dyDescent="0.3">
      <c r="A849" t="s">
        <v>139</v>
      </c>
      <c r="B849" t="s">
        <v>140</v>
      </c>
      <c r="C849">
        <v>2024</v>
      </c>
      <c r="D849" t="s">
        <v>29</v>
      </c>
      <c r="E849">
        <v>115672.77</v>
      </c>
      <c r="F849">
        <v>85.2</v>
      </c>
      <c r="G849">
        <v>304</v>
      </c>
      <c r="H849">
        <v>243.6</v>
      </c>
      <c r="I849">
        <v>3.52</v>
      </c>
      <c r="J849">
        <v>194</v>
      </c>
      <c r="K849">
        <v>1000</v>
      </c>
      <c r="L849">
        <v>872</v>
      </c>
      <c r="M849" t="s">
        <v>54</v>
      </c>
      <c r="N849">
        <v>5</v>
      </c>
      <c r="O849" t="s">
        <v>40</v>
      </c>
      <c r="P849">
        <v>50.9</v>
      </c>
      <c r="Q849">
        <v>2328</v>
      </c>
      <c r="R849">
        <v>3</v>
      </c>
      <c r="S849">
        <v>0</v>
      </c>
      <c r="T849" t="s">
        <v>73</v>
      </c>
      <c r="U849" t="s">
        <v>33</v>
      </c>
      <c r="V849">
        <v>8357</v>
      </c>
      <c r="W849">
        <v>3.7</v>
      </c>
      <c r="X849">
        <v>5</v>
      </c>
      <c r="Y849" t="s">
        <v>34</v>
      </c>
      <c r="Z849">
        <v>3.57</v>
      </c>
      <c r="AA849" t="s">
        <v>43</v>
      </c>
    </row>
    <row r="850" spans="1:27" x14ac:dyDescent="0.3">
      <c r="A850" t="s">
        <v>76</v>
      </c>
      <c r="B850" t="s">
        <v>77</v>
      </c>
      <c r="C850">
        <v>2024</v>
      </c>
      <c r="D850" t="s">
        <v>29</v>
      </c>
      <c r="E850">
        <v>43667.25</v>
      </c>
      <c r="F850">
        <v>83.3</v>
      </c>
      <c r="G850">
        <v>299</v>
      </c>
      <c r="H850">
        <v>234.7</v>
      </c>
      <c r="I850">
        <v>3.13</v>
      </c>
      <c r="J850">
        <v>198</v>
      </c>
      <c r="K850">
        <v>465</v>
      </c>
      <c r="L850">
        <v>435</v>
      </c>
      <c r="M850" t="s">
        <v>30</v>
      </c>
      <c r="N850">
        <v>5</v>
      </c>
      <c r="O850" t="s">
        <v>46</v>
      </c>
      <c r="P850">
        <v>77.7</v>
      </c>
      <c r="Q850">
        <v>1707</v>
      </c>
      <c r="R850">
        <v>4</v>
      </c>
      <c r="S850">
        <v>1</v>
      </c>
      <c r="T850" t="s">
        <v>51</v>
      </c>
      <c r="U850" t="s">
        <v>42</v>
      </c>
      <c r="V850">
        <v>71109</v>
      </c>
      <c r="W850">
        <v>3.5</v>
      </c>
      <c r="X850">
        <v>5</v>
      </c>
      <c r="Y850" t="s">
        <v>34</v>
      </c>
      <c r="Z850">
        <v>3.59</v>
      </c>
      <c r="AA850" t="s">
        <v>35</v>
      </c>
    </row>
    <row r="851" spans="1:27" x14ac:dyDescent="0.3">
      <c r="A851" t="s">
        <v>48</v>
      </c>
      <c r="B851" t="s">
        <v>123</v>
      </c>
      <c r="C851">
        <v>2025</v>
      </c>
      <c r="D851" t="s">
        <v>63</v>
      </c>
      <c r="E851">
        <v>60524.160000000003</v>
      </c>
      <c r="F851">
        <v>58.8</v>
      </c>
      <c r="G851">
        <v>217</v>
      </c>
      <c r="H851">
        <v>110.8</v>
      </c>
      <c r="I851">
        <v>6.5</v>
      </c>
      <c r="J851">
        <v>148</v>
      </c>
      <c r="K851">
        <v>613</v>
      </c>
      <c r="L851">
        <v>568</v>
      </c>
      <c r="M851" t="s">
        <v>54</v>
      </c>
      <c r="N851">
        <v>7</v>
      </c>
      <c r="O851" t="s">
        <v>57</v>
      </c>
      <c r="P851">
        <v>25.8</v>
      </c>
      <c r="Q851">
        <v>1638</v>
      </c>
      <c r="R851">
        <v>4</v>
      </c>
      <c r="S851">
        <v>1</v>
      </c>
      <c r="T851" t="s">
        <v>51</v>
      </c>
      <c r="U851" t="s">
        <v>42</v>
      </c>
      <c r="V851">
        <v>105178</v>
      </c>
      <c r="W851">
        <v>3.4</v>
      </c>
      <c r="X851">
        <v>4</v>
      </c>
      <c r="Y851" t="s">
        <v>43</v>
      </c>
      <c r="Z851">
        <v>3.69</v>
      </c>
      <c r="AA851" t="s">
        <v>35</v>
      </c>
    </row>
    <row r="852" spans="1:27" x14ac:dyDescent="0.3">
      <c r="A852" t="s">
        <v>52</v>
      </c>
      <c r="B852" t="s">
        <v>53</v>
      </c>
      <c r="C852">
        <v>2021</v>
      </c>
      <c r="D852" t="s">
        <v>68</v>
      </c>
      <c r="E852">
        <v>24979.98</v>
      </c>
      <c r="F852">
        <v>81.099999999999994</v>
      </c>
      <c r="G852">
        <v>271</v>
      </c>
      <c r="H852">
        <v>326.8</v>
      </c>
      <c r="I852">
        <v>6.83</v>
      </c>
      <c r="J852">
        <v>135</v>
      </c>
      <c r="K852">
        <v>150</v>
      </c>
      <c r="L852">
        <v>200</v>
      </c>
      <c r="M852" t="s">
        <v>54</v>
      </c>
      <c r="N852">
        <v>5</v>
      </c>
      <c r="O852" t="s">
        <v>56</v>
      </c>
      <c r="P852">
        <v>27.6</v>
      </c>
      <c r="Q852">
        <v>1500</v>
      </c>
      <c r="R852">
        <v>5</v>
      </c>
      <c r="S852">
        <v>3</v>
      </c>
      <c r="T852" t="s">
        <v>47</v>
      </c>
      <c r="U852" t="s">
        <v>74</v>
      </c>
      <c r="V852">
        <v>132068</v>
      </c>
      <c r="W852">
        <v>3.7</v>
      </c>
      <c r="X852">
        <v>4</v>
      </c>
      <c r="Y852" t="s">
        <v>43</v>
      </c>
      <c r="Z852">
        <v>3.34</v>
      </c>
      <c r="AA852" t="s">
        <v>35</v>
      </c>
    </row>
    <row r="853" spans="1:27" x14ac:dyDescent="0.3">
      <c r="A853" t="s">
        <v>44</v>
      </c>
      <c r="B853" t="s">
        <v>62</v>
      </c>
      <c r="C853">
        <v>2024</v>
      </c>
      <c r="D853" t="s">
        <v>63</v>
      </c>
      <c r="E853">
        <v>58716.57</v>
      </c>
      <c r="F853">
        <v>83.6</v>
      </c>
      <c r="G853">
        <v>313</v>
      </c>
      <c r="H853">
        <v>112.5</v>
      </c>
      <c r="I853">
        <v>6.87</v>
      </c>
      <c r="J853">
        <v>153</v>
      </c>
      <c r="K853">
        <v>744</v>
      </c>
      <c r="L853">
        <v>635</v>
      </c>
      <c r="M853" t="s">
        <v>39</v>
      </c>
      <c r="N853">
        <v>5</v>
      </c>
      <c r="O853" t="s">
        <v>65</v>
      </c>
      <c r="P853">
        <v>22.4</v>
      </c>
      <c r="Q853">
        <v>1754</v>
      </c>
      <c r="R853">
        <v>5</v>
      </c>
      <c r="S853">
        <v>1</v>
      </c>
      <c r="T853" t="s">
        <v>47</v>
      </c>
      <c r="U853" t="s">
        <v>42</v>
      </c>
      <c r="V853">
        <v>22110</v>
      </c>
      <c r="W853">
        <v>3.6</v>
      </c>
      <c r="X853">
        <v>3</v>
      </c>
      <c r="Y853" t="s">
        <v>43</v>
      </c>
      <c r="Z853">
        <v>3.74</v>
      </c>
      <c r="AA853" t="s">
        <v>35</v>
      </c>
    </row>
    <row r="854" spans="1:27" x14ac:dyDescent="0.3">
      <c r="A854" t="s">
        <v>71</v>
      </c>
      <c r="B854" t="s">
        <v>115</v>
      </c>
      <c r="C854">
        <v>2024</v>
      </c>
      <c r="D854" t="s">
        <v>63</v>
      </c>
      <c r="E854">
        <v>17777.32</v>
      </c>
      <c r="F854">
        <v>78</v>
      </c>
      <c r="G854">
        <v>280</v>
      </c>
      <c r="H854">
        <v>108.1</v>
      </c>
      <c r="I854">
        <v>7.53</v>
      </c>
      <c r="J854">
        <v>142</v>
      </c>
      <c r="K854">
        <v>175</v>
      </c>
      <c r="L854">
        <v>200</v>
      </c>
      <c r="M854" t="s">
        <v>39</v>
      </c>
      <c r="N854">
        <v>7</v>
      </c>
      <c r="O854" t="s">
        <v>56</v>
      </c>
      <c r="P854">
        <v>36.4</v>
      </c>
      <c r="Q854">
        <v>1788</v>
      </c>
      <c r="R854">
        <v>4</v>
      </c>
      <c r="S854">
        <v>0</v>
      </c>
      <c r="T854" t="s">
        <v>73</v>
      </c>
      <c r="U854" t="s">
        <v>74</v>
      </c>
      <c r="V854">
        <v>212740</v>
      </c>
      <c r="W854">
        <v>3.5</v>
      </c>
      <c r="X854">
        <v>4</v>
      </c>
      <c r="Y854" t="s">
        <v>61</v>
      </c>
      <c r="Z854">
        <v>3.59</v>
      </c>
      <c r="AA854" t="s">
        <v>35</v>
      </c>
    </row>
    <row r="855" spans="1:27" x14ac:dyDescent="0.3">
      <c r="A855" t="s">
        <v>94</v>
      </c>
      <c r="B855" t="s">
        <v>125</v>
      </c>
      <c r="C855">
        <v>2026</v>
      </c>
      <c r="D855" t="s">
        <v>29</v>
      </c>
      <c r="E855">
        <v>163470.92000000001</v>
      </c>
      <c r="F855">
        <v>73.400000000000006</v>
      </c>
      <c r="G855">
        <v>267</v>
      </c>
      <c r="H855">
        <v>163.1</v>
      </c>
      <c r="I855">
        <v>3.82</v>
      </c>
      <c r="J855">
        <v>196</v>
      </c>
      <c r="K855">
        <v>1000</v>
      </c>
      <c r="L855">
        <v>897</v>
      </c>
      <c r="M855" t="s">
        <v>54</v>
      </c>
      <c r="N855">
        <v>7</v>
      </c>
      <c r="O855" t="s">
        <v>65</v>
      </c>
      <c r="P855">
        <v>16.600000000000001</v>
      </c>
      <c r="Q855">
        <v>1500</v>
      </c>
      <c r="R855">
        <v>5</v>
      </c>
      <c r="S855">
        <v>2</v>
      </c>
      <c r="T855" t="s">
        <v>32</v>
      </c>
      <c r="U855" t="s">
        <v>33</v>
      </c>
      <c r="V855">
        <v>31112</v>
      </c>
      <c r="W855">
        <v>3.4</v>
      </c>
      <c r="X855">
        <v>6</v>
      </c>
      <c r="Y855" t="s">
        <v>34</v>
      </c>
      <c r="Z855">
        <v>3.64</v>
      </c>
      <c r="AA855" t="s">
        <v>35</v>
      </c>
    </row>
    <row r="856" spans="1:27" x14ac:dyDescent="0.3">
      <c r="A856" t="s">
        <v>71</v>
      </c>
      <c r="B856" t="s">
        <v>72</v>
      </c>
      <c r="C856">
        <v>2021</v>
      </c>
      <c r="D856" t="s">
        <v>63</v>
      </c>
      <c r="E856">
        <v>53782.86</v>
      </c>
      <c r="F856">
        <v>84.7</v>
      </c>
      <c r="G856">
        <v>314</v>
      </c>
      <c r="H856">
        <v>91</v>
      </c>
      <c r="I856">
        <v>5.94</v>
      </c>
      <c r="J856">
        <v>169</v>
      </c>
      <c r="K856">
        <v>521</v>
      </c>
      <c r="L856">
        <v>468</v>
      </c>
      <c r="M856" t="s">
        <v>54</v>
      </c>
      <c r="N856">
        <v>5</v>
      </c>
      <c r="O856" t="s">
        <v>46</v>
      </c>
      <c r="P856">
        <v>62.5</v>
      </c>
      <c r="Q856">
        <v>1599</v>
      </c>
      <c r="R856">
        <v>4</v>
      </c>
      <c r="S856">
        <v>1</v>
      </c>
      <c r="T856" t="s">
        <v>73</v>
      </c>
      <c r="U856" t="s">
        <v>42</v>
      </c>
      <c r="V856">
        <v>162990</v>
      </c>
      <c r="W856">
        <v>3.8</v>
      </c>
      <c r="X856">
        <v>3</v>
      </c>
      <c r="Y856" t="s">
        <v>43</v>
      </c>
      <c r="Z856">
        <v>3.71</v>
      </c>
      <c r="AA856" t="s">
        <v>35</v>
      </c>
    </row>
    <row r="857" spans="1:27" x14ac:dyDescent="0.3">
      <c r="A857" t="s">
        <v>52</v>
      </c>
      <c r="B857" t="s">
        <v>55</v>
      </c>
      <c r="C857">
        <v>2022</v>
      </c>
      <c r="D857" t="s">
        <v>50</v>
      </c>
      <c r="E857">
        <v>38805.29</v>
      </c>
      <c r="F857">
        <v>86.7</v>
      </c>
      <c r="G857">
        <v>295</v>
      </c>
      <c r="H857">
        <v>344.7</v>
      </c>
      <c r="I857">
        <v>4.05</v>
      </c>
      <c r="J857">
        <v>190</v>
      </c>
      <c r="K857">
        <v>297</v>
      </c>
      <c r="L857">
        <v>281</v>
      </c>
      <c r="M857" t="s">
        <v>54</v>
      </c>
      <c r="N857">
        <v>5</v>
      </c>
      <c r="O857" t="s">
        <v>31</v>
      </c>
      <c r="P857">
        <v>71.8</v>
      </c>
      <c r="Q857">
        <v>2329</v>
      </c>
      <c r="R857">
        <v>5</v>
      </c>
      <c r="S857">
        <v>3</v>
      </c>
      <c r="T857" t="s">
        <v>47</v>
      </c>
      <c r="U857" t="s">
        <v>42</v>
      </c>
      <c r="V857">
        <v>424786</v>
      </c>
      <c r="W857">
        <v>4.0999999999999996</v>
      </c>
      <c r="X857">
        <v>4</v>
      </c>
      <c r="Y857" t="s">
        <v>43</v>
      </c>
      <c r="Z857">
        <v>3.4</v>
      </c>
      <c r="AA857" t="s">
        <v>35</v>
      </c>
    </row>
    <row r="858" spans="1:27" x14ac:dyDescent="0.3">
      <c r="A858" t="s">
        <v>52</v>
      </c>
      <c r="B858" t="s">
        <v>86</v>
      </c>
      <c r="C858">
        <v>2024</v>
      </c>
      <c r="D858" t="s">
        <v>29</v>
      </c>
      <c r="E858">
        <v>90519.74</v>
      </c>
      <c r="F858">
        <v>119.4</v>
      </c>
      <c r="G858">
        <v>405</v>
      </c>
      <c r="H858">
        <v>222.4</v>
      </c>
      <c r="I858">
        <v>3.68</v>
      </c>
      <c r="J858">
        <v>200</v>
      </c>
      <c r="K858">
        <v>666</v>
      </c>
      <c r="L858">
        <v>591</v>
      </c>
      <c r="M858" t="s">
        <v>30</v>
      </c>
      <c r="N858">
        <v>5</v>
      </c>
      <c r="O858" t="s">
        <v>57</v>
      </c>
      <c r="P858">
        <v>24</v>
      </c>
      <c r="Q858">
        <v>1771</v>
      </c>
      <c r="R858">
        <v>4</v>
      </c>
      <c r="S858">
        <v>2</v>
      </c>
      <c r="T858" t="s">
        <v>47</v>
      </c>
      <c r="U858" t="s">
        <v>38</v>
      </c>
      <c r="V858">
        <v>189429</v>
      </c>
      <c r="W858">
        <v>4</v>
      </c>
      <c r="X858">
        <v>6</v>
      </c>
      <c r="Y858" t="s">
        <v>34</v>
      </c>
      <c r="Z858">
        <v>3.39</v>
      </c>
      <c r="AA858" t="s">
        <v>35</v>
      </c>
    </row>
    <row r="859" spans="1:27" x14ac:dyDescent="0.3">
      <c r="A859" t="s">
        <v>76</v>
      </c>
      <c r="B859" t="s">
        <v>114</v>
      </c>
      <c r="C859">
        <v>2025</v>
      </c>
      <c r="D859" t="s">
        <v>63</v>
      </c>
      <c r="E859">
        <v>46385.14</v>
      </c>
      <c r="F859">
        <v>84.1</v>
      </c>
      <c r="G859">
        <v>301</v>
      </c>
      <c r="H859">
        <v>90.2</v>
      </c>
      <c r="I859">
        <v>6.54</v>
      </c>
      <c r="J859">
        <v>148</v>
      </c>
      <c r="K859">
        <v>445</v>
      </c>
      <c r="L859">
        <v>414</v>
      </c>
      <c r="M859" t="s">
        <v>54</v>
      </c>
      <c r="N859">
        <v>5</v>
      </c>
      <c r="O859" t="s">
        <v>31</v>
      </c>
      <c r="P859">
        <v>65.5</v>
      </c>
      <c r="Q859">
        <v>2726</v>
      </c>
      <c r="R859">
        <v>4</v>
      </c>
      <c r="S859">
        <v>1</v>
      </c>
      <c r="T859" t="s">
        <v>51</v>
      </c>
      <c r="U859" t="s">
        <v>42</v>
      </c>
      <c r="V859">
        <v>58564</v>
      </c>
      <c r="W859">
        <v>3.6</v>
      </c>
      <c r="X859">
        <v>3</v>
      </c>
      <c r="Y859" t="s">
        <v>43</v>
      </c>
      <c r="Z859">
        <v>3.58</v>
      </c>
      <c r="AA859" t="s">
        <v>35</v>
      </c>
    </row>
    <row r="860" spans="1:27" x14ac:dyDescent="0.3">
      <c r="A860" t="s">
        <v>48</v>
      </c>
      <c r="B860" t="s">
        <v>60</v>
      </c>
      <c r="C860">
        <v>2026</v>
      </c>
      <c r="D860" t="s">
        <v>29</v>
      </c>
      <c r="E860">
        <v>110515.91</v>
      </c>
      <c r="F860">
        <v>78.099999999999994</v>
      </c>
      <c r="G860">
        <v>283</v>
      </c>
      <c r="H860">
        <v>217.4</v>
      </c>
      <c r="I860">
        <v>2.89</v>
      </c>
      <c r="J860">
        <v>200</v>
      </c>
      <c r="K860">
        <v>1000</v>
      </c>
      <c r="L860">
        <v>881</v>
      </c>
      <c r="M860" t="s">
        <v>30</v>
      </c>
      <c r="N860">
        <v>5</v>
      </c>
      <c r="O860" t="s">
        <v>57</v>
      </c>
      <c r="P860">
        <v>24.1</v>
      </c>
      <c r="Q860">
        <v>1738</v>
      </c>
      <c r="R860">
        <v>5</v>
      </c>
      <c r="S860">
        <v>0</v>
      </c>
      <c r="T860" t="s">
        <v>51</v>
      </c>
      <c r="U860" t="s">
        <v>33</v>
      </c>
      <c r="V860">
        <v>62032</v>
      </c>
      <c r="W860">
        <v>3.6</v>
      </c>
      <c r="X860">
        <v>3</v>
      </c>
      <c r="Y860" t="s">
        <v>34</v>
      </c>
      <c r="Z860">
        <v>3.62</v>
      </c>
      <c r="AA860" t="s">
        <v>35</v>
      </c>
    </row>
    <row r="861" spans="1:27" x14ac:dyDescent="0.3">
      <c r="A861" t="s">
        <v>52</v>
      </c>
      <c r="B861" t="s">
        <v>80</v>
      </c>
      <c r="C861">
        <v>2023</v>
      </c>
      <c r="D861" t="s">
        <v>68</v>
      </c>
      <c r="E861">
        <v>35071.56</v>
      </c>
      <c r="F861">
        <v>52.4</v>
      </c>
      <c r="G861">
        <v>192</v>
      </c>
      <c r="H861">
        <v>340</v>
      </c>
      <c r="I861">
        <v>5.24</v>
      </c>
      <c r="J861">
        <v>168</v>
      </c>
      <c r="K861">
        <v>249</v>
      </c>
      <c r="L861">
        <v>217</v>
      </c>
      <c r="M861" t="s">
        <v>39</v>
      </c>
      <c r="N861">
        <v>7</v>
      </c>
      <c r="O861" t="s">
        <v>31</v>
      </c>
      <c r="P861">
        <v>53</v>
      </c>
      <c r="Q861">
        <v>2535</v>
      </c>
      <c r="R861">
        <v>5</v>
      </c>
      <c r="S861">
        <v>2</v>
      </c>
      <c r="T861" t="s">
        <v>47</v>
      </c>
      <c r="U861" t="s">
        <v>42</v>
      </c>
      <c r="V861">
        <v>139628</v>
      </c>
      <c r="W861">
        <v>3.2</v>
      </c>
      <c r="X861">
        <v>5</v>
      </c>
      <c r="Y861" t="s">
        <v>43</v>
      </c>
      <c r="Z861">
        <v>3.66</v>
      </c>
      <c r="AA861" t="s">
        <v>35</v>
      </c>
    </row>
    <row r="862" spans="1:27" x14ac:dyDescent="0.3">
      <c r="A862" t="s">
        <v>84</v>
      </c>
      <c r="B862" t="s">
        <v>106</v>
      </c>
      <c r="C862">
        <v>2025</v>
      </c>
      <c r="D862" t="s">
        <v>29</v>
      </c>
      <c r="E862">
        <v>106247.4</v>
      </c>
      <c r="F862">
        <v>72.900000000000006</v>
      </c>
      <c r="G862">
        <v>277</v>
      </c>
      <c r="H862">
        <v>158.19999999999999</v>
      </c>
      <c r="I862">
        <v>2.58</v>
      </c>
      <c r="J862">
        <v>200</v>
      </c>
      <c r="K862">
        <v>1000</v>
      </c>
      <c r="L862">
        <v>873</v>
      </c>
      <c r="M862" t="s">
        <v>39</v>
      </c>
      <c r="N862">
        <v>5</v>
      </c>
      <c r="O862" t="s">
        <v>57</v>
      </c>
      <c r="P862">
        <v>24.4</v>
      </c>
      <c r="Q862">
        <v>1701</v>
      </c>
      <c r="R862">
        <v>5</v>
      </c>
      <c r="S862">
        <v>0</v>
      </c>
      <c r="T862" t="s">
        <v>47</v>
      </c>
      <c r="U862" t="s">
        <v>33</v>
      </c>
      <c r="V862">
        <v>49209</v>
      </c>
      <c r="W862">
        <v>3.4</v>
      </c>
      <c r="X862">
        <v>3</v>
      </c>
      <c r="Y862" t="s">
        <v>34</v>
      </c>
      <c r="Z862">
        <v>3.8</v>
      </c>
      <c r="AA862" t="s">
        <v>35</v>
      </c>
    </row>
    <row r="863" spans="1:27" x14ac:dyDescent="0.3">
      <c r="A863" t="s">
        <v>27</v>
      </c>
      <c r="B863" t="s">
        <v>93</v>
      </c>
      <c r="C863">
        <v>2026</v>
      </c>
      <c r="D863" t="s">
        <v>63</v>
      </c>
      <c r="E863">
        <v>56734.76</v>
      </c>
      <c r="F863">
        <v>49.7</v>
      </c>
      <c r="G863">
        <v>207</v>
      </c>
      <c r="H863">
        <v>87.7</v>
      </c>
      <c r="I863">
        <v>5.23</v>
      </c>
      <c r="J863">
        <v>168</v>
      </c>
      <c r="K863">
        <v>586</v>
      </c>
      <c r="L863">
        <v>478</v>
      </c>
      <c r="M863" t="s">
        <v>30</v>
      </c>
      <c r="N863">
        <v>7</v>
      </c>
      <c r="O863" t="s">
        <v>56</v>
      </c>
      <c r="P863">
        <v>16.600000000000001</v>
      </c>
      <c r="Q863">
        <v>1500</v>
      </c>
      <c r="R863">
        <v>4</v>
      </c>
      <c r="S863">
        <v>0</v>
      </c>
      <c r="T863" t="s">
        <v>32</v>
      </c>
      <c r="U863" t="s">
        <v>42</v>
      </c>
      <c r="V863">
        <v>257294</v>
      </c>
      <c r="W863">
        <v>3.1</v>
      </c>
      <c r="X863">
        <v>4</v>
      </c>
      <c r="Y863" t="s">
        <v>43</v>
      </c>
      <c r="Z863">
        <v>4.16</v>
      </c>
      <c r="AA863" t="s">
        <v>35</v>
      </c>
    </row>
    <row r="864" spans="1:27" x14ac:dyDescent="0.3">
      <c r="A864" t="s">
        <v>76</v>
      </c>
      <c r="B864" t="s">
        <v>98</v>
      </c>
      <c r="C864">
        <v>2025</v>
      </c>
      <c r="D864" t="s">
        <v>50</v>
      </c>
      <c r="E864">
        <v>74693.36</v>
      </c>
      <c r="F864">
        <v>95.4</v>
      </c>
      <c r="G864">
        <v>340</v>
      </c>
      <c r="H864">
        <v>66.599999999999994</v>
      </c>
      <c r="I864">
        <v>4.63</v>
      </c>
      <c r="J864">
        <v>186</v>
      </c>
      <c r="K864">
        <v>972</v>
      </c>
      <c r="L864">
        <v>902</v>
      </c>
      <c r="M864" t="s">
        <v>54</v>
      </c>
      <c r="N864">
        <v>7</v>
      </c>
      <c r="O864" t="s">
        <v>56</v>
      </c>
      <c r="P864">
        <v>24.5</v>
      </c>
      <c r="Q864">
        <v>1739</v>
      </c>
      <c r="R864">
        <v>5</v>
      </c>
      <c r="S864">
        <v>1</v>
      </c>
      <c r="T864" t="s">
        <v>51</v>
      </c>
      <c r="U864" t="s">
        <v>38</v>
      </c>
      <c r="V864">
        <v>138161</v>
      </c>
      <c r="W864">
        <v>3.5</v>
      </c>
      <c r="X864">
        <v>4</v>
      </c>
      <c r="Y864" t="s">
        <v>43</v>
      </c>
      <c r="Z864">
        <v>3.56</v>
      </c>
      <c r="AA864" t="s">
        <v>35</v>
      </c>
    </row>
    <row r="865" spans="1:27" x14ac:dyDescent="0.3">
      <c r="A865" t="s">
        <v>27</v>
      </c>
      <c r="B865" t="s">
        <v>82</v>
      </c>
      <c r="C865">
        <v>2022</v>
      </c>
      <c r="D865" t="s">
        <v>38</v>
      </c>
      <c r="E865">
        <v>70140.570000000007</v>
      </c>
      <c r="F865">
        <v>83.5</v>
      </c>
      <c r="G865">
        <v>319</v>
      </c>
      <c r="H865">
        <v>79.8</v>
      </c>
      <c r="I865">
        <v>6.63</v>
      </c>
      <c r="J865">
        <v>142</v>
      </c>
      <c r="K865">
        <v>731</v>
      </c>
      <c r="L865">
        <v>665</v>
      </c>
      <c r="M865" t="s">
        <v>30</v>
      </c>
      <c r="N865">
        <v>5</v>
      </c>
      <c r="O865" t="s">
        <v>56</v>
      </c>
      <c r="P865">
        <v>26.7</v>
      </c>
      <c r="Q865">
        <v>1533</v>
      </c>
      <c r="R865">
        <v>5</v>
      </c>
      <c r="S865">
        <v>0</v>
      </c>
      <c r="T865" t="s">
        <v>32</v>
      </c>
      <c r="U865" t="s">
        <v>38</v>
      </c>
      <c r="V865">
        <v>203826</v>
      </c>
      <c r="W865">
        <v>3.8</v>
      </c>
      <c r="X865">
        <v>5</v>
      </c>
      <c r="Y865" t="s">
        <v>43</v>
      </c>
      <c r="Z865">
        <v>3.82</v>
      </c>
      <c r="AA865" t="s">
        <v>35</v>
      </c>
    </row>
    <row r="866" spans="1:27" x14ac:dyDescent="0.3">
      <c r="A866" t="s">
        <v>27</v>
      </c>
      <c r="B866" t="s">
        <v>82</v>
      </c>
      <c r="C866">
        <v>2025</v>
      </c>
      <c r="D866" t="s">
        <v>68</v>
      </c>
      <c r="E866">
        <v>60218.55</v>
      </c>
      <c r="F866">
        <v>82.8</v>
      </c>
      <c r="G866">
        <v>240</v>
      </c>
      <c r="H866">
        <v>94.9</v>
      </c>
      <c r="I866">
        <v>6</v>
      </c>
      <c r="J866">
        <v>163</v>
      </c>
      <c r="K866">
        <v>518</v>
      </c>
      <c r="L866">
        <v>517</v>
      </c>
      <c r="M866" t="s">
        <v>30</v>
      </c>
      <c r="N866">
        <v>5</v>
      </c>
      <c r="O866" t="s">
        <v>46</v>
      </c>
      <c r="P866">
        <v>60.3</v>
      </c>
      <c r="Q866">
        <v>1739</v>
      </c>
      <c r="R866">
        <v>5</v>
      </c>
      <c r="S866">
        <v>2</v>
      </c>
      <c r="T866" t="s">
        <v>32</v>
      </c>
      <c r="U866" t="s">
        <v>42</v>
      </c>
      <c r="V866">
        <v>290126</v>
      </c>
      <c r="W866">
        <v>3.6</v>
      </c>
      <c r="X866">
        <v>4</v>
      </c>
      <c r="Y866" t="s">
        <v>43</v>
      </c>
      <c r="Z866">
        <v>2.9</v>
      </c>
      <c r="AA866" t="s">
        <v>35</v>
      </c>
    </row>
    <row r="867" spans="1:27" x14ac:dyDescent="0.3">
      <c r="A867" t="s">
        <v>48</v>
      </c>
      <c r="B867" t="s">
        <v>79</v>
      </c>
      <c r="C867">
        <v>2020</v>
      </c>
      <c r="D867" t="s">
        <v>63</v>
      </c>
      <c r="E867">
        <v>44609.33</v>
      </c>
      <c r="F867">
        <v>80.3</v>
      </c>
      <c r="G867">
        <v>255</v>
      </c>
      <c r="H867">
        <v>124.3</v>
      </c>
      <c r="I867">
        <v>6.52</v>
      </c>
      <c r="J867">
        <v>155</v>
      </c>
      <c r="K867">
        <v>414</v>
      </c>
      <c r="L867">
        <v>337</v>
      </c>
      <c r="M867" t="s">
        <v>54</v>
      </c>
      <c r="N867">
        <v>7</v>
      </c>
      <c r="O867" t="s">
        <v>65</v>
      </c>
      <c r="P867">
        <v>22.4</v>
      </c>
      <c r="Q867">
        <v>1545</v>
      </c>
      <c r="R867">
        <v>4</v>
      </c>
      <c r="S867">
        <v>0</v>
      </c>
      <c r="T867" t="s">
        <v>51</v>
      </c>
      <c r="U867" t="s">
        <v>42</v>
      </c>
      <c r="V867">
        <v>62067</v>
      </c>
      <c r="W867">
        <v>3.6</v>
      </c>
      <c r="X867">
        <v>5</v>
      </c>
      <c r="Y867" t="s">
        <v>43</v>
      </c>
      <c r="Z867">
        <v>3.18</v>
      </c>
      <c r="AA867" t="s">
        <v>35</v>
      </c>
    </row>
    <row r="868" spans="1:27" x14ac:dyDescent="0.3">
      <c r="A868" t="s">
        <v>52</v>
      </c>
      <c r="B868" t="s">
        <v>53</v>
      </c>
      <c r="C868">
        <v>2025</v>
      </c>
      <c r="D868" t="s">
        <v>29</v>
      </c>
      <c r="E868">
        <v>58452.94</v>
      </c>
      <c r="F868">
        <v>77.2</v>
      </c>
      <c r="G868">
        <v>274</v>
      </c>
      <c r="H868">
        <v>217.3</v>
      </c>
      <c r="I868">
        <v>4.1900000000000004</v>
      </c>
      <c r="J868">
        <v>183</v>
      </c>
      <c r="K868">
        <v>458</v>
      </c>
      <c r="L868">
        <v>401</v>
      </c>
      <c r="M868" t="s">
        <v>54</v>
      </c>
      <c r="N868">
        <v>7</v>
      </c>
      <c r="O868" t="s">
        <v>46</v>
      </c>
      <c r="P868">
        <v>64.2</v>
      </c>
      <c r="Q868">
        <v>1813</v>
      </c>
      <c r="R868">
        <v>3</v>
      </c>
      <c r="S868">
        <v>2</v>
      </c>
      <c r="T868" t="s">
        <v>47</v>
      </c>
      <c r="U868" t="s">
        <v>42</v>
      </c>
      <c r="V868">
        <v>216013</v>
      </c>
      <c r="W868">
        <v>3.9</v>
      </c>
      <c r="X868">
        <v>4</v>
      </c>
      <c r="Y868" t="s">
        <v>43</v>
      </c>
      <c r="Z868">
        <v>3.55</v>
      </c>
      <c r="AA868" t="s">
        <v>35</v>
      </c>
    </row>
    <row r="869" spans="1:27" x14ac:dyDescent="0.3">
      <c r="A869" t="s">
        <v>52</v>
      </c>
      <c r="B869" t="s">
        <v>80</v>
      </c>
      <c r="C869">
        <v>2023</v>
      </c>
      <c r="D869" t="s">
        <v>38</v>
      </c>
      <c r="E869">
        <v>118800.8</v>
      </c>
      <c r="F869">
        <v>54.2</v>
      </c>
      <c r="G869">
        <v>203</v>
      </c>
      <c r="H869">
        <v>340.1</v>
      </c>
      <c r="I869">
        <v>6.1</v>
      </c>
      <c r="J869">
        <v>162</v>
      </c>
      <c r="K869">
        <v>891</v>
      </c>
      <c r="L869">
        <v>851</v>
      </c>
      <c r="M869" t="s">
        <v>39</v>
      </c>
      <c r="N869">
        <v>7</v>
      </c>
      <c r="O869" t="s">
        <v>31</v>
      </c>
      <c r="P869">
        <v>50.1</v>
      </c>
      <c r="Q869">
        <v>2562</v>
      </c>
      <c r="R869">
        <v>4</v>
      </c>
      <c r="S869">
        <v>3</v>
      </c>
      <c r="T869" t="s">
        <v>47</v>
      </c>
      <c r="U869" t="s">
        <v>33</v>
      </c>
      <c r="V869">
        <v>197139</v>
      </c>
      <c r="W869">
        <v>3.4</v>
      </c>
      <c r="X869">
        <v>5</v>
      </c>
      <c r="Y869" t="s">
        <v>43</v>
      </c>
      <c r="Z869">
        <v>3.75</v>
      </c>
      <c r="AA869" t="s">
        <v>35</v>
      </c>
    </row>
    <row r="870" spans="1:27" x14ac:dyDescent="0.3">
      <c r="A870" t="s">
        <v>58</v>
      </c>
      <c r="B870" t="s">
        <v>105</v>
      </c>
      <c r="C870">
        <v>2024</v>
      </c>
      <c r="D870" t="s">
        <v>29</v>
      </c>
      <c r="E870">
        <v>87690.32</v>
      </c>
      <c r="F870">
        <v>88.6</v>
      </c>
      <c r="G870">
        <v>321</v>
      </c>
      <c r="H870">
        <v>224.6</v>
      </c>
      <c r="I870">
        <v>2.67</v>
      </c>
      <c r="J870">
        <v>200</v>
      </c>
      <c r="K870">
        <v>422</v>
      </c>
      <c r="L870">
        <v>414</v>
      </c>
      <c r="M870" t="s">
        <v>30</v>
      </c>
      <c r="N870">
        <v>5</v>
      </c>
      <c r="O870" t="s">
        <v>56</v>
      </c>
      <c r="P870">
        <v>36.6</v>
      </c>
      <c r="Q870">
        <v>1957</v>
      </c>
      <c r="R870">
        <v>4</v>
      </c>
      <c r="S870">
        <v>2</v>
      </c>
      <c r="T870" t="s">
        <v>32</v>
      </c>
      <c r="U870" t="s">
        <v>38</v>
      </c>
      <c r="V870">
        <v>36911</v>
      </c>
      <c r="W870">
        <v>4</v>
      </c>
      <c r="X870">
        <v>7</v>
      </c>
      <c r="Y870" t="s">
        <v>34</v>
      </c>
      <c r="Z870">
        <v>3.62</v>
      </c>
      <c r="AA870" t="s">
        <v>35</v>
      </c>
    </row>
    <row r="871" spans="1:27" x14ac:dyDescent="0.3">
      <c r="A871" t="s">
        <v>36</v>
      </c>
      <c r="B871" t="s">
        <v>120</v>
      </c>
      <c r="C871">
        <v>2022</v>
      </c>
      <c r="D871" t="s">
        <v>68</v>
      </c>
      <c r="E871">
        <v>55775.75</v>
      </c>
      <c r="F871">
        <v>84.6</v>
      </c>
      <c r="G871">
        <v>281</v>
      </c>
      <c r="H871">
        <v>90.6</v>
      </c>
      <c r="I871">
        <v>6</v>
      </c>
      <c r="J871">
        <v>163</v>
      </c>
      <c r="K871">
        <v>602</v>
      </c>
      <c r="L871">
        <v>520</v>
      </c>
      <c r="M871" t="s">
        <v>39</v>
      </c>
      <c r="N871">
        <v>5</v>
      </c>
      <c r="O871" t="s">
        <v>57</v>
      </c>
      <c r="P871">
        <v>22.4</v>
      </c>
      <c r="Q871">
        <v>1626</v>
      </c>
      <c r="R871">
        <v>4</v>
      </c>
      <c r="S871">
        <v>0</v>
      </c>
      <c r="T871" t="s">
        <v>41</v>
      </c>
      <c r="U871" t="s">
        <v>42</v>
      </c>
      <c r="V871">
        <v>18523</v>
      </c>
      <c r="W871">
        <v>3.3</v>
      </c>
      <c r="X871">
        <v>3</v>
      </c>
      <c r="Y871" t="s">
        <v>43</v>
      </c>
      <c r="Z871">
        <v>3.32</v>
      </c>
      <c r="AA871" t="s">
        <v>43</v>
      </c>
    </row>
    <row r="872" spans="1:27" x14ac:dyDescent="0.3">
      <c r="A872" t="s">
        <v>27</v>
      </c>
      <c r="B872" t="s">
        <v>83</v>
      </c>
      <c r="C872">
        <v>2023</v>
      </c>
      <c r="D872" t="s">
        <v>68</v>
      </c>
      <c r="E872">
        <v>51298.81</v>
      </c>
      <c r="F872">
        <v>63.2</v>
      </c>
      <c r="G872">
        <v>237</v>
      </c>
      <c r="H872">
        <v>118.9</v>
      </c>
      <c r="I872">
        <v>5.83</v>
      </c>
      <c r="J872">
        <v>162</v>
      </c>
      <c r="K872">
        <v>397</v>
      </c>
      <c r="L872">
        <v>310</v>
      </c>
      <c r="M872" t="s">
        <v>54</v>
      </c>
      <c r="N872">
        <v>5</v>
      </c>
      <c r="O872" t="s">
        <v>57</v>
      </c>
      <c r="P872">
        <v>26.9</v>
      </c>
      <c r="Q872">
        <v>1555</v>
      </c>
      <c r="R872">
        <v>5</v>
      </c>
      <c r="S872">
        <v>1</v>
      </c>
      <c r="T872" t="s">
        <v>32</v>
      </c>
      <c r="U872" t="s">
        <v>42</v>
      </c>
      <c r="V872">
        <v>222298</v>
      </c>
      <c r="W872">
        <v>3.5</v>
      </c>
      <c r="X872">
        <v>3</v>
      </c>
      <c r="Y872" t="s">
        <v>43</v>
      </c>
      <c r="Z872">
        <v>3.75</v>
      </c>
      <c r="AA872" t="s">
        <v>35</v>
      </c>
    </row>
    <row r="873" spans="1:27" x14ac:dyDescent="0.3">
      <c r="A873" t="s">
        <v>71</v>
      </c>
      <c r="B873" t="s">
        <v>104</v>
      </c>
      <c r="C873">
        <v>2025</v>
      </c>
      <c r="D873" t="s">
        <v>68</v>
      </c>
      <c r="E873">
        <v>82759.69</v>
      </c>
      <c r="F873">
        <v>73.3</v>
      </c>
      <c r="G873">
        <v>235</v>
      </c>
      <c r="H873">
        <v>119</v>
      </c>
      <c r="I873">
        <v>6.27</v>
      </c>
      <c r="J873">
        <v>151</v>
      </c>
      <c r="K873">
        <v>912</v>
      </c>
      <c r="L873">
        <v>776</v>
      </c>
      <c r="M873" t="s">
        <v>54</v>
      </c>
      <c r="N873">
        <v>5</v>
      </c>
      <c r="O873" t="s">
        <v>40</v>
      </c>
      <c r="P873">
        <v>68.7</v>
      </c>
      <c r="Q873">
        <v>1789</v>
      </c>
      <c r="R873">
        <v>3</v>
      </c>
      <c r="S873">
        <v>0</v>
      </c>
      <c r="T873" t="s">
        <v>73</v>
      </c>
      <c r="U873" t="s">
        <v>38</v>
      </c>
      <c r="V873">
        <v>125776</v>
      </c>
      <c r="W873">
        <v>3.4</v>
      </c>
      <c r="X873">
        <v>3</v>
      </c>
      <c r="Y873" t="s">
        <v>43</v>
      </c>
      <c r="Z873">
        <v>3.21</v>
      </c>
      <c r="AA873" t="s">
        <v>35</v>
      </c>
    </row>
    <row r="874" spans="1:27" x14ac:dyDescent="0.3">
      <c r="A874" t="s">
        <v>91</v>
      </c>
      <c r="B874" t="s">
        <v>124</v>
      </c>
      <c r="C874">
        <v>2023</v>
      </c>
      <c r="D874" t="s">
        <v>29</v>
      </c>
      <c r="E874">
        <v>130983.67</v>
      </c>
      <c r="F874">
        <v>110.9</v>
      </c>
      <c r="G874">
        <v>390</v>
      </c>
      <c r="H874">
        <v>244.7</v>
      </c>
      <c r="I874">
        <v>2.5099999999999998</v>
      </c>
      <c r="J874">
        <v>200</v>
      </c>
      <c r="K874">
        <v>1000</v>
      </c>
      <c r="L874">
        <v>878</v>
      </c>
      <c r="M874" t="s">
        <v>54</v>
      </c>
      <c r="N874">
        <v>7</v>
      </c>
      <c r="O874" t="s">
        <v>46</v>
      </c>
      <c r="P874">
        <v>73.099999999999994</v>
      </c>
      <c r="Q874">
        <v>1500</v>
      </c>
      <c r="R874">
        <v>5</v>
      </c>
      <c r="S874">
        <v>2</v>
      </c>
      <c r="T874" t="s">
        <v>32</v>
      </c>
      <c r="U874" t="s">
        <v>33</v>
      </c>
      <c r="V874">
        <v>64205</v>
      </c>
      <c r="W874">
        <v>3.8</v>
      </c>
      <c r="X874">
        <v>5</v>
      </c>
      <c r="Y874" t="s">
        <v>34</v>
      </c>
      <c r="Z874">
        <v>3.52</v>
      </c>
      <c r="AA874" t="s">
        <v>35</v>
      </c>
    </row>
    <row r="875" spans="1:27" x14ac:dyDescent="0.3">
      <c r="A875" t="s">
        <v>27</v>
      </c>
      <c r="B875" t="s">
        <v>78</v>
      </c>
      <c r="C875">
        <v>2025</v>
      </c>
      <c r="D875" t="s">
        <v>63</v>
      </c>
      <c r="E875">
        <v>65061.9</v>
      </c>
      <c r="F875">
        <v>65.099999999999994</v>
      </c>
      <c r="G875">
        <v>212</v>
      </c>
      <c r="H875">
        <v>82.2</v>
      </c>
      <c r="I875">
        <v>7.77</v>
      </c>
      <c r="J875">
        <v>137</v>
      </c>
      <c r="K875">
        <v>653</v>
      </c>
      <c r="L875">
        <v>616</v>
      </c>
      <c r="M875" t="s">
        <v>30</v>
      </c>
      <c r="N875">
        <v>5</v>
      </c>
      <c r="O875" t="s">
        <v>57</v>
      </c>
      <c r="P875">
        <v>37.799999999999997</v>
      </c>
      <c r="Q875">
        <v>1613</v>
      </c>
      <c r="R875">
        <v>5</v>
      </c>
      <c r="S875">
        <v>1</v>
      </c>
      <c r="T875" t="s">
        <v>32</v>
      </c>
      <c r="U875" t="s">
        <v>38</v>
      </c>
      <c r="V875">
        <v>282957</v>
      </c>
      <c r="W875">
        <v>3.7</v>
      </c>
      <c r="X875">
        <v>3</v>
      </c>
      <c r="Y875" t="s">
        <v>61</v>
      </c>
      <c r="Z875">
        <v>3.26</v>
      </c>
      <c r="AA875" t="s">
        <v>35</v>
      </c>
    </row>
    <row r="876" spans="1:27" x14ac:dyDescent="0.3">
      <c r="A876" t="s">
        <v>52</v>
      </c>
      <c r="B876" t="s">
        <v>64</v>
      </c>
      <c r="C876">
        <v>2022</v>
      </c>
      <c r="D876" t="s">
        <v>38</v>
      </c>
      <c r="E876">
        <v>163492.79999999999</v>
      </c>
      <c r="F876">
        <v>65.400000000000006</v>
      </c>
      <c r="G876">
        <v>193</v>
      </c>
      <c r="H876">
        <v>288.89999999999998</v>
      </c>
      <c r="I876">
        <v>6.55</v>
      </c>
      <c r="J876">
        <v>154</v>
      </c>
      <c r="K876">
        <v>1000</v>
      </c>
      <c r="L876">
        <v>907</v>
      </c>
      <c r="M876" t="s">
        <v>54</v>
      </c>
      <c r="N876">
        <v>7</v>
      </c>
      <c r="O876" t="s">
        <v>56</v>
      </c>
      <c r="P876">
        <v>34.9</v>
      </c>
      <c r="Q876">
        <v>1653</v>
      </c>
      <c r="R876">
        <v>5</v>
      </c>
      <c r="S876">
        <v>2</v>
      </c>
      <c r="T876" t="s">
        <v>47</v>
      </c>
      <c r="U876" t="s">
        <v>33</v>
      </c>
      <c r="V876">
        <v>241709</v>
      </c>
      <c r="W876">
        <v>4</v>
      </c>
      <c r="X876">
        <v>5</v>
      </c>
      <c r="Y876" t="s">
        <v>43</v>
      </c>
      <c r="Z876">
        <v>2.95</v>
      </c>
      <c r="AA876" t="s">
        <v>35</v>
      </c>
    </row>
    <row r="877" spans="1:27" x14ac:dyDescent="0.3">
      <c r="A877" t="s">
        <v>52</v>
      </c>
      <c r="B877" t="s">
        <v>86</v>
      </c>
      <c r="C877">
        <v>2023</v>
      </c>
      <c r="D877" t="s">
        <v>38</v>
      </c>
      <c r="E877">
        <v>53973.57</v>
      </c>
      <c r="F877">
        <v>82.6</v>
      </c>
      <c r="G877">
        <v>301</v>
      </c>
      <c r="H877">
        <v>250.5</v>
      </c>
      <c r="I877">
        <v>7.15</v>
      </c>
      <c r="J877">
        <v>143</v>
      </c>
      <c r="K877">
        <v>440</v>
      </c>
      <c r="L877">
        <v>387</v>
      </c>
      <c r="M877" t="s">
        <v>39</v>
      </c>
      <c r="N877">
        <v>7</v>
      </c>
      <c r="O877" t="s">
        <v>65</v>
      </c>
      <c r="P877">
        <v>15.8</v>
      </c>
      <c r="Q877">
        <v>1500</v>
      </c>
      <c r="R877">
        <v>5</v>
      </c>
      <c r="S877">
        <v>2</v>
      </c>
      <c r="T877" t="s">
        <v>47</v>
      </c>
      <c r="U877" t="s">
        <v>42</v>
      </c>
      <c r="V877">
        <v>206669</v>
      </c>
      <c r="W877">
        <v>3.9</v>
      </c>
      <c r="X877">
        <v>5</v>
      </c>
      <c r="Y877" t="s">
        <v>61</v>
      </c>
      <c r="Z877">
        <v>3.64</v>
      </c>
      <c r="AA877" t="s">
        <v>35</v>
      </c>
    </row>
    <row r="878" spans="1:27" x14ac:dyDescent="0.3">
      <c r="A878" t="s">
        <v>44</v>
      </c>
      <c r="B878" t="s">
        <v>45</v>
      </c>
      <c r="C878">
        <v>2025</v>
      </c>
      <c r="D878" t="s">
        <v>29</v>
      </c>
      <c r="E878">
        <v>60210.65</v>
      </c>
      <c r="F878">
        <v>70.400000000000006</v>
      </c>
      <c r="G878">
        <v>258</v>
      </c>
      <c r="H878">
        <v>173.9</v>
      </c>
      <c r="I878">
        <v>3.71</v>
      </c>
      <c r="J878">
        <v>200</v>
      </c>
      <c r="K878">
        <v>778</v>
      </c>
      <c r="L878">
        <v>765</v>
      </c>
      <c r="M878" t="s">
        <v>39</v>
      </c>
      <c r="N878">
        <v>5</v>
      </c>
      <c r="O878" t="s">
        <v>57</v>
      </c>
      <c r="P878">
        <v>18.8</v>
      </c>
      <c r="Q878">
        <v>1519</v>
      </c>
      <c r="R878">
        <v>4</v>
      </c>
      <c r="S878">
        <v>0</v>
      </c>
      <c r="T878" t="s">
        <v>47</v>
      </c>
      <c r="U878" t="s">
        <v>42</v>
      </c>
      <c r="V878">
        <v>23288</v>
      </c>
      <c r="W878">
        <v>3.6</v>
      </c>
      <c r="X878">
        <v>4</v>
      </c>
      <c r="Y878" t="s">
        <v>34</v>
      </c>
      <c r="Z878">
        <v>3.66</v>
      </c>
      <c r="AA878" t="s">
        <v>35</v>
      </c>
    </row>
    <row r="879" spans="1:27" x14ac:dyDescent="0.3">
      <c r="A879" t="s">
        <v>91</v>
      </c>
      <c r="B879" t="s">
        <v>97</v>
      </c>
      <c r="C879">
        <v>2023</v>
      </c>
      <c r="D879" t="s">
        <v>38</v>
      </c>
      <c r="E879">
        <v>81481.72</v>
      </c>
      <c r="F879">
        <v>64.8</v>
      </c>
      <c r="G879">
        <v>209</v>
      </c>
      <c r="H879">
        <v>132.6</v>
      </c>
      <c r="I879">
        <v>5.22</v>
      </c>
      <c r="J879">
        <v>180</v>
      </c>
      <c r="K879">
        <v>551</v>
      </c>
      <c r="L879">
        <v>468</v>
      </c>
      <c r="M879" t="s">
        <v>54</v>
      </c>
      <c r="N879">
        <v>7</v>
      </c>
      <c r="O879" t="s">
        <v>65</v>
      </c>
      <c r="P879">
        <v>32.9</v>
      </c>
      <c r="Q879">
        <v>1755</v>
      </c>
      <c r="R879">
        <v>4</v>
      </c>
      <c r="S879">
        <v>1</v>
      </c>
      <c r="T879" t="s">
        <v>32</v>
      </c>
      <c r="U879" t="s">
        <v>38</v>
      </c>
      <c r="V879">
        <v>60859</v>
      </c>
      <c r="W879">
        <v>3.3</v>
      </c>
      <c r="X879">
        <v>8</v>
      </c>
      <c r="Y879" t="s">
        <v>43</v>
      </c>
      <c r="Z879">
        <v>3.23</v>
      </c>
      <c r="AA879" t="s">
        <v>35</v>
      </c>
    </row>
    <row r="880" spans="1:27" x14ac:dyDescent="0.3">
      <c r="A880" t="s">
        <v>52</v>
      </c>
      <c r="B880" t="s">
        <v>64</v>
      </c>
      <c r="C880">
        <v>2025</v>
      </c>
      <c r="D880" t="s">
        <v>29</v>
      </c>
      <c r="E880">
        <v>140244.92000000001</v>
      </c>
      <c r="F880">
        <v>75.7</v>
      </c>
      <c r="G880">
        <v>265</v>
      </c>
      <c r="H880">
        <v>295.8</v>
      </c>
      <c r="I880">
        <v>4.25</v>
      </c>
      <c r="J880">
        <v>187</v>
      </c>
      <c r="K880">
        <v>986</v>
      </c>
      <c r="L880">
        <v>851</v>
      </c>
      <c r="M880" t="s">
        <v>30</v>
      </c>
      <c r="N880">
        <v>7</v>
      </c>
      <c r="O880" t="s">
        <v>65</v>
      </c>
      <c r="P880">
        <v>15.6</v>
      </c>
      <c r="Q880">
        <v>1500</v>
      </c>
      <c r="R880">
        <v>5</v>
      </c>
      <c r="S880">
        <v>2</v>
      </c>
      <c r="T880" t="s">
        <v>47</v>
      </c>
      <c r="U880" t="s">
        <v>33</v>
      </c>
      <c r="V880">
        <v>186365</v>
      </c>
      <c r="W880">
        <v>3.8</v>
      </c>
      <c r="X880">
        <v>5</v>
      </c>
      <c r="Y880" t="s">
        <v>43</v>
      </c>
      <c r="Z880">
        <v>3.5</v>
      </c>
      <c r="AA880" t="s">
        <v>35</v>
      </c>
    </row>
    <row r="881" spans="1:27" x14ac:dyDescent="0.3">
      <c r="A881" t="s">
        <v>71</v>
      </c>
      <c r="B881" t="s">
        <v>104</v>
      </c>
      <c r="C881">
        <v>2024</v>
      </c>
      <c r="D881" t="s">
        <v>29</v>
      </c>
      <c r="E881">
        <v>108909.03</v>
      </c>
      <c r="F881">
        <v>86</v>
      </c>
      <c r="G881">
        <v>283</v>
      </c>
      <c r="H881">
        <v>177.9</v>
      </c>
      <c r="I881">
        <v>3.26</v>
      </c>
      <c r="J881">
        <v>188</v>
      </c>
      <c r="K881">
        <v>1000</v>
      </c>
      <c r="L881">
        <v>954</v>
      </c>
      <c r="M881" t="s">
        <v>54</v>
      </c>
      <c r="N881">
        <v>5</v>
      </c>
      <c r="O881" t="s">
        <v>31</v>
      </c>
      <c r="P881">
        <v>68.3</v>
      </c>
      <c r="Q881">
        <v>2422</v>
      </c>
      <c r="R881">
        <v>3</v>
      </c>
      <c r="S881">
        <v>0</v>
      </c>
      <c r="T881" t="s">
        <v>73</v>
      </c>
      <c r="U881" t="s">
        <v>33</v>
      </c>
      <c r="V881">
        <v>136507</v>
      </c>
      <c r="W881">
        <v>3.5</v>
      </c>
      <c r="X881">
        <v>3</v>
      </c>
      <c r="Y881" t="s">
        <v>34</v>
      </c>
      <c r="Z881">
        <v>3.29</v>
      </c>
      <c r="AA881" t="s">
        <v>35</v>
      </c>
    </row>
    <row r="882" spans="1:27" x14ac:dyDescent="0.3">
      <c r="A882" t="s">
        <v>71</v>
      </c>
      <c r="B882" t="s">
        <v>72</v>
      </c>
      <c r="C882">
        <v>2025</v>
      </c>
      <c r="D882" t="s">
        <v>63</v>
      </c>
      <c r="E882">
        <v>31665.46</v>
      </c>
      <c r="F882">
        <v>68.3</v>
      </c>
      <c r="G882">
        <v>217</v>
      </c>
      <c r="H882">
        <v>133.69999999999999</v>
      </c>
      <c r="I882">
        <v>5.49</v>
      </c>
      <c r="J882">
        <v>171</v>
      </c>
      <c r="K882">
        <v>291</v>
      </c>
      <c r="L882">
        <v>266</v>
      </c>
      <c r="M882" t="s">
        <v>39</v>
      </c>
      <c r="N882">
        <v>5</v>
      </c>
      <c r="O882" t="s">
        <v>46</v>
      </c>
      <c r="P882">
        <v>69.400000000000006</v>
      </c>
      <c r="Q882">
        <v>1935</v>
      </c>
      <c r="R882">
        <v>5</v>
      </c>
      <c r="S882">
        <v>0</v>
      </c>
      <c r="T882" t="s">
        <v>73</v>
      </c>
      <c r="U882" t="s">
        <v>74</v>
      </c>
      <c r="V882">
        <v>162790</v>
      </c>
      <c r="W882">
        <v>3.3</v>
      </c>
      <c r="X882">
        <v>4</v>
      </c>
      <c r="Y882" t="s">
        <v>43</v>
      </c>
      <c r="Z882">
        <v>3.18</v>
      </c>
      <c r="AA882" t="s">
        <v>35</v>
      </c>
    </row>
    <row r="883" spans="1:27" x14ac:dyDescent="0.3">
      <c r="A883" t="s">
        <v>91</v>
      </c>
      <c r="B883" t="s">
        <v>92</v>
      </c>
      <c r="C883">
        <v>2026</v>
      </c>
      <c r="D883" t="s">
        <v>38</v>
      </c>
      <c r="E883">
        <v>125746.52</v>
      </c>
      <c r="F883">
        <v>63.5</v>
      </c>
      <c r="G883">
        <v>224</v>
      </c>
      <c r="H883">
        <v>141.30000000000001</v>
      </c>
      <c r="I883">
        <v>5.05</v>
      </c>
      <c r="J883">
        <v>168</v>
      </c>
      <c r="K883">
        <v>1000</v>
      </c>
      <c r="L883">
        <v>906</v>
      </c>
      <c r="M883" t="s">
        <v>30</v>
      </c>
      <c r="N883">
        <v>5</v>
      </c>
      <c r="O883" t="s">
        <v>56</v>
      </c>
      <c r="P883">
        <v>22.1</v>
      </c>
      <c r="Q883">
        <v>1500</v>
      </c>
      <c r="R883">
        <v>3</v>
      </c>
      <c r="S883">
        <v>2</v>
      </c>
      <c r="T883" t="s">
        <v>32</v>
      </c>
      <c r="U883" t="s">
        <v>33</v>
      </c>
      <c r="V883">
        <v>62950</v>
      </c>
      <c r="W883">
        <v>3.5</v>
      </c>
      <c r="X883">
        <v>6</v>
      </c>
      <c r="Y883" t="s">
        <v>43</v>
      </c>
      <c r="Z883">
        <v>3.53</v>
      </c>
      <c r="AA883" t="s">
        <v>35</v>
      </c>
    </row>
    <row r="884" spans="1:27" x14ac:dyDescent="0.3">
      <c r="A884" t="s">
        <v>52</v>
      </c>
      <c r="B884" t="s">
        <v>64</v>
      </c>
      <c r="C884">
        <v>2024</v>
      </c>
      <c r="D884" t="s">
        <v>50</v>
      </c>
      <c r="E884">
        <v>75201.320000000007</v>
      </c>
      <c r="F884">
        <v>102.8</v>
      </c>
      <c r="G884">
        <v>370</v>
      </c>
      <c r="H884">
        <v>342.3</v>
      </c>
      <c r="I884">
        <v>4.03</v>
      </c>
      <c r="J884">
        <v>185</v>
      </c>
      <c r="K884">
        <v>592</v>
      </c>
      <c r="L884">
        <v>509</v>
      </c>
      <c r="M884" t="s">
        <v>54</v>
      </c>
      <c r="N884">
        <v>5</v>
      </c>
      <c r="O884" t="s">
        <v>31</v>
      </c>
      <c r="P884">
        <v>62.1</v>
      </c>
      <c r="Q884">
        <v>2460</v>
      </c>
      <c r="R884">
        <v>5</v>
      </c>
      <c r="S884">
        <v>2</v>
      </c>
      <c r="T884" t="s">
        <v>47</v>
      </c>
      <c r="U884" t="s">
        <v>38</v>
      </c>
      <c r="V884">
        <v>105880</v>
      </c>
      <c r="W884">
        <v>4.0999999999999996</v>
      </c>
      <c r="X884">
        <v>4</v>
      </c>
      <c r="Y884" t="s">
        <v>43</v>
      </c>
      <c r="Z884">
        <v>3.6</v>
      </c>
      <c r="AA884" t="s">
        <v>35</v>
      </c>
    </row>
    <row r="885" spans="1:27" x14ac:dyDescent="0.3">
      <c r="A885" t="s">
        <v>52</v>
      </c>
      <c r="B885" t="s">
        <v>53</v>
      </c>
      <c r="C885">
        <v>2025</v>
      </c>
      <c r="D885" t="s">
        <v>50</v>
      </c>
      <c r="E885">
        <v>91388.05</v>
      </c>
      <c r="F885">
        <v>100.1</v>
      </c>
      <c r="G885">
        <v>350</v>
      </c>
      <c r="H885">
        <v>249.9</v>
      </c>
      <c r="I885">
        <v>5.26</v>
      </c>
      <c r="J885">
        <v>168</v>
      </c>
      <c r="K885">
        <v>695</v>
      </c>
      <c r="L885">
        <v>616</v>
      </c>
      <c r="M885" t="s">
        <v>39</v>
      </c>
      <c r="N885">
        <v>5</v>
      </c>
      <c r="O885" t="s">
        <v>65</v>
      </c>
      <c r="P885">
        <v>39.9</v>
      </c>
      <c r="Q885">
        <v>1624</v>
      </c>
      <c r="R885">
        <v>4</v>
      </c>
      <c r="S885">
        <v>2</v>
      </c>
      <c r="T885" t="s">
        <v>47</v>
      </c>
      <c r="U885" t="s">
        <v>38</v>
      </c>
      <c r="V885">
        <v>148700</v>
      </c>
      <c r="W885">
        <v>4</v>
      </c>
      <c r="X885">
        <v>5</v>
      </c>
      <c r="Y885" t="s">
        <v>43</v>
      </c>
      <c r="Z885">
        <v>3.5</v>
      </c>
      <c r="AA885" t="s">
        <v>35</v>
      </c>
    </row>
    <row r="886" spans="1:27" x14ac:dyDescent="0.3">
      <c r="A886" t="s">
        <v>84</v>
      </c>
      <c r="B886" t="s">
        <v>99</v>
      </c>
      <c r="C886">
        <v>2024</v>
      </c>
      <c r="D886" t="s">
        <v>68</v>
      </c>
      <c r="E886">
        <v>60849.51</v>
      </c>
      <c r="F886">
        <v>82.5</v>
      </c>
      <c r="G886">
        <v>274</v>
      </c>
      <c r="H886">
        <v>67.099999999999994</v>
      </c>
      <c r="I886">
        <v>7.97</v>
      </c>
      <c r="J886">
        <v>131</v>
      </c>
      <c r="K886">
        <v>622</v>
      </c>
      <c r="L886">
        <v>610</v>
      </c>
      <c r="M886" t="s">
        <v>39</v>
      </c>
      <c r="N886">
        <v>2</v>
      </c>
      <c r="O886" t="s">
        <v>31</v>
      </c>
      <c r="P886">
        <v>71.3</v>
      </c>
      <c r="Q886">
        <v>2747</v>
      </c>
      <c r="R886">
        <v>4</v>
      </c>
      <c r="S886">
        <v>2</v>
      </c>
      <c r="T886" t="s">
        <v>47</v>
      </c>
      <c r="U886" t="s">
        <v>42</v>
      </c>
      <c r="V886">
        <v>58206</v>
      </c>
      <c r="W886">
        <v>3.5</v>
      </c>
      <c r="X886">
        <v>4</v>
      </c>
      <c r="Y886" t="s">
        <v>61</v>
      </c>
      <c r="Z886">
        <v>3.32</v>
      </c>
      <c r="AA886" t="s">
        <v>35</v>
      </c>
    </row>
    <row r="887" spans="1:27" x14ac:dyDescent="0.3">
      <c r="A887" t="s">
        <v>52</v>
      </c>
      <c r="B887" t="s">
        <v>80</v>
      </c>
      <c r="C887">
        <v>2024</v>
      </c>
      <c r="D887" t="s">
        <v>50</v>
      </c>
      <c r="E887">
        <v>131729.26</v>
      </c>
      <c r="F887">
        <v>84.6</v>
      </c>
      <c r="G887">
        <v>307</v>
      </c>
      <c r="H887">
        <v>224.3</v>
      </c>
      <c r="I887">
        <v>4.28</v>
      </c>
      <c r="J887">
        <v>187</v>
      </c>
      <c r="K887">
        <v>943</v>
      </c>
      <c r="L887">
        <v>852</v>
      </c>
      <c r="M887" t="s">
        <v>39</v>
      </c>
      <c r="N887">
        <v>5</v>
      </c>
      <c r="O887" t="s">
        <v>31</v>
      </c>
      <c r="P887">
        <v>53.6</v>
      </c>
      <c r="Q887">
        <v>2319</v>
      </c>
      <c r="R887">
        <v>4</v>
      </c>
      <c r="S887">
        <v>2</v>
      </c>
      <c r="T887" t="s">
        <v>47</v>
      </c>
      <c r="U887" t="s">
        <v>33</v>
      </c>
      <c r="V887">
        <v>162108</v>
      </c>
      <c r="W887">
        <v>3.6</v>
      </c>
      <c r="X887">
        <v>5</v>
      </c>
      <c r="Y887" t="s">
        <v>43</v>
      </c>
      <c r="Z887">
        <v>3.63</v>
      </c>
      <c r="AA887" t="s">
        <v>35</v>
      </c>
    </row>
    <row r="888" spans="1:27" x14ac:dyDescent="0.3">
      <c r="A888" t="s">
        <v>91</v>
      </c>
      <c r="B888" t="s">
        <v>112</v>
      </c>
      <c r="C888">
        <v>2021</v>
      </c>
      <c r="D888" t="s">
        <v>68</v>
      </c>
      <c r="E888">
        <v>82329.27</v>
      </c>
      <c r="F888">
        <v>71.8</v>
      </c>
      <c r="G888">
        <v>258</v>
      </c>
      <c r="H888">
        <v>61.1</v>
      </c>
      <c r="I888">
        <v>7.05</v>
      </c>
      <c r="J888">
        <v>150</v>
      </c>
      <c r="K888">
        <v>569</v>
      </c>
      <c r="L888">
        <v>534</v>
      </c>
      <c r="M888" t="s">
        <v>54</v>
      </c>
      <c r="N888">
        <v>7</v>
      </c>
      <c r="O888" t="s">
        <v>56</v>
      </c>
      <c r="P888">
        <v>15.7</v>
      </c>
      <c r="Q888">
        <v>1723</v>
      </c>
      <c r="R888">
        <v>4</v>
      </c>
      <c r="S888">
        <v>1</v>
      </c>
      <c r="T888" t="s">
        <v>32</v>
      </c>
      <c r="U888" t="s">
        <v>38</v>
      </c>
      <c r="V888">
        <v>59553</v>
      </c>
      <c r="W888">
        <v>3.7</v>
      </c>
      <c r="X888">
        <v>6</v>
      </c>
      <c r="Y888" t="s">
        <v>61</v>
      </c>
      <c r="Z888">
        <v>3.59</v>
      </c>
      <c r="AA888" t="s">
        <v>35</v>
      </c>
    </row>
    <row r="889" spans="1:27" x14ac:dyDescent="0.3">
      <c r="A889" t="s">
        <v>71</v>
      </c>
      <c r="B889" t="s">
        <v>75</v>
      </c>
      <c r="C889">
        <v>2021</v>
      </c>
      <c r="D889" t="s">
        <v>29</v>
      </c>
      <c r="E889">
        <v>91712.12</v>
      </c>
      <c r="F889">
        <v>80.099999999999994</v>
      </c>
      <c r="G889">
        <v>268</v>
      </c>
      <c r="H889">
        <v>233.5</v>
      </c>
      <c r="I889">
        <v>3.28</v>
      </c>
      <c r="J889">
        <v>193</v>
      </c>
      <c r="K889">
        <v>1000</v>
      </c>
      <c r="L889">
        <v>900</v>
      </c>
      <c r="M889" t="s">
        <v>54</v>
      </c>
      <c r="N889">
        <v>5</v>
      </c>
      <c r="O889" t="s">
        <v>56</v>
      </c>
      <c r="P889">
        <v>19.5</v>
      </c>
      <c r="Q889">
        <v>1550</v>
      </c>
      <c r="R889">
        <v>5</v>
      </c>
      <c r="S889">
        <v>1</v>
      </c>
      <c r="T889" t="s">
        <v>73</v>
      </c>
      <c r="U889" t="s">
        <v>38</v>
      </c>
      <c r="V889">
        <v>177248</v>
      </c>
      <c r="W889">
        <v>3.6</v>
      </c>
      <c r="X889">
        <v>3</v>
      </c>
      <c r="Y889" t="s">
        <v>34</v>
      </c>
      <c r="Z889">
        <v>3.35</v>
      </c>
      <c r="AA889" t="s">
        <v>35</v>
      </c>
    </row>
    <row r="890" spans="1:27" x14ac:dyDescent="0.3">
      <c r="A890" t="s">
        <v>52</v>
      </c>
      <c r="B890" t="s">
        <v>53</v>
      </c>
      <c r="C890">
        <v>2024</v>
      </c>
      <c r="D890" t="s">
        <v>68</v>
      </c>
      <c r="E890">
        <v>106609.89</v>
      </c>
      <c r="F890">
        <v>75.599999999999994</v>
      </c>
      <c r="G890">
        <v>299</v>
      </c>
      <c r="H890">
        <v>296.3</v>
      </c>
      <c r="I890">
        <v>6.51</v>
      </c>
      <c r="J890">
        <v>151</v>
      </c>
      <c r="K890">
        <v>784</v>
      </c>
      <c r="L890">
        <v>688</v>
      </c>
      <c r="M890" t="s">
        <v>39</v>
      </c>
      <c r="N890">
        <v>5</v>
      </c>
      <c r="O890" t="s">
        <v>56</v>
      </c>
      <c r="P890">
        <v>27.5</v>
      </c>
      <c r="Q890">
        <v>1673</v>
      </c>
      <c r="R890">
        <v>5</v>
      </c>
      <c r="S890">
        <v>2</v>
      </c>
      <c r="T890" t="s">
        <v>47</v>
      </c>
      <c r="U890" t="s">
        <v>33</v>
      </c>
      <c r="V890">
        <v>103912</v>
      </c>
      <c r="W890">
        <v>3.7</v>
      </c>
      <c r="X890">
        <v>5</v>
      </c>
      <c r="Y890" t="s">
        <v>43</v>
      </c>
      <c r="Z890">
        <v>3.96</v>
      </c>
      <c r="AA890" t="s">
        <v>35</v>
      </c>
    </row>
    <row r="891" spans="1:27" x14ac:dyDescent="0.3">
      <c r="A891" t="s">
        <v>71</v>
      </c>
      <c r="B891" t="s">
        <v>115</v>
      </c>
      <c r="C891">
        <v>2020</v>
      </c>
      <c r="D891" t="s">
        <v>50</v>
      </c>
      <c r="E891">
        <v>36752.050000000003</v>
      </c>
      <c r="F891">
        <v>84.7</v>
      </c>
      <c r="G891">
        <v>308</v>
      </c>
      <c r="H891">
        <v>134.6</v>
      </c>
      <c r="I891">
        <v>4.59</v>
      </c>
      <c r="J891">
        <v>189</v>
      </c>
      <c r="K891">
        <v>380</v>
      </c>
      <c r="L891">
        <v>353</v>
      </c>
      <c r="M891" t="s">
        <v>39</v>
      </c>
      <c r="N891">
        <v>5</v>
      </c>
      <c r="O891" t="s">
        <v>65</v>
      </c>
      <c r="P891">
        <v>22.8</v>
      </c>
      <c r="Q891">
        <v>1500</v>
      </c>
      <c r="R891">
        <v>4</v>
      </c>
      <c r="S891">
        <v>1</v>
      </c>
      <c r="T891" t="s">
        <v>73</v>
      </c>
      <c r="U891" t="s">
        <v>42</v>
      </c>
      <c r="V891">
        <v>178041</v>
      </c>
      <c r="W891">
        <v>3.6</v>
      </c>
      <c r="X891">
        <v>4</v>
      </c>
      <c r="Y891" t="s">
        <v>43</v>
      </c>
      <c r="Z891">
        <v>3.64</v>
      </c>
      <c r="AA891" t="s">
        <v>35</v>
      </c>
    </row>
    <row r="892" spans="1:27" x14ac:dyDescent="0.3">
      <c r="A892" t="s">
        <v>44</v>
      </c>
      <c r="B892" t="s">
        <v>110</v>
      </c>
      <c r="C892">
        <v>2024</v>
      </c>
      <c r="D892" t="s">
        <v>50</v>
      </c>
      <c r="E892">
        <v>55502.07</v>
      </c>
      <c r="F892">
        <v>92.6</v>
      </c>
      <c r="G892">
        <v>331</v>
      </c>
      <c r="H892">
        <v>129.80000000000001</v>
      </c>
      <c r="I892">
        <v>4.2</v>
      </c>
      <c r="J892">
        <v>189</v>
      </c>
      <c r="K892">
        <v>672</v>
      </c>
      <c r="L892">
        <v>611</v>
      </c>
      <c r="M892" t="s">
        <v>30</v>
      </c>
      <c r="N892">
        <v>7</v>
      </c>
      <c r="O892" t="s">
        <v>40</v>
      </c>
      <c r="P892">
        <v>63.7</v>
      </c>
      <c r="Q892">
        <v>2188</v>
      </c>
      <c r="R892">
        <v>5</v>
      </c>
      <c r="S892">
        <v>1</v>
      </c>
      <c r="T892" t="s">
        <v>47</v>
      </c>
      <c r="U892" t="s">
        <v>42</v>
      </c>
      <c r="V892">
        <v>18580</v>
      </c>
      <c r="W892">
        <v>3.7</v>
      </c>
      <c r="X892">
        <v>4</v>
      </c>
      <c r="Y892" t="s">
        <v>43</v>
      </c>
      <c r="Z892">
        <v>3.57</v>
      </c>
      <c r="AA892" t="s">
        <v>43</v>
      </c>
    </row>
    <row r="893" spans="1:27" x14ac:dyDescent="0.3">
      <c r="A893" t="s">
        <v>58</v>
      </c>
      <c r="B893" t="s">
        <v>59</v>
      </c>
      <c r="C893">
        <v>2025</v>
      </c>
      <c r="D893" t="s">
        <v>63</v>
      </c>
      <c r="E893">
        <v>136918.85</v>
      </c>
      <c r="F893">
        <v>55.5</v>
      </c>
      <c r="G893">
        <v>195</v>
      </c>
      <c r="H893">
        <v>96.2</v>
      </c>
      <c r="I893">
        <v>6.97</v>
      </c>
      <c r="J893">
        <v>148</v>
      </c>
      <c r="K893">
        <v>822</v>
      </c>
      <c r="L893">
        <v>776</v>
      </c>
      <c r="M893" t="s">
        <v>30</v>
      </c>
      <c r="N893">
        <v>7</v>
      </c>
      <c r="O893" t="s">
        <v>57</v>
      </c>
      <c r="P893">
        <v>25.1</v>
      </c>
      <c r="Q893">
        <v>1500</v>
      </c>
      <c r="R893">
        <v>5</v>
      </c>
      <c r="S893">
        <v>1</v>
      </c>
      <c r="T893" t="s">
        <v>32</v>
      </c>
      <c r="U893" t="s">
        <v>33</v>
      </c>
      <c r="V893">
        <v>59537</v>
      </c>
      <c r="W893">
        <v>3.5</v>
      </c>
      <c r="X893">
        <v>7</v>
      </c>
      <c r="Y893" t="s">
        <v>43</v>
      </c>
      <c r="Z893">
        <v>3.51</v>
      </c>
      <c r="AA893" t="s">
        <v>35</v>
      </c>
    </row>
    <row r="894" spans="1:27" x14ac:dyDescent="0.3">
      <c r="A894" t="s">
        <v>58</v>
      </c>
      <c r="B894" t="s">
        <v>134</v>
      </c>
      <c r="C894">
        <v>2023</v>
      </c>
      <c r="D894" t="s">
        <v>50</v>
      </c>
      <c r="E894">
        <v>142535.28</v>
      </c>
      <c r="F894">
        <v>94.3</v>
      </c>
      <c r="G894">
        <v>305</v>
      </c>
      <c r="H894">
        <v>114</v>
      </c>
      <c r="I894">
        <v>5.66</v>
      </c>
      <c r="J894">
        <v>169</v>
      </c>
      <c r="K894">
        <v>843</v>
      </c>
      <c r="L894">
        <v>766</v>
      </c>
      <c r="M894" t="s">
        <v>39</v>
      </c>
      <c r="N894">
        <v>7</v>
      </c>
      <c r="O894" t="s">
        <v>65</v>
      </c>
      <c r="P894">
        <v>30.1</v>
      </c>
      <c r="Q894">
        <v>1500</v>
      </c>
      <c r="R894">
        <v>4</v>
      </c>
      <c r="S894">
        <v>1</v>
      </c>
      <c r="T894" t="s">
        <v>32</v>
      </c>
      <c r="U894" t="s">
        <v>33</v>
      </c>
      <c r="V894">
        <v>32410</v>
      </c>
      <c r="W894">
        <v>3.9</v>
      </c>
      <c r="X894">
        <v>8</v>
      </c>
      <c r="Y894" t="s">
        <v>43</v>
      </c>
      <c r="Z894">
        <v>3.23</v>
      </c>
      <c r="AA894" t="s">
        <v>35</v>
      </c>
    </row>
    <row r="895" spans="1:27" x14ac:dyDescent="0.3">
      <c r="A895" t="s">
        <v>27</v>
      </c>
      <c r="B895" t="s">
        <v>83</v>
      </c>
      <c r="C895">
        <v>2025</v>
      </c>
      <c r="D895" t="s">
        <v>29</v>
      </c>
      <c r="E895">
        <v>68256.27</v>
      </c>
      <c r="F895">
        <v>92.8</v>
      </c>
      <c r="G895">
        <v>334</v>
      </c>
      <c r="H895">
        <v>227.4</v>
      </c>
      <c r="I895">
        <v>3.85</v>
      </c>
      <c r="J895">
        <v>182</v>
      </c>
      <c r="K895">
        <v>714</v>
      </c>
      <c r="L895">
        <v>587</v>
      </c>
      <c r="M895" t="s">
        <v>54</v>
      </c>
      <c r="N895">
        <v>5</v>
      </c>
      <c r="O895" t="s">
        <v>65</v>
      </c>
      <c r="P895">
        <v>22.1</v>
      </c>
      <c r="Q895">
        <v>1589</v>
      </c>
      <c r="R895">
        <v>5</v>
      </c>
      <c r="S895">
        <v>0</v>
      </c>
      <c r="T895" t="s">
        <v>32</v>
      </c>
      <c r="U895" t="s">
        <v>38</v>
      </c>
      <c r="V895">
        <v>215601</v>
      </c>
      <c r="W895">
        <v>3.8</v>
      </c>
      <c r="X895">
        <v>5</v>
      </c>
      <c r="Y895" t="s">
        <v>34</v>
      </c>
      <c r="Z895">
        <v>3.6</v>
      </c>
      <c r="AA895" t="s">
        <v>35</v>
      </c>
    </row>
    <row r="896" spans="1:27" x14ac:dyDescent="0.3">
      <c r="A896" t="s">
        <v>91</v>
      </c>
      <c r="B896" t="s">
        <v>97</v>
      </c>
      <c r="C896">
        <v>2025</v>
      </c>
      <c r="D896" t="s">
        <v>38</v>
      </c>
      <c r="E896">
        <v>127970.02</v>
      </c>
      <c r="F896">
        <v>52.7</v>
      </c>
      <c r="G896">
        <v>181</v>
      </c>
      <c r="H896">
        <v>97.5</v>
      </c>
      <c r="I896">
        <v>5.26</v>
      </c>
      <c r="J896">
        <v>171</v>
      </c>
      <c r="K896">
        <v>1000</v>
      </c>
      <c r="L896">
        <v>895</v>
      </c>
      <c r="M896" t="s">
        <v>54</v>
      </c>
      <c r="N896">
        <v>5</v>
      </c>
      <c r="O896" t="s">
        <v>57</v>
      </c>
      <c r="P896">
        <v>18.8</v>
      </c>
      <c r="Q896">
        <v>1671</v>
      </c>
      <c r="R896">
        <v>5</v>
      </c>
      <c r="S896">
        <v>2</v>
      </c>
      <c r="T896" t="s">
        <v>32</v>
      </c>
      <c r="U896" t="s">
        <v>33</v>
      </c>
      <c r="V896">
        <v>25659</v>
      </c>
      <c r="W896">
        <v>3.4</v>
      </c>
      <c r="X896">
        <v>7</v>
      </c>
      <c r="Y896" t="s">
        <v>43</v>
      </c>
      <c r="Z896">
        <v>3.43</v>
      </c>
      <c r="AA896" t="s">
        <v>35</v>
      </c>
    </row>
    <row r="897" spans="1:27" x14ac:dyDescent="0.3">
      <c r="A897" t="s">
        <v>71</v>
      </c>
      <c r="B897" t="s">
        <v>81</v>
      </c>
      <c r="C897">
        <v>2026</v>
      </c>
      <c r="D897" t="s">
        <v>63</v>
      </c>
      <c r="E897">
        <v>71806.41</v>
      </c>
      <c r="F897">
        <v>73</v>
      </c>
      <c r="G897">
        <v>253</v>
      </c>
      <c r="H897">
        <v>140.1</v>
      </c>
      <c r="I897">
        <v>5.98</v>
      </c>
      <c r="J897">
        <v>163</v>
      </c>
      <c r="K897">
        <v>820</v>
      </c>
      <c r="L897">
        <v>765</v>
      </c>
      <c r="M897" t="s">
        <v>30</v>
      </c>
      <c r="N897">
        <v>5</v>
      </c>
      <c r="O897" t="s">
        <v>65</v>
      </c>
      <c r="P897">
        <v>18.5</v>
      </c>
      <c r="Q897">
        <v>1702</v>
      </c>
      <c r="R897">
        <v>4</v>
      </c>
      <c r="S897">
        <v>0</v>
      </c>
      <c r="T897" t="s">
        <v>73</v>
      </c>
      <c r="U897" t="s">
        <v>38</v>
      </c>
      <c r="V897">
        <v>163682</v>
      </c>
      <c r="W897">
        <v>3.4</v>
      </c>
      <c r="X897">
        <v>3</v>
      </c>
      <c r="Y897" t="s">
        <v>43</v>
      </c>
      <c r="Z897">
        <v>3.47</v>
      </c>
      <c r="AA897" t="s">
        <v>35</v>
      </c>
    </row>
    <row r="898" spans="1:27" x14ac:dyDescent="0.3">
      <c r="A898" t="s">
        <v>71</v>
      </c>
      <c r="B898" t="s">
        <v>115</v>
      </c>
      <c r="C898">
        <v>2023</v>
      </c>
      <c r="D898" t="s">
        <v>29</v>
      </c>
      <c r="E898">
        <v>54457.48</v>
      </c>
      <c r="F898">
        <v>80.599999999999994</v>
      </c>
      <c r="G898">
        <v>251</v>
      </c>
      <c r="H898">
        <v>242</v>
      </c>
      <c r="I898">
        <v>4.26</v>
      </c>
      <c r="J898">
        <v>193</v>
      </c>
      <c r="K898">
        <v>518</v>
      </c>
      <c r="L898">
        <v>459</v>
      </c>
      <c r="M898" t="s">
        <v>30</v>
      </c>
      <c r="N898">
        <v>5</v>
      </c>
      <c r="O898" t="s">
        <v>31</v>
      </c>
      <c r="P898">
        <v>74.099999999999994</v>
      </c>
      <c r="Q898">
        <v>2307</v>
      </c>
      <c r="R898">
        <v>4</v>
      </c>
      <c r="S898">
        <v>0</v>
      </c>
      <c r="T898" t="s">
        <v>73</v>
      </c>
      <c r="U898" t="s">
        <v>42</v>
      </c>
      <c r="V898">
        <v>205191</v>
      </c>
      <c r="W898">
        <v>3.4</v>
      </c>
      <c r="X898">
        <v>4</v>
      </c>
      <c r="Y898" t="s">
        <v>43</v>
      </c>
      <c r="Z898">
        <v>3.11</v>
      </c>
      <c r="AA898" t="s">
        <v>35</v>
      </c>
    </row>
    <row r="899" spans="1:27" x14ac:dyDescent="0.3">
      <c r="A899" t="s">
        <v>94</v>
      </c>
      <c r="B899" t="s">
        <v>125</v>
      </c>
      <c r="C899">
        <v>2026</v>
      </c>
      <c r="D899" t="s">
        <v>50</v>
      </c>
      <c r="E899">
        <v>145965.35999999999</v>
      </c>
      <c r="F899">
        <v>78.2</v>
      </c>
      <c r="G899">
        <v>269</v>
      </c>
      <c r="H899">
        <v>138.1</v>
      </c>
      <c r="I899">
        <v>5.46</v>
      </c>
      <c r="J899">
        <v>173</v>
      </c>
      <c r="K899">
        <v>1000</v>
      </c>
      <c r="L899">
        <v>872</v>
      </c>
      <c r="M899" t="s">
        <v>39</v>
      </c>
      <c r="N899">
        <v>7</v>
      </c>
      <c r="O899" t="s">
        <v>57</v>
      </c>
      <c r="P899">
        <v>31.5</v>
      </c>
      <c r="Q899">
        <v>1663</v>
      </c>
      <c r="R899">
        <v>4</v>
      </c>
      <c r="S899">
        <v>2</v>
      </c>
      <c r="T899" t="s">
        <v>32</v>
      </c>
      <c r="U899" t="s">
        <v>33</v>
      </c>
      <c r="V899">
        <v>21092</v>
      </c>
      <c r="W899">
        <v>3.7</v>
      </c>
      <c r="X899">
        <v>6</v>
      </c>
      <c r="Y899" t="s">
        <v>43</v>
      </c>
      <c r="Z899">
        <v>3.44</v>
      </c>
      <c r="AA899" t="s">
        <v>35</v>
      </c>
    </row>
    <row r="900" spans="1:27" x14ac:dyDescent="0.3">
      <c r="A900" t="s">
        <v>52</v>
      </c>
      <c r="B900" t="s">
        <v>86</v>
      </c>
      <c r="C900">
        <v>2025</v>
      </c>
      <c r="D900" t="s">
        <v>29</v>
      </c>
      <c r="E900">
        <v>40997.300000000003</v>
      </c>
      <c r="F900">
        <v>73.3</v>
      </c>
      <c r="G900">
        <v>261</v>
      </c>
      <c r="H900">
        <v>282.8</v>
      </c>
      <c r="I900">
        <v>3.51</v>
      </c>
      <c r="J900">
        <v>198</v>
      </c>
      <c r="K900">
        <v>238</v>
      </c>
      <c r="L900">
        <v>200</v>
      </c>
      <c r="M900" t="s">
        <v>30</v>
      </c>
      <c r="N900">
        <v>5</v>
      </c>
      <c r="O900" t="s">
        <v>65</v>
      </c>
      <c r="P900">
        <v>19.899999999999999</v>
      </c>
      <c r="Q900">
        <v>1637</v>
      </c>
      <c r="R900">
        <v>5</v>
      </c>
      <c r="S900">
        <v>3</v>
      </c>
      <c r="T900" t="s">
        <v>47</v>
      </c>
      <c r="U900" t="s">
        <v>42</v>
      </c>
      <c r="V900">
        <v>192699</v>
      </c>
      <c r="W900">
        <v>3.7</v>
      </c>
      <c r="X900">
        <v>4</v>
      </c>
      <c r="Y900" t="s">
        <v>34</v>
      </c>
      <c r="Z900">
        <v>3.56</v>
      </c>
      <c r="AA900" t="s">
        <v>35</v>
      </c>
    </row>
    <row r="901" spans="1:27" x14ac:dyDescent="0.3">
      <c r="A901" t="s">
        <v>52</v>
      </c>
      <c r="B901" t="s">
        <v>53</v>
      </c>
      <c r="C901">
        <v>2026</v>
      </c>
      <c r="D901" t="s">
        <v>29</v>
      </c>
      <c r="E901">
        <v>147080.28</v>
      </c>
      <c r="F901">
        <v>107.7</v>
      </c>
      <c r="G901">
        <v>395</v>
      </c>
      <c r="H901">
        <v>234.9</v>
      </c>
      <c r="I901">
        <v>3.36</v>
      </c>
      <c r="J901">
        <v>195</v>
      </c>
      <c r="K901">
        <v>1000</v>
      </c>
      <c r="L901">
        <v>883</v>
      </c>
      <c r="M901" t="s">
        <v>30</v>
      </c>
      <c r="N901">
        <v>7</v>
      </c>
      <c r="O901" t="s">
        <v>65</v>
      </c>
      <c r="P901">
        <v>15.1</v>
      </c>
      <c r="Q901">
        <v>1521</v>
      </c>
      <c r="R901">
        <v>5</v>
      </c>
      <c r="S901">
        <v>2</v>
      </c>
      <c r="T901" t="s">
        <v>47</v>
      </c>
      <c r="U901" t="s">
        <v>33</v>
      </c>
      <c r="V901">
        <v>199927</v>
      </c>
      <c r="W901">
        <v>4.3</v>
      </c>
      <c r="X901">
        <v>5</v>
      </c>
      <c r="Y901" t="s">
        <v>34</v>
      </c>
      <c r="Z901">
        <v>3.67</v>
      </c>
      <c r="AA901" t="s">
        <v>35</v>
      </c>
    </row>
    <row r="902" spans="1:27" x14ac:dyDescent="0.3">
      <c r="A902" t="s">
        <v>71</v>
      </c>
      <c r="B902" t="s">
        <v>96</v>
      </c>
      <c r="C902">
        <v>2023</v>
      </c>
      <c r="D902" t="s">
        <v>50</v>
      </c>
      <c r="E902">
        <v>35900.230000000003</v>
      </c>
      <c r="F902">
        <v>88</v>
      </c>
      <c r="G902">
        <v>302</v>
      </c>
      <c r="H902">
        <v>69.900000000000006</v>
      </c>
      <c r="I902">
        <v>4.28</v>
      </c>
      <c r="J902">
        <v>198</v>
      </c>
      <c r="K902">
        <v>358</v>
      </c>
      <c r="L902">
        <v>318</v>
      </c>
      <c r="M902" t="s">
        <v>39</v>
      </c>
      <c r="N902">
        <v>5</v>
      </c>
      <c r="O902" t="s">
        <v>40</v>
      </c>
      <c r="P902">
        <v>42.3</v>
      </c>
      <c r="Q902">
        <v>2227</v>
      </c>
      <c r="R902">
        <v>5</v>
      </c>
      <c r="S902">
        <v>2</v>
      </c>
      <c r="T902" t="s">
        <v>73</v>
      </c>
      <c r="U902" t="s">
        <v>42</v>
      </c>
      <c r="V902">
        <v>176515</v>
      </c>
      <c r="W902">
        <v>3.8</v>
      </c>
      <c r="X902">
        <v>4</v>
      </c>
      <c r="Y902" t="s">
        <v>43</v>
      </c>
      <c r="Z902">
        <v>3.43</v>
      </c>
      <c r="AA902" t="s">
        <v>35</v>
      </c>
    </row>
    <row r="903" spans="1:27" x14ac:dyDescent="0.3">
      <c r="A903" t="s">
        <v>52</v>
      </c>
      <c r="B903" t="s">
        <v>86</v>
      </c>
      <c r="C903">
        <v>2025</v>
      </c>
      <c r="D903" t="s">
        <v>63</v>
      </c>
      <c r="E903">
        <v>76806.22</v>
      </c>
      <c r="F903">
        <v>41.8</v>
      </c>
      <c r="G903">
        <v>166</v>
      </c>
      <c r="H903">
        <v>308.89999999999998</v>
      </c>
      <c r="I903">
        <v>6.47</v>
      </c>
      <c r="J903">
        <v>152</v>
      </c>
      <c r="K903">
        <v>571</v>
      </c>
      <c r="L903">
        <v>531</v>
      </c>
      <c r="M903" t="s">
        <v>39</v>
      </c>
      <c r="N903">
        <v>7</v>
      </c>
      <c r="O903" t="s">
        <v>65</v>
      </c>
      <c r="P903">
        <v>24.3</v>
      </c>
      <c r="Q903">
        <v>1675</v>
      </c>
      <c r="R903">
        <v>5</v>
      </c>
      <c r="S903">
        <v>3</v>
      </c>
      <c r="T903" t="s">
        <v>47</v>
      </c>
      <c r="U903" t="s">
        <v>38</v>
      </c>
      <c r="V903">
        <v>136111</v>
      </c>
      <c r="W903">
        <v>3.6</v>
      </c>
      <c r="X903">
        <v>6</v>
      </c>
      <c r="Y903" t="s">
        <v>43</v>
      </c>
      <c r="Z903">
        <v>3.97</v>
      </c>
      <c r="AA903" t="s">
        <v>35</v>
      </c>
    </row>
    <row r="904" spans="1:27" x14ac:dyDescent="0.3">
      <c r="A904" t="s">
        <v>52</v>
      </c>
      <c r="B904" t="s">
        <v>80</v>
      </c>
      <c r="C904">
        <v>2025</v>
      </c>
      <c r="D904" t="s">
        <v>63</v>
      </c>
      <c r="E904">
        <v>96810.26</v>
      </c>
      <c r="F904">
        <v>47.9</v>
      </c>
      <c r="G904">
        <v>153</v>
      </c>
      <c r="H904">
        <v>220.8</v>
      </c>
      <c r="I904">
        <v>6.85</v>
      </c>
      <c r="J904">
        <v>146</v>
      </c>
      <c r="K904">
        <v>658</v>
      </c>
      <c r="L904">
        <v>607</v>
      </c>
      <c r="M904" t="s">
        <v>39</v>
      </c>
      <c r="N904">
        <v>7</v>
      </c>
      <c r="O904" t="s">
        <v>31</v>
      </c>
      <c r="P904">
        <v>55.2</v>
      </c>
      <c r="Q904">
        <v>2373</v>
      </c>
      <c r="R904">
        <v>4</v>
      </c>
      <c r="S904">
        <v>2</v>
      </c>
      <c r="T904" t="s">
        <v>47</v>
      </c>
      <c r="U904" t="s">
        <v>38</v>
      </c>
      <c r="V904">
        <v>113593</v>
      </c>
      <c r="W904">
        <v>3.9</v>
      </c>
      <c r="X904">
        <v>6</v>
      </c>
      <c r="Y904" t="s">
        <v>43</v>
      </c>
      <c r="Z904">
        <v>3.19</v>
      </c>
      <c r="AA904" t="s">
        <v>35</v>
      </c>
    </row>
    <row r="905" spans="1:27" x14ac:dyDescent="0.3">
      <c r="A905" t="s">
        <v>48</v>
      </c>
      <c r="B905" t="s">
        <v>88</v>
      </c>
      <c r="C905">
        <v>2026</v>
      </c>
      <c r="D905" t="s">
        <v>29</v>
      </c>
      <c r="E905">
        <v>78041.17</v>
      </c>
      <c r="F905">
        <v>113.5</v>
      </c>
      <c r="G905">
        <v>407</v>
      </c>
      <c r="H905">
        <v>168.5</v>
      </c>
      <c r="I905">
        <v>4.13</v>
      </c>
      <c r="J905">
        <v>185</v>
      </c>
      <c r="K905">
        <v>895</v>
      </c>
      <c r="L905">
        <v>813</v>
      </c>
      <c r="M905" t="s">
        <v>54</v>
      </c>
      <c r="N905">
        <v>5</v>
      </c>
      <c r="O905" t="s">
        <v>40</v>
      </c>
      <c r="P905">
        <v>58</v>
      </c>
      <c r="Q905">
        <v>2121</v>
      </c>
      <c r="R905">
        <v>5</v>
      </c>
      <c r="S905">
        <v>0</v>
      </c>
      <c r="T905" t="s">
        <v>51</v>
      </c>
      <c r="U905" t="s">
        <v>38</v>
      </c>
      <c r="V905">
        <v>103428</v>
      </c>
      <c r="W905">
        <v>3.8</v>
      </c>
      <c r="X905">
        <v>4</v>
      </c>
      <c r="Y905" t="s">
        <v>43</v>
      </c>
      <c r="Z905">
        <v>3.59</v>
      </c>
      <c r="AA905" t="s">
        <v>35</v>
      </c>
    </row>
    <row r="906" spans="1:27" x14ac:dyDescent="0.3">
      <c r="A906" t="s">
        <v>27</v>
      </c>
      <c r="B906" t="s">
        <v>93</v>
      </c>
      <c r="C906">
        <v>2025</v>
      </c>
      <c r="D906" t="s">
        <v>63</v>
      </c>
      <c r="E906">
        <v>47861.91</v>
      </c>
      <c r="F906">
        <v>65.3</v>
      </c>
      <c r="G906">
        <v>231</v>
      </c>
      <c r="H906">
        <v>89</v>
      </c>
      <c r="I906">
        <v>6.01</v>
      </c>
      <c r="J906">
        <v>161</v>
      </c>
      <c r="K906">
        <v>443</v>
      </c>
      <c r="L906">
        <v>400</v>
      </c>
      <c r="M906" t="s">
        <v>30</v>
      </c>
      <c r="N906">
        <v>7</v>
      </c>
      <c r="O906" t="s">
        <v>65</v>
      </c>
      <c r="P906">
        <v>34.799999999999997</v>
      </c>
      <c r="Q906">
        <v>1500</v>
      </c>
      <c r="R906">
        <v>3</v>
      </c>
      <c r="S906">
        <v>0</v>
      </c>
      <c r="T906" t="s">
        <v>32</v>
      </c>
      <c r="U906" t="s">
        <v>42</v>
      </c>
      <c r="V906">
        <v>247700</v>
      </c>
      <c r="W906">
        <v>3.2</v>
      </c>
      <c r="X906">
        <v>3</v>
      </c>
      <c r="Y906" t="s">
        <v>43</v>
      </c>
      <c r="Z906">
        <v>3.54</v>
      </c>
      <c r="AA906" t="s">
        <v>35</v>
      </c>
    </row>
    <row r="907" spans="1:27" x14ac:dyDescent="0.3">
      <c r="A907" t="s">
        <v>94</v>
      </c>
      <c r="B907" t="s">
        <v>125</v>
      </c>
      <c r="C907">
        <v>2025</v>
      </c>
      <c r="D907" t="s">
        <v>63</v>
      </c>
      <c r="E907">
        <v>84123.81</v>
      </c>
      <c r="F907">
        <v>68.5</v>
      </c>
      <c r="G907">
        <v>247</v>
      </c>
      <c r="H907">
        <v>136.80000000000001</v>
      </c>
      <c r="I907">
        <v>6.57</v>
      </c>
      <c r="J907">
        <v>149</v>
      </c>
      <c r="K907">
        <v>568</v>
      </c>
      <c r="L907">
        <v>538</v>
      </c>
      <c r="M907" t="s">
        <v>30</v>
      </c>
      <c r="N907">
        <v>5</v>
      </c>
      <c r="O907" t="s">
        <v>56</v>
      </c>
      <c r="P907">
        <v>39.200000000000003</v>
      </c>
      <c r="Q907">
        <v>1666</v>
      </c>
      <c r="R907">
        <v>4</v>
      </c>
      <c r="S907">
        <v>1</v>
      </c>
      <c r="T907" t="s">
        <v>32</v>
      </c>
      <c r="U907" t="s">
        <v>38</v>
      </c>
      <c r="V907">
        <v>60155</v>
      </c>
      <c r="W907">
        <v>3.3</v>
      </c>
      <c r="X907">
        <v>8</v>
      </c>
      <c r="Y907" t="s">
        <v>43</v>
      </c>
      <c r="Z907">
        <v>3.61</v>
      </c>
      <c r="AA907" t="s">
        <v>35</v>
      </c>
    </row>
    <row r="908" spans="1:27" x14ac:dyDescent="0.3">
      <c r="A908" t="s">
        <v>84</v>
      </c>
      <c r="B908" t="s">
        <v>85</v>
      </c>
      <c r="C908">
        <v>2024</v>
      </c>
      <c r="D908" t="s">
        <v>38</v>
      </c>
      <c r="E908">
        <v>62057.63</v>
      </c>
      <c r="F908">
        <v>57.6</v>
      </c>
      <c r="G908">
        <v>207</v>
      </c>
      <c r="H908">
        <v>109.6</v>
      </c>
      <c r="I908">
        <v>6.33</v>
      </c>
      <c r="J908">
        <v>150</v>
      </c>
      <c r="K908">
        <v>732</v>
      </c>
      <c r="L908">
        <v>646</v>
      </c>
      <c r="M908" t="s">
        <v>39</v>
      </c>
      <c r="N908">
        <v>5</v>
      </c>
      <c r="O908" t="s">
        <v>46</v>
      </c>
      <c r="P908">
        <v>69.8</v>
      </c>
      <c r="Q908">
        <v>1502</v>
      </c>
      <c r="R908">
        <v>4</v>
      </c>
      <c r="S908">
        <v>0</v>
      </c>
      <c r="T908" t="s">
        <v>47</v>
      </c>
      <c r="U908" t="s">
        <v>42</v>
      </c>
      <c r="V908">
        <v>65997</v>
      </c>
      <c r="W908">
        <v>3.4</v>
      </c>
      <c r="X908">
        <v>3</v>
      </c>
      <c r="Y908" t="s">
        <v>43</v>
      </c>
      <c r="Z908">
        <v>3.59</v>
      </c>
      <c r="AA908" t="s">
        <v>35</v>
      </c>
    </row>
    <row r="909" spans="1:27" x14ac:dyDescent="0.3">
      <c r="A909" t="s">
        <v>71</v>
      </c>
      <c r="B909" t="s">
        <v>72</v>
      </c>
      <c r="C909">
        <v>2026</v>
      </c>
      <c r="D909" t="s">
        <v>29</v>
      </c>
      <c r="E909">
        <v>95761.12</v>
      </c>
      <c r="F909">
        <v>80.599999999999994</v>
      </c>
      <c r="G909">
        <v>277</v>
      </c>
      <c r="H909">
        <v>210.5</v>
      </c>
      <c r="I909">
        <v>3.84</v>
      </c>
      <c r="J909">
        <v>181</v>
      </c>
      <c r="K909">
        <v>1000</v>
      </c>
      <c r="L909">
        <v>922</v>
      </c>
      <c r="M909" t="s">
        <v>54</v>
      </c>
      <c r="N909">
        <v>5</v>
      </c>
      <c r="O909" t="s">
        <v>57</v>
      </c>
      <c r="P909">
        <v>21.7</v>
      </c>
      <c r="Q909">
        <v>1789</v>
      </c>
      <c r="R909">
        <v>4</v>
      </c>
      <c r="S909">
        <v>1</v>
      </c>
      <c r="T909" t="s">
        <v>73</v>
      </c>
      <c r="U909" t="s">
        <v>38</v>
      </c>
      <c r="V909">
        <v>171938</v>
      </c>
      <c r="W909">
        <v>3.6</v>
      </c>
      <c r="X909">
        <v>3</v>
      </c>
      <c r="Y909" t="s">
        <v>34</v>
      </c>
      <c r="Z909">
        <v>3.44</v>
      </c>
      <c r="AA909" t="s">
        <v>35</v>
      </c>
    </row>
    <row r="910" spans="1:27" x14ac:dyDescent="0.3">
      <c r="A910" t="s">
        <v>71</v>
      </c>
      <c r="B910" t="s">
        <v>115</v>
      </c>
      <c r="C910">
        <v>2024</v>
      </c>
      <c r="D910" t="s">
        <v>63</v>
      </c>
      <c r="E910">
        <v>75732.88</v>
      </c>
      <c r="F910">
        <v>69.3</v>
      </c>
      <c r="G910">
        <v>249</v>
      </c>
      <c r="H910">
        <v>124.1</v>
      </c>
      <c r="I910">
        <v>5.85</v>
      </c>
      <c r="J910">
        <v>161</v>
      </c>
      <c r="K910">
        <v>803</v>
      </c>
      <c r="L910">
        <v>708</v>
      </c>
      <c r="M910" t="s">
        <v>54</v>
      </c>
      <c r="N910">
        <v>5</v>
      </c>
      <c r="O910" t="s">
        <v>31</v>
      </c>
      <c r="P910">
        <v>72.7</v>
      </c>
      <c r="Q910">
        <v>2335</v>
      </c>
      <c r="R910">
        <v>5</v>
      </c>
      <c r="S910">
        <v>0</v>
      </c>
      <c r="T910" t="s">
        <v>73</v>
      </c>
      <c r="U910" t="s">
        <v>38</v>
      </c>
      <c r="V910">
        <v>228964</v>
      </c>
      <c r="W910">
        <v>3.4</v>
      </c>
      <c r="X910">
        <v>4</v>
      </c>
      <c r="Y910" t="s">
        <v>43</v>
      </c>
      <c r="Z910">
        <v>3.59</v>
      </c>
      <c r="AA910" t="s">
        <v>35</v>
      </c>
    </row>
    <row r="911" spans="1:27" x14ac:dyDescent="0.3">
      <c r="A911" t="s">
        <v>27</v>
      </c>
      <c r="B911" t="s">
        <v>28</v>
      </c>
      <c r="C911">
        <v>2024</v>
      </c>
      <c r="D911" t="s">
        <v>38</v>
      </c>
      <c r="E911">
        <v>74047.12</v>
      </c>
      <c r="F911">
        <v>72.599999999999994</v>
      </c>
      <c r="G911">
        <v>248</v>
      </c>
      <c r="H911">
        <v>77.400000000000006</v>
      </c>
      <c r="I911">
        <v>6.4</v>
      </c>
      <c r="J911">
        <v>154</v>
      </c>
      <c r="K911">
        <v>808</v>
      </c>
      <c r="L911">
        <v>703</v>
      </c>
      <c r="M911" t="s">
        <v>54</v>
      </c>
      <c r="N911">
        <v>5</v>
      </c>
      <c r="O911" t="s">
        <v>57</v>
      </c>
      <c r="P911">
        <v>19.399999999999999</v>
      </c>
      <c r="Q911">
        <v>1522</v>
      </c>
      <c r="R911">
        <v>5</v>
      </c>
      <c r="S911">
        <v>1</v>
      </c>
      <c r="T911" t="s">
        <v>32</v>
      </c>
      <c r="U911" t="s">
        <v>38</v>
      </c>
      <c r="V911">
        <v>290963</v>
      </c>
      <c r="W911">
        <v>3.7</v>
      </c>
      <c r="X911">
        <v>4</v>
      </c>
      <c r="Y911" t="s">
        <v>43</v>
      </c>
      <c r="Z911">
        <v>3.42</v>
      </c>
      <c r="AA911" t="s">
        <v>35</v>
      </c>
    </row>
    <row r="912" spans="1:27" x14ac:dyDescent="0.3">
      <c r="A912" t="s">
        <v>48</v>
      </c>
      <c r="B912" t="s">
        <v>60</v>
      </c>
      <c r="C912">
        <v>2026</v>
      </c>
      <c r="D912" t="s">
        <v>29</v>
      </c>
      <c r="E912">
        <v>91033.29</v>
      </c>
      <c r="F912">
        <v>72.5</v>
      </c>
      <c r="G912">
        <v>267</v>
      </c>
      <c r="H912">
        <v>207</v>
      </c>
      <c r="I912">
        <v>3.44</v>
      </c>
      <c r="J912">
        <v>194</v>
      </c>
      <c r="K912">
        <v>1000</v>
      </c>
      <c r="L912">
        <v>949</v>
      </c>
      <c r="M912" t="s">
        <v>30</v>
      </c>
      <c r="N912">
        <v>5</v>
      </c>
      <c r="O912" t="s">
        <v>46</v>
      </c>
      <c r="P912">
        <v>71</v>
      </c>
      <c r="Q912">
        <v>1525</v>
      </c>
      <c r="R912">
        <v>4</v>
      </c>
      <c r="S912">
        <v>0</v>
      </c>
      <c r="T912" t="s">
        <v>51</v>
      </c>
      <c r="U912" t="s">
        <v>38</v>
      </c>
      <c r="V912">
        <v>54833</v>
      </c>
      <c r="W912">
        <v>3.3</v>
      </c>
      <c r="X912">
        <v>4</v>
      </c>
      <c r="Y912" t="s">
        <v>34</v>
      </c>
      <c r="Z912">
        <v>3.68</v>
      </c>
      <c r="AA912" t="s">
        <v>35</v>
      </c>
    </row>
    <row r="913" spans="1:27" x14ac:dyDescent="0.3">
      <c r="A913" t="s">
        <v>71</v>
      </c>
      <c r="B913" t="s">
        <v>75</v>
      </c>
      <c r="C913">
        <v>2024</v>
      </c>
      <c r="D913" t="s">
        <v>68</v>
      </c>
      <c r="E913">
        <v>30843.09</v>
      </c>
      <c r="F913">
        <v>49</v>
      </c>
      <c r="G913">
        <v>171</v>
      </c>
      <c r="H913">
        <v>81.099999999999994</v>
      </c>
      <c r="I913">
        <v>6.63</v>
      </c>
      <c r="J913">
        <v>151</v>
      </c>
      <c r="K913">
        <v>309</v>
      </c>
      <c r="L913">
        <v>285</v>
      </c>
      <c r="M913" t="s">
        <v>30</v>
      </c>
      <c r="N913">
        <v>7</v>
      </c>
      <c r="O913" t="s">
        <v>56</v>
      </c>
      <c r="P913">
        <v>39.5</v>
      </c>
      <c r="Q913">
        <v>1578</v>
      </c>
      <c r="R913">
        <v>4</v>
      </c>
      <c r="S913">
        <v>2</v>
      </c>
      <c r="T913" t="s">
        <v>73</v>
      </c>
      <c r="U913" t="s">
        <v>74</v>
      </c>
      <c r="V913">
        <v>206164</v>
      </c>
      <c r="W913">
        <v>3</v>
      </c>
      <c r="X913">
        <v>4</v>
      </c>
      <c r="Y913" t="s">
        <v>43</v>
      </c>
      <c r="Z913">
        <v>3.49</v>
      </c>
      <c r="AA913" t="s">
        <v>35</v>
      </c>
    </row>
    <row r="914" spans="1:27" x14ac:dyDescent="0.3">
      <c r="A914" t="s">
        <v>91</v>
      </c>
      <c r="B914" t="s">
        <v>122</v>
      </c>
      <c r="C914">
        <v>2021</v>
      </c>
      <c r="D914" t="s">
        <v>38</v>
      </c>
      <c r="E914">
        <v>139020.51</v>
      </c>
      <c r="F914">
        <v>63.5</v>
      </c>
      <c r="G914">
        <v>232</v>
      </c>
      <c r="H914">
        <v>149.69999999999999</v>
      </c>
      <c r="I914">
        <v>7.84</v>
      </c>
      <c r="J914">
        <v>131</v>
      </c>
      <c r="K914">
        <v>1000</v>
      </c>
      <c r="L914">
        <v>950</v>
      </c>
      <c r="M914" t="s">
        <v>39</v>
      </c>
      <c r="N914">
        <v>5</v>
      </c>
      <c r="O914" t="s">
        <v>31</v>
      </c>
      <c r="P914">
        <v>58.7</v>
      </c>
      <c r="Q914">
        <v>2464</v>
      </c>
      <c r="R914">
        <v>5</v>
      </c>
      <c r="S914">
        <v>1</v>
      </c>
      <c r="T914" t="s">
        <v>32</v>
      </c>
      <c r="U914" t="s">
        <v>33</v>
      </c>
      <c r="V914">
        <v>48199</v>
      </c>
      <c r="W914">
        <v>3.4</v>
      </c>
      <c r="X914">
        <v>5</v>
      </c>
      <c r="Y914" t="s">
        <v>61</v>
      </c>
      <c r="Z914">
        <v>3.65</v>
      </c>
      <c r="AA914" t="s">
        <v>35</v>
      </c>
    </row>
    <row r="915" spans="1:27" x14ac:dyDescent="0.3">
      <c r="A915" t="s">
        <v>27</v>
      </c>
      <c r="B915" t="s">
        <v>83</v>
      </c>
      <c r="C915">
        <v>2021</v>
      </c>
      <c r="D915" t="s">
        <v>68</v>
      </c>
      <c r="E915">
        <v>60392.45</v>
      </c>
      <c r="F915">
        <v>68</v>
      </c>
      <c r="G915">
        <v>225</v>
      </c>
      <c r="H915">
        <v>133</v>
      </c>
      <c r="I915">
        <v>7.28</v>
      </c>
      <c r="J915">
        <v>137</v>
      </c>
      <c r="K915">
        <v>628</v>
      </c>
      <c r="L915">
        <v>523</v>
      </c>
      <c r="M915" t="s">
        <v>54</v>
      </c>
      <c r="N915">
        <v>7</v>
      </c>
      <c r="O915" t="s">
        <v>31</v>
      </c>
      <c r="P915">
        <v>54.4</v>
      </c>
      <c r="Q915">
        <v>2360</v>
      </c>
      <c r="R915">
        <v>3</v>
      </c>
      <c r="S915">
        <v>1</v>
      </c>
      <c r="T915" t="s">
        <v>32</v>
      </c>
      <c r="U915" t="s">
        <v>42</v>
      </c>
      <c r="V915">
        <v>256880</v>
      </c>
      <c r="W915">
        <v>3.2</v>
      </c>
      <c r="X915">
        <v>3</v>
      </c>
      <c r="Y915" t="s">
        <v>61</v>
      </c>
      <c r="Z915">
        <v>3.31</v>
      </c>
      <c r="AA915" t="s">
        <v>35</v>
      </c>
    </row>
    <row r="916" spans="1:27" x14ac:dyDescent="0.3">
      <c r="A916" t="s">
        <v>48</v>
      </c>
      <c r="B916" t="s">
        <v>49</v>
      </c>
      <c r="C916">
        <v>2020</v>
      </c>
      <c r="D916" t="s">
        <v>68</v>
      </c>
      <c r="E916">
        <v>26731.95</v>
      </c>
      <c r="F916">
        <v>75.8</v>
      </c>
      <c r="G916">
        <v>257</v>
      </c>
      <c r="H916">
        <v>79.599999999999994</v>
      </c>
      <c r="I916">
        <v>5.97</v>
      </c>
      <c r="J916">
        <v>160</v>
      </c>
      <c r="K916">
        <v>193</v>
      </c>
      <c r="L916">
        <v>200</v>
      </c>
      <c r="M916" t="s">
        <v>54</v>
      </c>
      <c r="N916">
        <v>5</v>
      </c>
      <c r="O916" t="s">
        <v>40</v>
      </c>
      <c r="P916">
        <v>46.3</v>
      </c>
      <c r="Q916">
        <v>1818</v>
      </c>
      <c r="R916">
        <v>5</v>
      </c>
      <c r="S916">
        <v>1</v>
      </c>
      <c r="T916" t="s">
        <v>51</v>
      </c>
      <c r="U916" t="s">
        <v>74</v>
      </c>
      <c r="V916">
        <v>147499</v>
      </c>
      <c r="W916">
        <v>3.3</v>
      </c>
      <c r="X916">
        <v>4</v>
      </c>
      <c r="Y916" t="s">
        <v>43</v>
      </c>
      <c r="Z916">
        <v>3.39</v>
      </c>
      <c r="AA916" t="s">
        <v>35</v>
      </c>
    </row>
    <row r="917" spans="1:27" x14ac:dyDescent="0.3">
      <c r="A917" t="s">
        <v>27</v>
      </c>
      <c r="B917" t="s">
        <v>28</v>
      </c>
      <c r="C917">
        <v>2024</v>
      </c>
      <c r="D917" t="s">
        <v>50</v>
      </c>
      <c r="E917">
        <v>70634.98</v>
      </c>
      <c r="F917">
        <v>89.6</v>
      </c>
      <c r="G917">
        <v>312</v>
      </c>
      <c r="H917">
        <v>79.599999999999994</v>
      </c>
      <c r="I917">
        <v>5.55</v>
      </c>
      <c r="J917">
        <v>173</v>
      </c>
      <c r="K917">
        <v>734</v>
      </c>
      <c r="L917">
        <v>693</v>
      </c>
      <c r="M917" t="s">
        <v>39</v>
      </c>
      <c r="N917">
        <v>5</v>
      </c>
      <c r="O917" t="s">
        <v>56</v>
      </c>
      <c r="P917">
        <v>16.100000000000001</v>
      </c>
      <c r="Q917">
        <v>1613</v>
      </c>
      <c r="R917">
        <v>4</v>
      </c>
      <c r="S917">
        <v>1</v>
      </c>
      <c r="T917" t="s">
        <v>32</v>
      </c>
      <c r="U917" t="s">
        <v>38</v>
      </c>
      <c r="V917">
        <v>289608</v>
      </c>
      <c r="W917">
        <v>3.6</v>
      </c>
      <c r="X917">
        <v>3</v>
      </c>
      <c r="Y917" t="s">
        <v>43</v>
      </c>
      <c r="Z917">
        <v>3.48</v>
      </c>
      <c r="AA917" t="s">
        <v>35</v>
      </c>
    </row>
    <row r="918" spans="1:27" x14ac:dyDescent="0.3">
      <c r="A918" t="s">
        <v>71</v>
      </c>
      <c r="B918" t="s">
        <v>104</v>
      </c>
      <c r="C918">
        <v>2023</v>
      </c>
      <c r="D918" t="s">
        <v>38</v>
      </c>
      <c r="E918">
        <v>25794.27</v>
      </c>
      <c r="F918">
        <v>50.1</v>
      </c>
      <c r="G918">
        <v>188</v>
      </c>
      <c r="H918">
        <v>63.3</v>
      </c>
      <c r="I918">
        <v>7.75</v>
      </c>
      <c r="J918">
        <v>135</v>
      </c>
      <c r="K918">
        <v>216</v>
      </c>
      <c r="L918">
        <v>200</v>
      </c>
      <c r="M918" t="s">
        <v>30</v>
      </c>
      <c r="N918">
        <v>5</v>
      </c>
      <c r="O918" t="s">
        <v>31</v>
      </c>
      <c r="P918">
        <v>67.900000000000006</v>
      </c>
      <c r="Q918">
        <v>2438</v>
      </c>
      <c r="R918">
        <v>3</v>
      </c>
      <c r="S918">
        <v>0</v>
      </c>
      <c r="T918" t="s">
        <v>73</v>
      </c>
      <c r="U918" t="s">
        <v>74</v>
      </c>
      <c r="V918">
        <v>112218</v>
      </c>
      <c r="W918">
        <v>3.6</v>
      </c>
      <c r="X918">
        <v>4</v>
      </c>
      <c r="Y918" t="s">
        <v>61</v>
      </c>
      <c r="Z918">
        <v>3.75</v>
      </c>
      <c r="AA918" t="s">
        <v>35</v>
      </c>
    </row>
    <row r="919" spans="1:27" x14ac:dyDescent="0.3">
      <c r="A919" t="s">
        <v>36</v>
      </c>
      <c r="B919" t="s">
        <v>120</v>
      </c>
      <c r="C919">
        <v>2024</v>
      </c>
      <c r="D919" t="s">
        <v>29</v>
      </c>
      <c r="E919">
        <v>94209.78</v>
      </c>
      <c r="F919">
        <v>108.8</v>
      </c>
      <c r="G919">
        <v>381</v>
      </c>
      <c r="H919">
        <v>202.8</v>
      </c>
      <c r="I919">
        <v>2.58</v>
      </c>
      <c r="J919">
        <v>200</v>
      </c>
      <c r="K919">
        <v>1000</v>
      </c>
      <c r="L919">
        <v>897</v>
      </c>
      <c r="M919" t="s">
        <v>30</v>
      </c>
      <c r="N919">
        <v>5</v>
      </c>
      <c r="O919" t="s">
        <v>57</v>
      </c>
      <c r="P919">
        <v>38.799999999999997</v>
      </c>
      <c r="Q919">
        <v>1660</v>
      </c>
      <c r="R919">
        <v>5</v>
      </c>
      <c r="S919">
        <v>0</v>
      </c>
      <c r="T919" t="s">
        <v>41</v>
      </c>
      <c r="U919" t="s">
        <v>38</v>
      </c>
      <c r="V919">
        <v>1723</v>
      </c>
      <c r="W919">
        <v>4</v>
      </c>
      <c r="X919">
        <v>3</v>
      </c>
      <c r="Y919" t="s">
        <v>34</v>
      </c>
      <c r="Z919">
        <v>3.5</v>
      </c>
      <c r="AA919" t="s">
        <v>69</v>
      </c>
    </row>
    <row r="920" spans="1:27" x14ac:dyDescent="0.3">
      <c r="A920" t="s">
        <v>84</v>
      </c>
      <c r="B920" t="s">
        <v>85</v>
      </c>
      <c r="C920">
        <v>2025</v>
      </c>
      <c r="D920" t="s">
        <v>29</v>
      </c>
      <c r="E920">
        <v>60546.720000000001</v>
      </c>
      <c r="F920">
        <v>113</v>
      </c>
      <c r="G920">
        <v>423</v>
      </c>
      <c r="H920">
        <v>215.3</v>
      </c>
      <c r="I920">
        <v>3.14</v>
      </c>
      <c r="J920">
        <v>200</v>
      </c>
      <c r="K920">
        <v>616</v>
      </c>
      <c r="L920">
        <v>518</v>
      </c>
      <c r="M920" t="s">
        <v>54</v>
      </c>
      <c r="N920">
        <v>5</v>
      </c>
      <c r="O920" t="s">
        <v>57</v>
      </c>
      <c r="P920">
        <v>21.1</v>
      </c>
      <c r="Q920">
        <v>1500</v>
      </c>
      <c r="R920">
        <v>3</v>
      </c>
      <c r="S920">
        <v>1</v>
      </c>
      <c r="T920" t="s">
        <v>47</v>
      </c>
      <c r="U920" t="s">
        <v>42</v>
      </c>
      <c r="V920">
        <v>27560</v>
      </c>
      <c r="W920">
        <v>3.8</v>
      </c>
      <c r="X920">
        <v>5</v>
      </c>
      <c r="Y920" t="s">
        <v>34</v>
      </c>
      <c r="Z920">
        <v>3.74</v>
      </c>
      <c r="AA920" t="s">
        <v>35</v>
      </c>
    </row>
    <row r="921" spans="1:27" x14ac:dyDescent="0.3">
      <c r="A921" t="s">
        <v>52</v>
      </c>
      <c r="B921" t="s">
        <v>80</v>
      </c>
      <c r="C921">
        <v>2025</v>
      </c>
      <c r="D921" t="s">
        <v>38</v>
      </c>
      <c r="E921">
        <v>170547.81</v>
      </c>
      <c r="F921">
        <v>44.5</v>
      </c>
      <c r="G921">
        <v>153</v>
      </c>
      <c r="H921">
        <v>226.9</v>
      </c>
      <c r="I921">
        <v>7.93</v>
      </c>
      <c r="J921">
        <v>132</v>
      </c>
      <c r="K921">
        <v>1000</v>
      </c>
      <c r="L921">
        <v>886</v>
      </c>
      <c r="M921" t="s">
        <v>30</v>
      </c>
      <c r="N921">
        <v>7</v>
      </c>
      <c r="O921" t="s">
        <v>31</v>
      </c>
      <c r="P921">
        <v>64.3</v>
      </c>
      <c r="Q921">
        <v>2453</v>
      </c>
      <c r="R921">
        <v>4</v>
      </c>
      <c r="S921">
        <v>2</v>
      </c>
      <c r="T921" t="s">
        <v>47</v>
      </c>
      <c r="U921" t="s">
        <v>33</v>
      </c>
      <c r="V921">
        <v>192321</v>
      </c>
      <c r="W921">
        <v>3.6</v>
      </c>
      <c r="X921">
        <v>5</v>
      </c>
      <c r="Y921" t="s">
        <v>61</v>
      </c>
      <c r="Z921">
        <v>3.44</v>
      </c>
      <c r="AA921" t="s">
        <v>35</v>
      </c>
    </row>
    <row r="922" spans="1:27" x14ac:dyDescent="0.3">
      <c r="A922" t="s">
        <v>58</v>
      </c>
      <c r="B922" t="s">
        <v>70</v>
      </c>
      <c r="C922">
        <v>2023</v>
      </c>
      <c r="D922" t="s">
        <v>63</v>
      </c>
      <c r="E922">
        <v>82191.199999999997</v>
      </c>
      <c r="F922">
        <v>71.099999999999994</v>
      </c>
      <c r="G922">
        <v>281</v>
      </c>
      <c r="H922">
        <v>116.5</v>
      </c>
      <c r="I922">
        <v>6.68</v>
      </c>
      <c r="J922">
        <v>154</v>
      </c>
      <c r="K922">
        <v>357</v>
      </c>
      <c r="L922">
        <v>352</v>
      </c>
      <c r="M922" t="s">
        <v>54</v>
      </c>
      <c r="N922">
        <v>5</v>
      </c>
      <c r="O922" t="s">
        <v>65</v>
      </c>
      <c r="P922">
        <v>32.200000000000003</v>
      </c>
      <c r="Q922">
        <v>1500</v>
      </c>
      <c r="R922">
        <v>4</v>
      </c>
      <c r="S922">
        <v>1</v>
      </c>
      <c r="T922" t="s">
        <v>32</v>
      </c>
      <c r="U922" t="s">
        <v>38</v>
      </c>
      <c r="V922">
        <v>59566</v>
      </c>
      <c r="W922">
        <v>3.9</v>
      </c>
      <c r="X922">
        <v>8</v>
      </c>
      <c r="Y922" t="s">
        <v>43</v>
      </c>
      <c r="Z922">
        <v>3.95</v>
      </c>
      <c r="AA922" t="s">
        <v>35</v>
      </c>
    </row>
    <row r="923" spans="1:27" x14ac:dyDescent="0.3">
      <c r="A923" t="s">
        <v>76</v>
      </c>
      <c r="B923" t="s">
        <v>87</v>
      </c>
      <c r="C923">
        <v>2025</v>
      </c>
      <c r="D923" t="s">
        <v>38</v>
      </c>
      <c r="E923">
        <v>100947.83</v>
      </c>
      <c r="F923">
        <v>60.5</v>
      </c>
      <c r="G923">
        <v>195</v>
      </c>
      <c r="H923">
        <v>110.8</v>
      </c>
      <c r="I923">
        <v>7.91</v>
      </c>
      <c r="J923">
        <v>135</v>
      </c>
      <c r="K923">
        <v>1000</v>
      </c>
      <c r="L923">
        <v>907</v>
      </c>
      <c r="M923" t="s">
        <v>30</v>
      </c>
      <c r="N923">
        <v>7</v>
      </c>
      <c r="O923" t="s">
        <v>56</v>
      </c>
      <c r="P923">
        <v>36.1</v>
      </c>
      <c r="Q923">
        <v>1597</v>
      </c>
      <c r="R923">
        <v>5</v>
      </c>
      <c r="S923">
        <v>0</v>
      </c>
      <c r="T923" t="s">
        <v>51</v>
      </c>
      <c r="U923" t="s">
        <v>33</v>
      </c>
      <c r="V923">
        <v>101360</v>
      </c>
      <c r="W923">
        <v>3.4</v>
      </c>
      <c r="X923">
        <v>4</v>
      </c>
      <c r="Y923" t="s">
        <v>61</v>
      </c>
      <c r="Z923">
        <v>3.22</v>
      </c>
      <c r="AA923" t="s">
        <v>35</v>
      </c>
    </row>
    <row r="924" spans="1:27" x14ac:dyDescent="0.3">
      <c r="A924" t="s">
        <v>94</v>
      </c>
      <c r="B924" t="s">
        <v>95</v>
      </c>
      <c r="C924">
        <v>2024</v>
      </c>
      <c r="D924" t="s">
        <v>63</v>
      </c>
      <c r="E924">
        <v>106732.12</v>
      </c>
      <c r="F924">
        <v>80</v>
      </c>
      <c r="G924">
        <v>268</v>
      </c>
      <c r="H924">
        <v>74.2</v>
      </c>
      <c r="I924">
        <v>7.52</v>
      </c>
      <c r="J924">
        <v>142</v>
      </c>
      <c r="K924">
        <v>810</v>
      </c>
      <c r="L924">
        <v>693</v>
      </c>
      <c r="M924" t="s">
        <v>39</v>
      </c>
      <c r="N924">
        <v>5</v>
      </c>
      <c r="O924" t="s">
        <v>31</v>
      </c>
      <c r="P924">
        <v>72.900000000000006</v>
      </c>
      <c r="Q924">
        <v>2498</v>
      </c>
      <c r="R924">
        <v>5</v>
      </c>
      <c r="S924">
        <v>2</v>
      </c>
      <c r="T924" t="s">
        <v>32</v>
      </c>
      <c r="U924" t="s">
        <v>33</v>
      </c>
      <c r="V924">
        <v>48443</v>
      </c>
      <c r="W924">
        <v>3.5</v>
      </c>
      <c r="X924">
        <v>7</v>
      </c>
      <c r="Y924" t="s">
        <v>61</v>
      </c>
      <c r="Z924">
        <v>3.35</v>
      </c>
      <c r="AA924" t="s">
        <v>35</v>
      </c>
    </row>
    <row r="925" spans="1:27" x14ac:dyDescent="0.3">
      <c r="A925" t="s">
        <v>84</v>
      </c>
      <c r="B925" t="s">
        <v>106</v>
      </c>
      <c r="C925">
        <v>2026</v>
      </c>
      <c r="D925" t="s">
        <v>38</v>
      </c>
      <c r="E925">
        <v>97985.03</v>
      </c>
      <c r="F925">
        <v>84.1</v>
      </c>
      <c r="G925">
        <v>304</v>
      </c>
      <c r="H925">
        <v>53.7</v>
      </c>
      <c r="I925">
        <v>6.12</v>
      </c>
      <c r="J925">
        <v>167</v>
      </c>
      <c r="K925">
        <v>1000</v>
      </c>
      <c r="L925">
        <v>909</v>
      </c>
      <c r="M925" t="s">
        <v>30</v>
      </c>
      <c r="N925">
        <v>7</v>
      </c>
      <c r="O925" t="s">
        <v>65</v>
      </c>
      <c r="P925">
        <v>39</v>
      </c>
      <c r="Q925">
        <v>1744</v>
      </c>
      <c r="R925">
        <v>5</v>
      </c>
      <c r="S925">
        <v>1</v>
      </c>
      <c r="T925" t="s">
        <v>47</v>
      </c>
      <c r="U925" t="s">
        <v>38</v>
      </c>
      <c r="V925">
        <v>45069</v>
      </c>
      <c r="W925">
        <v>3.5</v>
      </c>
      <c r="X925">
        <v>3</v>
      </c>
      <c r="Y925" t="s">
        <v>43</v>
      </c>
      <c r="Z925">
        <v>3.61</v>
      </c>
      <c r="AA925" t="s">
        <v>35</v>
      </c>
    </row>
    <row r="926" spans="1:27" x14ac:dyDescent="0.3">
      <c r="A926" t="s">
        <v>27</v>
      </c>
      <c r="B926" t="s">
        <v>93</v>
      </c>
      <c r="C926">
        <v>2024</v>
      </c>
      <c r="D926" t="s">
        <v>63</v>
      </c>
      <c r="E926">
        <v>38794.79</v>
      </c>
      <c r="F926">
        <v>77.8</v>
      </c>
      <c r="G926">
        <v>290</v>
      </c>
      <c r="H926">
        <v>97.4</v>
      </c>
      <c r="I926">
        <v>6.67</v>
      </c>
      <c r="J926">
        <v>150</v>
      </c>
      <c r="K926">
        <v>297</v>
      </c>
      <c r="L926">
        <v>256</v>
      </c>
      <c r="M926" t="s">
        <v>39</v>
      </c>
      <c r="N926">
        <v>5</v>
      </c>
      <c r="O926" t="s">
        <v>57</v>
      </c>
      <c r="P926">
        <v>30.9</v>
      </c>
      <c r="Q926">
        <v>1516</v>
      </c>
      <c r="R926">
        <v>5</v>
      </c>
      <c r="S926">
        <v>0</v>
      </c>
      <c r="T926" t="s">
        <v>32</v>
      </c>
      <c r="U926" t="s">
        <v>42</v>
      </c>
      <c r="V926">
        <v>216258</v>
      </c>
      <c r="W926">
        <v>3.8</v>
      </c>
      <c r="X926">
        <v>3</v>
      </c>
      <c r="Y926" t="s">
        <v>43</v>
      </c>
      <c r="Z926">
        <v>3.73</v>
      </c>
      <c r="AA926" t="s">
        <v>35</v>
      </c>
    </row>
    <row r="927" spans="1:27" x14ac:dyDescent="0.3">
      <c r="A927" t="s">
        <v>52</v>
      </c>
      <c r="B927" t="s">
        <v>55</v>
      </c>
      <c r="C927">
        <v>2024</v>
      </c>
      <c r="D927" t="s">
        <v>68</v>
      </c>
      <c r="E927">
        <v>111996.5</v>
      </c>
      <c r="F927">
        <v>50.5</v>
      </c>
      <c r="G927">
        <v>190</v>
      </c>
      <c r="H927">
        <v>287.89999999999998</v>
      </c>
      <c r="I927">
        <v>5.63</v>
      </c>
      <c r="J927">
        <v>165</v>
      </c>
      <c r="K927">
        <v>825</v>
      </c>
      <c r="L927">
        <v>736</v>
      </c>
      <c r="M927" t="s">
        <v>39</v>
      </c>
      <c r="N927">
        <v>5</v>
      </c>
      <c r="O927" t="s">
        <v>46</v>
      </c>
      <c r="P927">
        <v>69.3</v>
      </c>
      <c r="Q927">
        <v>1500</v>
      </c>
      <c r="R927">
        <v>4</v>
      </c>
      <c r="S927">
        <v>3</v>
      </c>
      <c r="T927" t="s">
        <v>47</v>
      </c>
      <c r="U927" t="s">
        <v>33</v>
      </c>
      <c r="V927">
        <v>445661</v>
      </c>
      <c r="W927">
        <v>3.6</v>
      </c>
      <c r="X927">
        <v>5</v>
      </c>
      <c r="Y927" t="s">
        <v>43</v>
      </c>
      <c r="Z927">
        <v>3.76</v>
      </c>
      <c r="AA927" t="s">
        <v>35</v>
      </c>
    </row>
    <row r="928" spans="1:27" x14ac:dyDescent="0.3">
      <c r="A928" t="s">
        <v>71</v>
      </c>
      <c r="B928" t="s">
        <v>104</v>
      </c>
      <c r="C928">
        <v>2026</v>
      </c>
      <c r="D928" t="s">
        <v>50</v>
      </c>
      <c r="E928">
        <v>49411.4</v>
      </c>
      <c r="F928">
        <v>105.1</v>
      </c>
      <c r="G928">
        <v>362</v>
      </c>
      <c r="H928">
        <v>91.4</v>
      </c>
      <c r="I928">
        <v>4.8899999999999997</v>
      </c>
      <c r="J928">
        <v>181</v>
      </c>
      <c r="K928">
        <v>512</v>
      </c>
      <c r="L928">
        <v>489</v>
      </c>
      <c r="M928" t="s">
        <v>54</v>
      </c>
      <c r="N928">
        <v>7</v>
      </c>
      <c r="O928" t="s">
        <v>40</v>
      </c>
      <c r="P928">
        <v>38.700000000000003</v>
      </c>
      <c r="Q928">
        <v>1819</v>
      </c>
      <c r="R928">
        <v>4</v>
      </c>
      <c r="S928">
        <v>1</v>
      </c>
      <c r="T928" t="s">
        <v>73</v>
      </c>
      <c r="U928" t="s">
        <v>42</v>
      </c>
      <c r="V928">
        <v>124104</v>
      </c>
      <c r="W928">
        <v>3.7</v>
      </c>
      <c r="X928">
        <v>4</v>
      </c>
      <c r="Y928" t="s">
        <v>43</v>
      </c>
      <c r="Z928">
        <v>3.44</v>
      </c>
      <c r="AA928" t="s">
        <v>35</v>
      </c>
    </row>
    <row r="929" spans="1:27" x14ac:dyDescent="0.3">
      <c r="A929" t="s">
        <v>48</v>
      </c>
      <c r="B929" t="s">
        <v>123</v>
      </c>
      <c r="C929">
        <v>2023</v>
      </c>
      <c r="D929" t="s">
        <v>63</v>
      </c>
      <c r="E929">
        <v>37474.58</v>
      </c>
      <c r="F929">
        <v>58.6</v>
      </c>
      <c r="G929">
        <v>209</v>
      </c>
      <c r="H929">
        <v>135.69999999999999</v>
      </c>
      <c r="I929">
        <v>7.4</v>
      </c>
      <c r="J929">
        <v>141</v>
      </c>
      <c r="K929">
        <v>306</v>
      </c>
      <c r="L929">
        <v>230</v>
      </c>
      <c r="M929" t="s">
        <v>39</v>
      </c>
      <c r="N929">
        <v>5</v>
      </c>
      <c r="O929" t="s">
        <v>31</v>
      </c>
      <c r="P929">
        <v>52.5</v>
      </c>
      <c r="Q929">
        <v>2381</v>
      </c>
      <c r="R929">
        <v>5</v>
      </c>
      <c r="S929">
        <v>1</v>
      </c>
      <c r="T929" t="s">
        <v>51</v>
      </c>
      <c r="U929" t="s">
        <v>42</v>
      </c>
      <c r="V929">
        <v>67143</v>
      </c>
      <c r="W929">
        <v>3.3</v>
      </c>
      <c r="X929">
        <v>4</v>
      </c>
      <c r="Y929" t="s">
        <v>61</v>
      </c>
      <c r="Z929">
        <v>3.57</v>
      </c>
      <c r="AA929" t="s">
        <v>35</v>
      </c>
    </row>
    <row r="930" spans="1:27" x14ac:dyDescent="0.3">
      <c r="A930" t="s">
        <v>91</v>
      </c>
      <c r="B930" t="s">
        <v>97</v>
      </c>
      <c r="C930">
        <v>2026</v>
      </c>
      <c r="D930" t="s">
        <v>29</v>
      </c>
      <c r="E930">
        <v>148406.75</v>
      </c>
      <c r="F930">
        <v>116.4</v>
      </c>
      <c r="G930">
        <v>409</v>
      </c>
      <c r="H930">
        <v>231.2</v>
      </c>
      <c r="I930">
        <v>4.17</v>
      </c>
      <c r="J930">
        <v>187</v>
      </c>
      <c r="K930">
        <v>1000</v>
      </c>
      <c r="L930">
        <v>922</v>
      </c>
      <c r="M930" t="s">
        <v>30</v>
      </c>
      <c r="N930">
        <v>5</v>
      </c>
      <c r="O930" t="s">
        <v>56</v>
      </c>
      <c r="P930">
        <v>25.9</v>
      </c>
      <c r="Q930">
        <v>1500</v>
      </c>
      <c r="R930">
        <v>4</v>
      </c>
      <c r="S930">
        <v>2</v>
      </c>
      <c r="T930" t="s">
        <v>32</v>
      </c>
      <c r="U930" t="s">
        <v>33</v>
      </c>
      <c r="V930">
        <v>27898</v>
      </c>
      <c r="W930">
        <v>3.8</v>
      </c>
      <c r="X930">
        <v>6</v>
      </c>
      <c r="Y930" t="s">
        <v>43</v>
      </c>
      <c r="Z930">
        <v>3.51</v>
      </c>
      <c r="AA930" t="s">
        <v>35</v>
      </c>
    </row>
    <row r="931" spans="1:27" x14ac:dyDescent="0.3">
      <c r="A931" t="s">
        <v>71</v>
      </c>
      <c r="B931" t="s">
        <v>115</v>
      </c>
      <c r="C931">
        <v>2024</v>
      </c>
      <c r="D931" t="s">
        <v>68</v>
      </c>
      <c r="E931">
        <v>46656.51</v>
      </c>
      <c r="F931">
        <v>45.6</v>
      </c>
      <c r="G931">
        <v>150</v>
      </c>
      <c r="H931">
        <v>62.6</v>
      </c>
      <c r="I931">
        <v>6.11</v>
      </c>
      <c r="J931">
        <v>167</v>
      </c>
      <c r="K931">
        <v>542</v>
      </c>
      <c r="L931">
        <v>509</v>
      </c>
      <c r="M931" t="s">
        <v>30</v>
      </c>
      <c r="N931">
        <v>5</v>
      </c>
      <c r="O931" t="s">
        <v>40</v>
      </c>
      <c r="P931">
        <v>50.9</v>
      </c>
      <c r="Q931">
        <v>2255</v>
      </c>
      <c r="R931">
        <v>5</v>
      </c>
      <c r="S931">
        <v>0</v>
      </c>
      <c r="T931" t="s">
        <v>73</v>
      </c>
      <c r="U931" t="s">
        <v>42</v>
      </c>
      <c r="V931">
        <v>249607</v>
      </c>
      <c r="W931">
        <v>3.3</v>
      </c>
      <c r="X931">
        <v>4</v>
      </c>
      <c r="Y931" t="s">
        <v>43</v>
      </c>
      <c r="Z931">
        <v>3.29</v>
      </c>
      <c r="AA931" t="s">
        <v>35</v>
      </c>
    </row>
    <row r="932" spans="1:27" x14ac:dyDescent="0.3">
      <c r="A932" t="s">
        <v>52</v>
      </c>
      <c r="B932" t="s">
        <v>86</v>
      </c>
      <c r="C932">
        <v>2021</v>
      </c>
      <c r="D932" t="s">
        <v>38</v>
      </c>
      <c r="E932">
        <v>97027.76</v>
      </c>
      <c r="F932">
        <v>71.400000000000006</v>
      </c>
      <c r="G932">
        <v>235</v>
      </c>
      <c r="H932">
        <v>273.3</v>
      </c>
      <c r="I932">
        <v>6.57</v>
      </c>
      <c r="J932">
        <v>150</v>
      </c>
      <c r="K932">
        <v>685</v>
      </c>
      <c r="L932">
        <v>574</v>
      </c>
      <c r="M932" t="s">
        <v>30</v>
      </c>
      <c r="N932">
        <v>5</v>
      </c>
      <c r="O932" t="s">
        <v>46</v>
      </c>
      <c r="P932">
        <v>69.8</v>
      </c>
      <c r="Q932">
        <v>1693</v>
      </c>
      <c r="R932">
        <v>4</v>
      </c>
      <c r="S932">
        <v>2</v>
      </c>
      <c r="T932" t="s">
        <v>47</v>
      </c>
      <c r="U932" t="s">
        <v>38</v>
      </c>
      <c r="V932">
        <v>229836</v>
      </c>
      <c r="W932">
        <v>3.9</v>
      </c>
      <c r="X932">
        <v>4</v>
      </c>
      <c r="Y932" t="s">
        <v>43</v>
      </c>
      <c r="Z932">
        <v>3.29</v>
      </c>
      <c r="AA932" t="s">
        <v>35</v>
      </c>
    </row>
    <row r="933" spans="1:27" x14ac:dyDescent="0.3">
      <c r="A933" t="s">
        <v>58</v>
      </c>
      <c r="B933" t="s">
        <v>70</v>
      </c>
      <c r="C933">
        <v>2026</v>
      </c>
      <c r="D933" t="s">
        <v>63</v>
      </c>
      <c r="E933">
        <v>129546.31</v>
      </c>
      <c r="F933">
        <v>72</v>
      </c>
      <c r="G933">
        <v>248</v>
      </c>
      <c r="H933">
        <v>143.1</v>
      </c>
      <c r="I933">
        <v>5.2</v>
      </c>
      <c r="J933">
        <v>174</v>
      </c>
      <c r="K933">
        <v>759</v>
      </c>
      <c r="L933">
        <v>725</v>
      </c>
      <c r="M933" t="s">
        <v>30</v>
      </c>
      <c r="N933">
        <v>5</v>
      </c>
      <c r="O933" t="s">
        <v>31</v>
      </c>
      <c r="P933">
        <v>57.9</v>
      </c>
      <c r="Q933">
        <v>2639</v>
      </c>
      <c r="R933">
        <v>4</v>
      </c>
      <c r="S933">
        <v>1</v>
      </c>
      <c r="T933" t="s">
        <v>32</v>
      </c>
      <c r="U933" t="s">
        <v>33</v>
      </c>
      <c r="V933">
        <v>57503</v>
      </c>
      <c r="W933">
        <v>3.6</v>
      </c>
      <c r="X933">
        <v>6</v>
      </c>
      <c r="Y933" t="s">
        <v>43</v>
      </c>
      <c r="Z933">
        <v>3.44</v>
      </c>
      <c r="AA933" t="s">
        <v>35</v>
      </c>
    </row>
    <row r="934" spans="1:27" x14ac:dyDescent="0.3">
      <c r="A934" t="s">
        <v>142</v>
      </c>
      <c r="B934">
        <v>2</v>
      </c>
      <c r="C934">
        <v>2025</v>
      </c>
      <c r="D934" t="s">
        <v>29</v>
      </c>
      <c r="E934">
        <v>93833.94</v>
      </c>
      <c r="F934">
        <v>111.8</v>
      </c>
      <c r="G934">
        <v>383</v>
      </c>
      <c r="H934">
        <v>189.1</v>
      </c>
      <c r="I934">
        <v>3.06</v>
      </c>
      <c r="J934">
        <v>200</v>
      </c>
      <c r="K934">
        <v>651</v>
      </c>
      <c r="L934">
        <v>663</v>
      </c>
      <c r="M934" t="s">
        <v>30</v>
      </c>
      <c r="N934">
        <v>5</v>
      </c>
      <c r="O934" t="s">
        <v>57</v>
      </c>
      <c r="P934">
        <v>23.1</v>
      </c>
      <c r="Q934">
        <v>1500</v>
      </c>
      <c r="R934">
        <v>5</v>
      </c>
      <c r="S934">
        <v>0</v>
      </c>
      <c r="T934" t="s">
        <v>131</v>
      </c>
      <c r="U934" t="s">
        <v>38</v>
      </c>
      <c r="V934">
        <v>6307</v>
      </c>
      <c r="W934">
        <v>3.4</v>
      </c>
      <c r="X934">
        <v>4</v>
      </c>
      <c r="Y934" t="s">
        <v>34</v>
      </c>
      <c r="Z934">
        <v>3.43</v>
      </c>
      <c r="AA934" t="s">
        <v>43</v>
      </c>
    </row>
    <row r="935" spans="1:27" x14ac:dyDescent="0.3">
      <c r="A935" t="s">
        <v>76</v>
      </c>
      <c r="B935" t="s">
        <v>117</v>
      </c>
      <c r="C935">
        <v>2023</v>
      </c>
      <c r="D935" t="s">
        <v>63</v>
      </c>
      <c r="E935">
        <v>37474.79</v>
      </c>
      <c r="F935">
        <v>56.5</v>
      </c>
      <c r="G935">
        <v>218</v>
      </c>
      <c r="H935">
        <v>51.4</v>
      </c>
      <c r="I935">
        <v>7.69</v>
      </c>
      <c r="J935">
        <v>134</v>
      </c>
      <c r="K935">
        <v>268</v>
      </c>
      <c r="L935">
        <v>228</v>
      </c>
      <c r="M935" t="s">
        <v>39</v>
      </c>
      <c r="N935">
        <v>7</v>
      </c>
      <c r="O935" t="s">
        <v>46</v>
      </c>
      <c r="P935">
        <v>74.3</v>
      </c>
      <c r="Q935">
        <v>1504</v>
      </c>
      <c r="R935">
        <v>4</v>
      </c>
      <c r="S935">
        <v>0</v>
      </c>
      <c r="T935" t="s">
        <v>51</v>
      </c>
      <c r="U935" t="s">
        <v>42</v>
      </c>
      <c r="V935">
        <v>129662</v>
      </c>
      <c r="W935">
        <v>3.5</v>
      </c>
      <c r="X935">
        <v>3</v>
      </c>
      <c r="Y935" t="s">
        <v>61</v>
      </c>
      <c r="Z935">
        <v>3.86</v>
      </c>
      <c r="AA935" t="s">
        <v>35</v>
      </c>
    </row>
    <row r="936" spans="1:27" x14ac:dyDescent="0.3">
      <c r="A936" t="s">
        <v>52</v>
      </c>
      <c r="B936" t="s">
        <v>80</v>
      </c>
      <c r="C936">
        <v>2025</v>
      </c>
      <c r="D936" t="s">
        <v>68</v>
      </c>
      <c r="E936">
        <v>127335.12</v>
      </c>
      <c r="F936">
        <v>71.900000000000006</v>
      </c>
      <c r="G936">
        <v>270</v>
      </c>
      <c r="H936">
        <v>329.2</v>
      </c>
      <c r="I936">
        <v>5.09</v>
      </c>
      <c r="J936">
        <v>175</v>
      </c>
      <c r="K936">
        <v>976</v>
      </c>
      <c r="L936">
        <v>906</v>
      </c>
      <c r="M936" t="s">
        <v>30</v>
      </c>
      <c r="N936">
        <v>5</v>
      </c>
      <c r="O936" t="s">
        <v>31</v>
      </c>
      <c r="P936">
        <v>73.5</v>
      </c>
      <c r="Q936">
        <v>2328</v>
      </c>
      <c r="R936">
        <v>5</v>
      </c>
      <c r="S936">
        <v>3</v>
      </c>
      <c r="T936" t="s">
        <v>47</v>
      </c>
      <c r="U936" t="s">
        <v>33</v>
      </c>
      <c r="V936">
        <v>188107</v>
      </c>
      <c r="W936">
        <v>3.8</v>
      </c>
      <c r="X936">
        <v>4</v>
      </c>
      <c r="Y936" t="s">
        <v>43</v>
      </c>
      <c r="Z936">
        <v>3.76</v>
      </c>
      <c r="AA936" t="s">
        <v>35</v>
      </c>
    </row>
    <row r="937" spans="1:27" x14ac:dyDescent="0.3">
      <c r="A937" t="s">
        <v>71</v>
      </c>
      <c r="B937" t="s">
        <v>75</v>
      </c>
      <c r="C937">
        <v>2024</v>
      </c>
      <c r="D937" t="s">
        <v>63</v>
      </c>
      <c r="E937">
        <v>50360.89</v>
      </c>
      <c r="F937">
        <v>69.3</v>
      </c>
      <c r="G937">
        <v>238</v>
      </c>
      <c r="H937">
        <v>62.5</v>
      </c>
      <c r="I937">
        <v>7.82</v>
      </c>
      <c r="J937">
        <v>139</v>
      </c>
      <c r="K937">
        <v>602</v>
      </c>
      <c r="L937">
        <v>568</v>
      </c>
      <c r="M937" t="s">
        <v>54</v>
      </c>
      <c r="N937">
        <v>7</v>
      </c>
      <c r="O937" t="s">
        <v>65</v>
      </c>
      <c r="P937">
        <v>22.9</v>
      </c>
      <c r="Q937">
        <v>1615</v>
      </c>
      <c r="R937">
        <v>5</v>
      </c>
      <c r="S937">
        <v>1</v>
      </c>
      <c r="T937" t="s">
        <v>73</v>
      </c>
      <c r="U937" t="s">
        <v>42</v>
      </c>
      <c r="V937">
        <v>209468</v>
      </c>
      <c r="W937">
        <v>3.2</v>
      </c>
      <c r="X937">
        <v>4</v>
      </c>
      <c r="Y937" t="s">
        <v>61</v>
      </c>
      <c r="Z937">
        <v>3.43</v>
      </c>
      <c r="AA937" t="s">
        <v>35</v>
      </c>
    </row>
    <row r="938" spans="1:27" x14ac:dyDescent="0.3">
      <c r="A938" t="s">
        <v>52</v>
      </c>
      <c r="B938" t="s">
        <v>53</v>
      </c>
      <c r="C938">
        <v>2024</v>
      </c>
      <c r="D938" t="s">
        <v>38</v>
      </c>
      <c r="E938">
        <v>152844.99</v>
      </c>
      <c r="F938">
        <v>77.099999999999994</v>
      </c>
      <c r="G938">
        <v>281</v>
      </c>
      <c r="H938">
        <v>258.10000000000002</v>
      </c>
      <c r="I938">
        <v>5.34</v>
      </c>
      <c r="J938">
        <v>172</v>
      </c>
      <c r="K938">
        <v>1000</v>
      </c>
      <c r="L938">
        <v>937</v>
      </c>
      <c r="M938" t="s">
        <v>30</v>
      </c>
      <c r="N938">
        <v>5</v>
      </c>
      <c r="O938" t="s">
        <v>31</v>
      </c>
      <c r="P938">
        <v>59.8</v>
      </c>
      <c r="Q938">
        <v>2696</v>
      </c>
      <c r="R938">
        <v>4</v>
      </c>
      <c r="S938">
        <v>3</v>
      </c>
      <c r="T938" t="s">
        <v>47</v>
      </c>
      <c r="U938" t="s">
        <v>33</v>
      </c>
      <c r="V938">
        <v>153103</v>
      </c>
      <c r="W938">
        <v>4.0999999999999996</v>
      </c>
      <c r="X938">
        <v>5</v>
      </c>
      <c r="Y938" t="s">
        <v>43</v>
      </c>
      <c r="Z938">
        <v>3.64</v>
      </c>
      <c r="AA938" t="s">
        <v>35</v>
      </c>
    </row>
    <row r="939" spans="1:27" x14ac:dyDescent="0.3">
      <c r="A939" t="s">
        <v>102</v>
      </c>
      <c r="B939" t="s">
        <v>128</v>
      </c>
      <c r="C939">
        <v>2025</v>
      </c>
      <c r="D939" t="s">
        <v>29</v>
      </c>
      <c r="E939">
        <v>117871.06</v>
      </c>
      <c r="F939">
        <v>81.900000000000006</v>
      </c>
      <c r="G939">
        <v>280</v>
      </c>
      <c r="H939">
        <v>195.9</v>
      </c>
      <c r="I939">
        <v>3.79</v>
      </c>
      <c r="J939">
        <v>199</v>
      </c>
      <c r="K939">
        <v>1000</v>
      </c>
      <c r="L939">
        <v>922</v>
      </c>
      <c r="M939" t="s">
        <v>54</v>
      </c>
      <c r="N939">
        <v>7</v>
      </c>
      <c r="O939" t="s">
        <v>31</v>
      </c>
      <c r="P939">
        <v>57.1</v>
      </c>
      <c r="Q939">
        <v>2401</v>
      </c>
      <c r="R939">
        <v>5</v>
      </c>
      <c r="S939">
        <v>0</v>
      </c>
      <c r="T939" t="s">
        <v>47</v>
      </c>
      <c r="U939" t="s">
        <v>33</v>
      </c>
      <c r="V939">
        <v>14378</v>
      </c>
      <c r="W939">
        <v>3.8</v>
      </c>
      <c r="X939">
        <v>6</v>
      </c>
      <c r="Y939" t="s">
        <v>34</v>
      </c>
      <c r="Z939">
        <v>3.42</v>
      </c>
      <c r="AA939" t="s">
        <v>43</v>
      </c>
    </row>
    <row r="940" spans="1:27" x14ac:dyDescent="0.3">
      <c r="A940" t="s">
        <v>52</v>
      </c>
      <c r="B940" t="s">
        <v>86</v>
      </c>
      <c r="C940">
        <v>2025</v>
      </c>
      <c r="D940" t="s">
        <v>29</v>
      </c>
      <c r="E940">
        <v>126875.08</v>
      </c>
      <c r="F940">
        <v>98.3</v>
      </c>
      <c r="G940">
        <v>345</v>
      </c>
      <c r="H940">
        <v>202.5</v>
      </c>
      <c r="I940">
        <v>4.3</v>
      </c>
      <c r="J940">
        <v>198</v>
      </c>
      <c r="K940">
        <v>914</v>
      </c>
      <c r="L940">
        <v>835</v>
      </c>
      <c r="M940" t="s">
        <v>30</v>
      </c>
      <c r="N940">
        <v>7</v>
      </c>
      <c r="O940" t="s">
        <v>46</v>
      </c>
      <c r="P940">
        <v>65.400000000000006</v>
      </c>
      <c r="Q940">
        <v>1500</v>
      </c>
      <c r="R940">
        <v>5</v>
      </c>
      <c r="S940">
        <v>2</v>
      </c>
      <c r="T940" t="s">
        <v>47</v>
      </c>
      <c r="U940" t="s">
        <v>33</v>
      </c>
      <c r="V940">
        <v>158417</v>
      </c>
      <c r="W940">
        <v>3.7</v>
      </c>
      <c r="X940">
        <v>5</v>
      </c>
      <c r="Y940" t="s">
        <v>43</v>
      </c>
      <c r="Z940">
        <v>3.51</v>
      </c>
      <c r="AA940" t="s">
        <v>35</v>
      </c>
    </row>
    <row r="941" spans="1:27" x14ac:dyDescent="0.3">
      <c r="A941" t="s">
        <v>48</v>
      </c>
      <c r="B941" t="s">
        <v>79</v>
      </c>
      <c r="C941">
        <v>2024</v>
      </c>
      <c r="D941" t="s">
        <v>50</v>
      </c>
      <c r="E941">
        <v>57850.5</v>
      </c>
      <c r="F941">
        <v>101.6</v>
      </c>
      <c r="G941">
        <v>350</v>
      </c>
      <c r="H941">
        <v>134.1</v>
      </c>
      <c r="I941">
        <v>5.74</v>
      </c>
      <c r="J941">
        <v>162</v>
      </c>
      <c r="K941">
        <v>632</v>
      </c>
      <c r="L941">
        <v>525</v>
      </c>
      <c r="M941" t="s">
        <v>30</v>
      </c>
      <c r="N941">
        <v>5</v>
      </c>
      <c r="O941" t="s">
        <v>57</v>
      </c>
      <c r="P941">
        <v>39.700000000000003</v>
      </c>
      <c r="Q941">
        <v>1735</v>
      </c>
      <c r="R941">
        <v>5</v>
      </c>
      <c r="S941">
        <v>2</v>
      </c>
      <c r="T941" t="s">
        <v>51</v>
      </c>
      <c r="U941" t="s">
        <v>42</v>
      </c>
      <c r="V941">
        <v>125554</v>
      </c>
      <c r="W941">
        <v>3.5</v>
      </c>
      <c r="X941">
        <v>4</v>
      </c>
      <c r="Y941" t="s">
        <v>43</v>
      </c>
      <c r="Z941">
        <v>3.44</v>
      </c>
      <c r="AA941" t="s">
        <v>35</v>
      </c>
    </row>
    <row r="942" spans="1:27" x14ac:dyDescent="0.3">
      <c r="A942" t="s">
        <v>71</v>
      </c>
      <c r="B942" t="s">
        <v>96</v>
      </c>
      <c r="C942">
        <v>2024</v>
      </c>
      <c r="D942" t="s">
        <v>63</v>
      </c>
      <c r="E942">
        <v>70890.539999999994</v>
      </c>
      <c r="F942">
        <v>64.5</v>
      </c>
      <c r="G942">
        <v>242</v>
      </c>
      <c r="H942">
        <v>135.69999999999999</v>
      </c>
      <c r="I942">
        <v>7.45</v>
      </c>
      <c r="J942">
        <v>138</v>
      </c>
      <c r="K942">
        <v>713</v>
      </c>
      <c r="L942">
        <v>594</v>
      </c>
      <c r="M942" t="s">
        <v>30</v>
      </c>
      <c r="N942">
        <v>7</v>
      </c>
      <c r="O942" t="s">
        <v>31</v>
      </c>
      <c r="P942">
        <v>77.400000000000006</v>
      </c>
      <c r="Q942">
        <v>2252</v>
      </c>
      <c r="R942">
        <v>5</v>
      </c>
      <c r="S942">
        <v>1</v>
      </c>
      <c r="T942" t="s">
        <v>73</v>
      </c>
      <c r="U942" t="s">
        <v>38</v>
      </c>
      <c r="V942">
        <v>119629</v>
      </c>
      <c r="W942">
        <v>3.4</v>
      </c>
      <c r="X942">
        <v>4</v>
      </c>
      <c r="Y942" t="s">
        <v>61</v>
      </c>
      <c r="Z942">
        <v>3.75</v>
      </c>
      <c r="AA942" t="s">
        <v>35</v>
      </c>
    </row>
    <row r="943" spans="1:27" x14ac:dyDescent="0.3">
      <c r="A943" t="s">
        <v>48</v>
      </c>
      <c r="B943" t="s">
        <v>79</v>
      </c>
      <c r="C943">
        <v>2024</v>
      </c>
      <c r="D943" t="s">
        <v>29</v>
      </c>
      <c r="E943">
        <v>105759.07</v>
      </c>
      <c r="F943">
        <v>79.7</v>
      </c>
      <c r="G943">
        <v>278</v>
      </c>
      <c r="H943">
        <v>170.3</v>
      </c>
      <c r="I943">
        <v>3.07</v>
      </c>
      <c r="J943">
        <v>200</v>
      </c>
      <c r="K943">
        <v>1000</v>
      </c>
      <c r="L943">
        <v>892</v>
      </c>
      <c r="M943" t="s">
        <v>30</v>
      </c>
      <c r="N943">
        <v>7</v>
      </c>
      <c r="O943" t="s">
        <v>56</v>
      </c>
      <c r="P943">
        <v>16.899999999999999</v>
      </c>
      <c r="Q943">
        <v>1819</v>
      </c>
      <c r="R943">
        <v>3</v>
      </c>
      <c r="S943">
        <v>2</v>
      </c>
      <c r="T943" t="s">
        <v>51</v>
      </c>
      <c r="U943" t="s">
        <v>33</v>
      </c>
      <c r="V943">
        <v>107830</v>
      </c>
      <c r="W943">
        <v>3.6</v>
      </c>
      <c r="X943">
        <v>5</v>
      </c>
      <c r="Y943" t="s">
        <v>34</v>
      </c>
      <c r="Z943">
        <v>3.49</v>
      </c>
      <c r="AA943" t="s">
        <v>35</v>
      </c>
    </row>
    <row r="944" spans="1:27" x14ac:dyDescent="0.3">
      <c r="A944" t="s">
        <v>91</v>
      </c>
      <c r="B944" t="s">
        <v>122</v>
      </c>
      <c r="C944">
        <v>2025</v>
      </c>
      <c r="D944" t="s">
        <v>29</v>
      </c>
      <c r="E944">
        <v>83830.66</v>
      </c>
      <c r="F944">
        <v>91.7</v>
      </c>
      <c r="G944">
        <v>316</v>
      </c>
      <c r="H944">
        <v>249.1</v>
      </c>
      <c r="I944">
        <v>3.65</v>
      </c>
      <c r="J944">
        <v>188</v>
      </c>
      <c r="K944">
        <v>634</v>
      </c>
      <c r="L944">
        <v>606</v>
      </c>
      <c r="M944" t="s">
        <v>54</v>
      </c>
      <c r="N944">
        <v>7</v>
      </c>
      <c r="O944" t="s">
        <v>31</v>
      </c>
      <c r="P944">
        <v>64.3</v>
      </c>
      <c r="Q944">
        <v>2285</v>
      </c>
      <c r="R944">
        <v>4</v>
      </c>
      <c r="S944">
        <v>1</v>
      </c>
      <c r="T944" t="s">
        <v>32</v>
      </c>
      <c r="U944" t="s">
        <v>38</v>
      </c>
      <c r="V944">
        <v>61677</v>
      </c>
      <c r="W944">
        <v>3.4</v>
      </c>
      <c r="X944">
        <v>7</v>
      </c>
      <c r="Y944" t="s">
        <v>34</v>
      </c>
      <c r="Z944">
        <v>3.45</v>
      </c>
      <c r="AA944" t="s">
        <v>35</v>
      </c>
    </row>
    <row r="945" spans="1:27" x14ac:dyDescent="0.3">
      <c r="A945" t="s">
        <v>58</v>
      </c>
      <c r="B945" t="s">
        <v>134</v>
      </c>
      <c r="C945">
        <v>2026</v>
      </c>
      <c r="D945" t="s">
        <v>29</v>
      </c>
      <c r="E945">
        <v>148924.89000000001</v>
      </c>
      <c r="F945">
        <v>98.3</v>
      </c>
      <c r="G945">
        <v>357</v>
      </c>
      <c r="H945">
        <v>181.1</v>
      </c>
      <c r="I945">
        <v>4.0999999999999996</v>
      </c>
      <c r="J945">
        <v>196</v>
      </c>
      <c r="K945">
        <v>945</v>
      </c>
      <c r="L945">
        <v>822</v>
      </c>
      <c r="M945" t="s">
        <v>30</v>
      </c>
      <c r="N945">
        <v>7</v>
      </c>
      <c r="O945" t="s">
        <v>40</v>
      </c>
      <c r="P945">
        <v>61.2</v>
      </c>
      <c r="Q945">
        <v>1889</v>
      </c>
      <c r="R945">
        <v>4</v>
      </c>
      <c r="S945">
        <v>2</v>
      </c>
      <c r="T945" t="s">
        <v>32</v>
      </c>
      <c r="U945" t="s">
        <v>33</v>
      </c>
      <c r="V945">
        <v>66282</v>
      </c>
      <c r="W945">
        <v>3.8</v>
      </c>
      <c r="X945">
        <v>7</v>
      </c>
      <c r="Y945" t="s">
        <v>43</v>
      </c>
      <c r="Z945">
        <v>3.63</v>
      </c>
      <c r="AA945" t="s">
        <v>35</v>
      </c>
    </row>
    <row r="946" spans="1:27" x14ac:dyDescent="0.3">
      <c r="A946" t="s">
        <v>71</v>
      </c>
      <c r="B946" t="s">
        <v>75</v>
      </c>
      <c r="C946">
        <v>2022</v>
      </c>
      <c r="D946" t="s">
        <v>63</v>
      </c>
      <c r="E946">
        <v>49226.29</v>
      </c>
      <c r="F946">
        <v>46.7</v>
      </c>
      <c r="G946">
        <v>177</v>
      </c>
      <c r="H946">
        <v>51.6</v>
      </c>
      <c r="I946">
        <v>5.54</v>
      </c>
      <c r="J946">
        <v>160</v>
      </c>
      <c r="K946">
        <v>529</v>
      </c>
      <c r="L946">
        <v>492</v>
      </c>
      <c r="M946" t="s">
        <v>39</v>
      </c>
      <c r="N946">
        <v>5</v>
      </c>
      <c r="O946" t="s">
        <v>57</v>
      </c>
      <c r="P946">
        <v>20.6</v>
      </c>
      <c r="Q946">
        <v>1609</v>
      </c>
      <c r="R946">
        <v>5</v>
      </c>
      <c r="S946">
        <v>1</v>
      </c>
      <c r="T946" t="s">
        <v>73</v>
      </c>
      <c r="U946" t="s">
        <v>42</v>
      </c>
      <c r="V946">
        <v>172454</v>
      </c>
      <c r="W946">
        <v>3.3</v>
      </c>
      <c r="X946">
        <v>4</v>
      </c>
      <c r="Y946" t="s">
        <v>43</v>
      </c>
      <c r="Z946">
        <v>3.79</v>
      </c>
      <c r="AA946" t="s">
        <v>35</v>
      </c>
    </row>
    <row r="947" spans="1:27" x14ac:dyDescent="0.3">
      <c r="A947" t="s">
        <v>52</v>
      </c>
      <c r="B947" t="s">
        <v>64</v>
      </c>
      <c r="C947">
        <v>2025</v>
      </c>
      <c r="D947" t="s">
        <v>63</v>
      </c>
      <c r="E947">
        <v>29411.54</v>
      </c>
      <c r="F947">
        <v>61.2</v>
      </c>
      <c r="G947">
        <v>220</v>
      </c>
      <c r="H947">
        <v>302.10000000000002</v>
      </c>
      <c r="I947">
        <v>7.98</v>
      </c>
      <c r="J947">
        <v>127</v>
      </c>
      <c r="K947">
        <v>220</v>
      </c>
      <c r="L947">
        <v>213</v>
      </c>
      <c r="M947" t="s">
        <v>30</v>
      </c>
      <c r="N947">
        <v>5</v>
      </c>
      <c r="O947" t="s">
        <v>56</v>
      </c>
      <c r="P947">
        <v>31.9</v>
      </c>
      <c r="Q947">
        <v>1705</v>
      </c>
      <c r="R947">
        <v>5</v>
      </c>
      <c r="S947">
        <v>2</v>
      </c>
      <c r="T947" t="s">
        <v>47</v>
      </c>
      <c r="U947" t="s">
        <v>74</v>
      </c>
      <c r="V947">
        <v>206579</v>
      </c>
      <c r="W947">
        <v>3.6</v>
      </c>
      <c r="X947">
        <v>6</v>
      </c>
      <c r="Y947" t="s">
        <v>61</v>
      </c>
      <c r="Z947">
        <v>3.59</v>
      </c>
      <c r="AA947" t="s">
        <v>35</v>
      </c>
    </row>
    <row r="948" spans="1:27" x14ac:dyDescent="0.3">
      <c r="A948" t="s">
        <v>52</v>
      </c>
      <c r="B948" t="s">
        <v>80</v>
      </c>
      <c r="C948">
        <v>2024</v>
      </c>
      <c r="D948" t="s">
        <v>68</v>
      </c>
      <c r="E948">
        <v>107897.62</v>
      </c>
      <c r="F948">
        <v>47.5</v>
      </c>
      <c r="G948">
        <v>178</v>
      </c>
      <c r="H948">
        <v>311.3</v>
      </c>
      <c r="I948">
        <v>5.76</v>
      </c>
      <c r="J948">
        <v>160</v>
      </c>
      <c r="K948">
        <v>752</v>
      </c>
      <c r="L948">
        <v>668</v>
      </c>
      <c r="M948" t="s">
        <v>39</v>
      </c>
      <c r="N948">
        <v>5</v>
      </c>
      <c r="O948" t="s">
        <v>31</v>
      </c>
      <c r="P948">
        <v>68.7</v>
      </c>
      <c r="Q948">
        <v>2227</v>
      </c>
      <c r="R948">
        <v>5</v>
      </c>
      <c r="S948">
        <v>2</v>
      </c>
      <c r="T948" t="s">
        <v>47</v>
      </c>
      <c r="U948" t="s">
        <v>33</v>
      </c>
      <c r="V948">
        <v>188033</v>
      </c>
      <c r="W948">
        <v>3.4</v>
      </c>
      <c r="X948">
        <v>4</v>
      </c>
      <c r="Y948" t="s">
        <v>43</v>
      </c>
      <c r="Z948">
        <v>3.75</v>
      </c>
      <c r="AA948" t="s">
        <v>35</v>
      </c>
    </row>
    <row r="949" spans="1:27" x14ac:dyDescent="0.3">
      <c r="A949" t="s">
        <v>94</v>
      </c>
      <c r="B949" t="s">
        <v>95</v>
      </c>
      <c r="C949">
        <v>2022</v>
      </c>
      <c r="D949" t="s">
        <v>38</v>
      </c>
      <c r="E949">
        <v>137631.97</v>
      </c>
      <c r="F949">
        <v>43.1</v>
      </c>
      <c r="G949">
        <v>150</v>
      </c>
      <c r="H949">
        <v>69.099999999999994</v>
      </c>
      <c r="I949">
        <v>5.31</v>
      </c>
      <c r="J949">
        <v>168</v>
      </c>
      <c r="K949">
        <v>1000</v>
      </c>
      <c r="L949">
        <v>941</v>
      </c>
      <c r="M949" t="s">
        <v>54</v>
      </c>
      <c r="N949">
        <v>5</v>
      </c>
      <c r="O949" t="s">
        <v>31</v>
      </c>
      <c r="P949">
        <v>68.3</v>
      </c>
      <c r="Q949">
        <v>2791</v>
      </c>
      <c r="R949">
        <v>4</v>
      </c>
      <c r="S949">
        <v>2</v>
      </c>
      <c r="T949" t="s">
        <v>32</v>
      </c>
      <c r="U949" t="s">
        <v>33</v>
      </c>
      <c r="V949">
        <v>74974</v>
      </c>
      <c r="W949">
        <v>3.3</v>
      </c>
      <c r="X949">
        <v>5</v>
      </c>
      <c r="Y949" t="s">
        <v>43</v>
      </c>
      <c r="Z949">
        <v>3.48</v>
      </c>
      <c r="AA949" t="s">
        <v>35</v>
      </c>
    </row>
    <row r="950" spans="1:27" x14ac:dyDescent="0.3">
      <c r="A950" t="s">
        <v>94</v>
      </c>
      <c r="B950" t="s">
        <v>95</v>
      </c>
      <c r="C950">
        <v>2024</v>
      </c>
      <c r="D950" t="s">
        <v>63</v>
      </c>
      <c r="E950">
        <v>65798.710000000006</v>
      </c>
      <c r="F950">
        <v>76.8</v>
      </c>
      <c r="G950">
        <v>250</v>
      </c>
      <c r="H950">
        <v>129.69999999999999</v>
      </c>
      <c r="I950">
        <v>6.28</v>
      </c>
      <c r="J950">
        <v>160</v>
      </c>
      <c r="K950">
        <v>369</v>
      </c>
      <c r="L950">
        <v>263</v>
      </c>
      <c r="M950" t="s">
        <v>54</v>
      </c>
      <c r="N950">
        <v>7</v>
      </c>
      <c r="O950" t="s">
        <v>31</v>
      </c>
      <c r="P950">
        <v>50.6</v>
      </c>
      <c r="Q950">
        <v>2305</v>
      </c>
      <c r="R950">
        <v>4</v>
      </c>
      <c r="S950">
        <v>2</v>
      </c>
      <c r="T950" t="s">
        <v>32</v>
      </c>
      <c r="U950" t="s">
        <v>38</v>
      </c>
      <c r="V950">
        <v>52856</v>
      </c>
      <c r="W950">
        <v>3.8</v>
      </c>
      <c r="X950">
        <v>8</v>
      </c>
      <c r="Y950" t="s">
        <v>43</v>
      </c>
      <c r="Z950">
        <v>3.26</v>
      </c>
      <c r="AA950" t="s">
        <v>35</v>
      </c>
    </row>
    <row r="951" spans="1:27" x14ac:dyDescent="0.3">
      <c r="A951" t="s">
        <v>48</v>
      </c>
      <c r="B951" t="s">
        <v>60</v>
      </c>
      <c r="C951">
        <v>2022</v>
      </c>
      <c r="D951" t="s">
        <v>38</v>
      </c>
      <c r="E951">
        <v>93773.43</v>
      </c>
      <c r="F951">
        <v>61.9</v>
      </c>
      <c r="G951">
        <v>194</v>
      </c>
      <c r="H951">
        <v>129.30000000000001</v>
      </c>
      <c r="I951">
        <v>6.81</v>
      </c>
      <c r="J951">
        <v>152</v>
      </c>
      <c r="K951">
        <v>1000</v>
      </c>
      <c r="L951">
        <v>944</v>
      </c>
      <c r="M951" t="s">
        <v>30</v>
      </c>
      <c r="N951">
        <v>5</v>
      </c>
      <c r="O951" t="s">
        <v>31</v>
      </c>
      <c r="P951">
        <v>60.1</v>
      </c>
      <c r="Q951">
        <v>2450</v>
      </c>
      <c r="R951">
        <v>5</v>
      </c>
      <c r="S951">
        <v>1</v>
      </c>
      <c r="T951" t="s">
        <v>51</v>
      </c>
      <c r="U951" t="s">
        <v>38</v>
      </c>
      <c r="V951">
        <v>126881</v>
      </c>
      <c r="W951">
        <v>3.6</v>
      </c>
      <c r="X951">
        <v>3</v>
      </c>
      <c r="Y951" t="s">
        <v>43</v>
      </c>
      <c r="Z951">
        <v>3.13</v>
      </c>
      <c r="AA951" t="s">
        <v>35</v>
      </c>
    </row>
    <row r="952" spans="1:27" x14ac:dyDescent="0.3">
      <c r="A952" t="s">
        <v>48</v>
      </c>
      <c r="B952" t="s">
        <v>79</v>
      </c>
      <c r="C952">
        <v>2024</v>
      </c>
      <c r="D952" t="s">
        <v>63</v>
      </c>
      <c r="E952">
        <v>57643.94</v>
      </c>
      <c r="F952">
        <v>54.7</v>
      </c>
      <c r="G952">
        <v>170</v>
      </c>
      <c r="H952">
        <v>147.9</v>
      </c>
      <c r="I952">
        <v>6.49</v>
      </c>
      <c r="J952">
        <v>150</v>
      </c>
      <c r="K952">
        <v>606</v>
      </c>
      <c r="L952">
        <v>551</v>
      </c>
      <c r="M952" t="s">
        <v>30</v>
      </c>
      <c r="N952">
        <v>5</v>
      </c>
      <c r="O952" t="s">
        <v>65</v>
      </c>
      <c r="P952">
        <v>37.6</v>
      </c>
      <c r="Q952">
        <v>1686</v>
      </c>
      <c r="R952">
        <v>5</v>
      </c>
      <c r="S952">
        <v>1</v>
      </c>
      <c r="T952" t="s">
        <v>51</v>
      </c>
      <c r="U952" t="s">
        <v>42</v>
      </c>
      <c r="V952">
        <v>149672</v>
      </c>
      <c r="W952">
        <v>3.4</v>
      </c>
      <c r="X952">
        <v>3</v>
      </c>
      <c r="Y952" t="s">
        <v>43</v>
      </c>
      <c r="Z952">
        <v>3.11</v>
      </c>
      <c r="AA952" t="s">
        <v>35</v>
      </c>
    </row>
    <row r="953" spans="1:27" x14ac:dyDescent="0.3">
      <c r="A953" t="s">
        <v>91</v>
      </c>
      <c r="B953" t="s">
        <v>122</v>
      </c>
      <c r="C953">
        <v>2022</v>
      </c>
      <c r="D953" t="s">
        <v>29</v>
      </c>
      <c r="E953">
        <v>102440.51</v>
      </c>
      <c r="F953">
        <v>94.7</v>
      </c>
      <c r="G953">
        <v>337</v>
      </c>
      <c r="H953">
        <v>226.8</v>
      </c>
      <c r="I953">
        <v>3.87</v>
      </c>
      <c r="J953">
        <v>184</v>
      </c>
      <c r="K953">
        <v>790</v>
      </c>
      <c r="L953">
        <v>750</v>
      </c>
      <c r="M953" t="s">
        <v>54</v>
      </c>
      <c r="N953">
        <v>5</v>
      </c>
      <c r="O953" t="s">
        <v>56</v>
      </c>
      <c r="P953">
        <v>32.299999999999997</v>
      </c>
      <c r="Q953">
        <v>1545</v>
      </c>
      <c r="R953">
        <v>3</v>
      </c>
      <c r="S953">
        <v>2</v>
      </c>
      <c r="T953" t="s">
        <v>32</v>
      </c>
      <c r="U953" t="s">
        <v>33</v>
      </c>
      <c r="V953">
        <v>23392</v>
      </c>
      <c r="W953">
        <v>3.7</v>
      </c>
      <c r="X953">
        <v>7</v>
      </c>
      <c r="Y953" t="s">
        <v>34</v>
      </c>
      <c r="Z953">
        <v>3.56</v>
      </c>
      <c r="AA953" t="s">
        <v>35</v>
      </c>
    </row>
    <row r="954" spans="1:27" x14ac:dyDescent="0.3">
      <c r="A954" t="s">
        <v>52</v>
      </c>
      <c r="B954" t="s">
        <v>80</v>
      </c>
      <c r="C954">
        <v>2024</v>
      </c>
      <c r="D954" t="s">
        <v>63</v>
      </c>
      <c r="E954">
        <v>49296.66</v>
      </c>
      <c r="F954">
        <v>41.7</v>
      </c>
      <c r="G954">
        <v>153</v>
      </c>
      <c r="H954">
        <v>274.8</v>
      </c>
      <c r="I954">
        <v>7.39</v>
      </c>
      <c r="J954">
        <v>134</v>
      </c>
      <c r="K954">
        <v>302</v>
      </c>
      <c r="L954">
        <v>303</v>
      </c>
      <c r="M954" t="s">
        <v>39</v>
      </c>
      <c r="N954">
        <v>5</v>
      </c>
      <c r="O954" t="s">
        <v>31</v>
      </c>
      <c r="P954">
        <v>60.8</v>
      </c>
      <c r="Q954">
        <v>2643</v>
      </c>
      <c r="R954">
        <v>5</v>
      </c>
      <c r="S954">
        <v>3</v>
      </c>
      <c r="T954" t="s">
        <v>47</v>
      </c>
      <c r="U954" t="s">
        <v>42</v>
      </c>
      <c r="V954">
        <v>241001</v>
      </c>
      <c r="W954">
        <v>3.7</v>
      </c>
      <c r="X954">
        <v>6</v>
      </c>
      <c r="Y954" t="s">
        <v>61</v>
      </c>
      <c r="Z954">
        <v>3.67</v>
      </c>
      <c r="AA954" t="s">
        <v>35</v>
      </c>
    </row>
    <row r="955" spans="1:27" x14ac:dyDescent="0.3">
      <c r="A955" t="s">
        <v>102</v>
      </c>
      <c r="B955" t="s">
        <v>136</v>
      </c>
      <c r="C955">
        <v>2024</v>
      </c>
      <c r="D955" t="s">
        <v>29</v>
      </c>
      <c r="E955">
        <v>118076.47</v>
      </c>
      <c r="F955">
        <v>74</v>
      </c>
      <c r="G955">
        <v>249</v>
      </c>
      <c r="H955">
        <v>161.6</v>
      </c>
      <c r="I955">
        <v>3.41</v>
      </c>
      <c r="J955">
        <v>194</v>
      </c>
      <c r="K955">
        <v>1000</v>
      </c>
      <c r="L955">
        <v>911</v>
      </c>
      <c r="M955" t="s">
        <v>54</v>
      </c>
      <c r="N955">
        <v>7</v>
      </c>
      <c r="O955" t="s">
        <v>56</v>
      </c>
      <c r="P955">
        <v>35.5</v>
      </c>
      <c r="Q955">
        <v>1514</v>
      </c>
      <c r="R955">
        <v>5</v>
      </c>
      <c r="S955">
        <v>1</v>
      </c>
      <c r="T955" t="s">
        <v>47</v>
      </c>
      <c r="U955" t="s">
        <v>33</v>
      </c>
      <c r="V955">
        <v>656</v>
      </c>
      <c r="W955">
        <v>3.5</v>
      </c>
      <c r="X955">
        <v>5</v>
      </c>
      <c r="Y955" t="s">
        <v>34</v>
      </c>
      <c r="Z955">
        <v>3.36</v>
      </c>
      <c r="AA955" t="s">
        <v>69</v>
      </c>
    </row>
    <row r="956" spans="1:27" x14ac:dyDescent="0.3">
      <c r="A956" t="s">
        <v>27</v>
      </c>
      <c r="B956" t="s">
        <v>78</v>
      </c>
      <c r="C956">
        <v>2023</v>
      </c>
      <c r="D956" t="s">
        <v>38</v>
      </c>
      <c r="E956">
        <v>69215.27</v>
      </c>
      <c r="F956">
        <v>62</v>
      </c>
      <c r="G956">
        <v>197</v>
      </c>
      <c r="H956">
        <v>117.5</v>
      </c>
      <c r="I956">
        <v>7.34</v>
      </c>
      <c r="J956">
        <v>136</v>
      </c>
      <c r="K956">
        <v>704</v>
      </c>
      <c r="L956">
        <v>655</v>
      </c>
      <c r="M956" t="s">
        <v>30</v>
      </c>
      <c r="N956">
        <v>7</v>
      </c>
      <c r="O956" t="s">
        <v>31</v>
      </c>
      <c r="P956">
        <v>74.3</v>
      </c>
      <c r="Q956">
        <v>2586</v>
      </c>
      <c r="R956">
        <v>5</v>
      </c>
      <c r="S956">
        <v>1</v>
      </c>
      <c r="T956" t="s">
        <v>32</v>
      </c>
      <c r="U956" t="s">
        <v>38</v>
      </c>
      <c r="V956">
        <v>211559</v>
      </c>
      <c r="W956">
        <v>3.6</v>
      </c>
      <c r="X956">
        <v>4</v>
      </c>
      <c r="Y956" t="s">
        <v>61</v>
      </c>
      <c r="Z956">
        <v>3.18</v>
      </c>
      <c r="AA956" t="s">
        <v>35</v>
      </c>
    </row>
    <row r="957" spans="1:27" x14ac:dyDescent="0.3">
      <c r="A957" t="s">
        <v>27</v>
      </c>
      <c r="B957" t="s">
        <v>83</v>
      </c>
      <c r="C957">
        <v>2026</v>
      </c>
      <c r="D957" t="s">
        <v>68</v>
      </c>
      <c r="E957">
        <v>86339.6</v>
      </c>
      <c r="F957">
        <v>57.8</v>
      </c>
      <c r="G957">
        <v>217</v>
      </c>
      <c r="H957">
        <v>149.69999999999999</v>
      </c>
      <c r="I957">
        <v>7.31</v>
      </c>
      <c r="J957">
        <v>145</v>
      </c>
      <c r="K957">
        <v>1000</v>
      </c>
      <c r="L957">
        <v>837</v>
      </c>
      <c r="M957" t="s">
        <v>39</v>
      </c>
      <c r="N957">
        <v>5</v>
      </c>
      <c r="O957" t="s">
        <v>65</v>
      </c>
      <c r="P957">
        <v>35</v>
      </c>
      <c r="Q957">
        <v>1882</v>
      </c>
      <c r="R957">
        <v>5</v>
      </c>
      <c r="S957">
        <v>0</v>
      </c>
      <c r="T957" t="s">
        <v>32</v>
      </c>
      <c r="U957" t="s">
        <v>38</v>
      </c>
      <c r="V957">
        <v>279621</v>
      </c>
      <c r="W957">
        <v>3.4</v>
      </c>
      <c r="X957">
        <v>3</v>
      </c>
      <c r="Y957" t="s">
        <v>61</v>
      </c>
      <c r="Z957">
        <v>3.75</v>
      </c>
      <c r="AA957" t="s">
        <v>35</v>
      </c>
    </row>
    <row r="958" spans="1:27" x14ac:dyDescent="0.3">
      <c r="A958" t="s">
        <v>76</v>
      </c>
      <c r="B958" t="s">
        <v>87</v>
      </c>
      <c r="C958">
        <v>2023</v>
      </c>
      <c r="D958" t="s">
        <v>63</v>
      </c>
      <c r="E958">
        <v>41678.26</v>
      </c>
      <c r="F958">
        <v>66.400000000000006</v>
      </c>
      <c r="G958">
        <v>252</v>
      </c>
      <c r="H958">
        <v>83.9</v>
      </c>
      <c r="I958">
        <v>7.12</v>
      </c>
      <c r="J958">
        <v>155</v>
      </c>
      <c r="K958">
        <v>368</v>
      </c>
      <c r="L958">
        <v>362</v>
      </c>
      <c r="M958" t="s">
        <v>30</v>
      </c>
      <c r="N958">
        <v>5</v>
      </c>
      <c r="O958" t="s">
        <v>46</v>
      </c>
      <c r="P958">
        <v>69.3</v>
      </c>
      <c r="Q958">
        <v>1580</v>
      </c>
      <c r="R958">
        <v>4</v>
      </c>
      <c r="S958">
        <v>1</v>
      </c>
      <c r="T958" t="s">
        <v>51</v>
      </c>
      <c r="U958" t="s">
        <v>42</v>
      </c>
      <c r="V958">
        <v>52756</v>
      </c>
      <c r="W958">
        <v>3.3</v>
      </c>
      <c r="X958">
        <v>4</v>
      </c>
      <c r="Y958" t="s">
        <v>61</v>
      </c>
      <c r="Z958">
        <v>3.8</v>
      </c>
      <c r="AA958" t="s">
        <v>35</v>
      </c>
    </row>
    <row r="959" spans="1:27" x14ac:dyDescent="0.3">
      <c r="A959" t="s">
        <v>52</v>
      </c>
      <c r="B959" t="s">
        <v>80</v>
      </c>
      <c r="C959">
        <v>2025</v>
      </c>
      <c r="D959" t="s">
        <v>38</v>
      </c>
      <c r="E959">
        <v>131326.82</v>
      </c>
      <c r="F959">
        <v>44.5</v>
      </c>
      <c r="G959">
        <v>172</v>
      </c>
      <c r="H959">
        <v>271</v>
      </c>
      <c r="I959">
        <v>6.26</v>
      </c>
      <c r="J959">
        <v>164</v>
      </c>
      <c r="K959">
        <v>951</v>
      </c>
      <c r="L959">
        <v>870</v>
      </c>
      <c r="M959" t="s">
        <v>30</v>
      </c>
      <c r="N959">
        <v>5</v>
      </c>
      <c r="O959" t="s">
        <v>31</v>
      </c>
      <c r="P959">
        <v>73.099999999999994</v>
      </c>
      <c r="Q959">
        <v>2711</v>
      </c>
      <c r="R959">
        <v>5</v>
      </c>
      <c r="S959">
        <v>2</v>
      </c>
      <c r="T959" t="s">
        <v>47</v>
      </c>
      <c r="U959" t="s">
        <v>33</v>
      </c>
      <c r="V959">
        <v>195107</v>
      </c>
      <c r="W959">
        <v>3.7</v>
      </c>
      <c r="X959">
        <v>5</v>
      </c>
      <c r="Y959" t="s">
        <v>43</v>
      </c>
      <c r="Z959">
        <v>3.87</v>
      </c>
      <c r="AA959" t="s">
        <v>35</v>
      </c>
    </row>
    <row r="960" spans="1:27" x14ac:dyDescent="0.3">
      <c r="A960" t="s">
        <v>52</v>
      </c>
      <c r="B960" t="s">
        <v>86</v>
      </c>
      <c r="C960">
        <v>2025</v>
      </c>
      <c r="D960" t="s">
        <v>63</v>
      </c>
      <c r="E960">
        <v>106034.49</v>
      </c>
      <c r="F960">
        <v>82.6</v>
      </c>
      <c r="G960">
        <v>286</v>
      </c>
      <c r="H960">
        <v>201.7</v>
      </c>
      <c r="I960">
        <v>6.63</v>
      </c>
      <c r="J960">
        <v>151</v>
      </c>
      <c r="K960">
        <v>719</v>
      </c>
      <c r="L960">
        <v>582</v>
      </c>
      <c r="M960" t="s">
        <v>39</v>
      </c>
      <c r="N960">
        <v>7</v>
      </c>
      <c r="O960" t="s">
        <v>46</v>
      </c>
      <c r="P960">
        <v>75.5</v>
      </c>
      <c r="Q960">
        <v>1771</v>
      </c>
      <c r="R960">
        <v>5</v>
      </c>
      <c r="S960">
        <v>2</v>
      </c>
      <c r="T960" t="s">
        <v>47</v>
      </c>
      <c r="U960" t="s">
        <v>33</v>
      </c>
      <c r="V960">
        <v>136623</v>
      </c>
      <c r="W960">
        <v>3.7</v>
      </c>
      <c r="X960">
        <v>6</v>
      </c>
      <c r="Y960" t="s">
        <v>43</v>
      </c>
      <c r="Z960">
        <v>3.46</v>
      </c>
      <c r="AA960" t="s">
        <v>35</v>
      </c>
    </row>
    <row r="961" spans="1:27" x14ac:dyDescent="0.3">
      <c r="A961" t="s">
        <v>44</v>
      </c>
      <c r="B961" t="s">
        <v>62</v>
      </c>
      <c r="C961">
        <v>2023</v>
      </c>
      <c r="D961" t="s">
        <v>29</v>
      </c>
      <c r="E961">
        <v>60380.4</v>
      </c>
      <c r="F961">
        <v>91.2</v>
      </c>
      <c r="G961">
        <v>308</v>
      </c>
      <c r="H961">
        <v>182.4</v>
      </c>
      <c r="I961">
        <v>3.99</v>
      </c>
      <c r="J961">
        <v>199</v>
      </c>
      <c r="K961">
        <v>753</v>
      </c>
      <c r="L961">
        <v>660</v>
      </c>
      <c r="M961" t="s">
        <v>54</v>
      </c>
      <c r="N961">
        <v>7</v>
      </c>
      <c r="O961" t="s">
        <v>46</v>
      </c>
      <c r="P961">
        <v>76.900000000000006</v>
      </c>
      <c r="Q961">
        <v>1584</v>
      </c>
      <c r="R961">
        <v>3</v>
      </c>
      <c r="S961">
        <v>1</v>
      </c>
      <c r="T961" t="s">
        <v>47</v>
      </c>
      <c r="U961" t="s">
        <v>42</v>
      </c>
      <c r="V961">
        <v>8909</v>
      </c>
      <c r="W961">
        <v>3.8</v>
      </c>
      <c r="X961">
        <v>3</v>
      </c>
      <c r="Y961" t="s">
        <v>34</v>
      </c>
      <c r="Z961">
        <v>3.38</v>
      </c>
      <c r="AA961" t="s">
        <v>43</v>
      </c>
    </row>
    <row r="962" spans="1:27" x14ac:dyDescent="0.3">
      <c r="A962" t="s">
        <v>52</v>
      </c>
      <c r="B962" t="s">
        <v>55</v>
      </c>
      <c r="C962">
        <v>2024</v>
      </c>
      <c r="D962" t="s">
        <v>29</v>
      </c>
      <c r="E962">
        <v>141348.91</v>
      </c>
      <c r="F962">
        <v>115.7</v>
      </c>
      <c r="G962">
        <v>409</v>
      </c>
      <c r="H962">
        <v>243.6</v>
      </c>
      <c r="I962">
        <v>3.11</v>
      </c>
      <c r="J962">
        <v>200</v>
      </c>
      <c r="K962">
        <v>1000</v>
      </c>
      <c r="L962">
        <v>942</v>
      </c>
      <c r="M962" t="s">
        <v>30</v>
      </c>
      <c r="N962">
        <v>5</v>
      </c>
      <c r="O962" t="s">
        <v>57</v>
      </c>
      <c r="P962">
        <v>26.6</v>
      </c>
      <c r="Q962">
        <v>1540</v>
      </c>
      <c r="R962">
        <v>4</v>
      </c>
      <c r="S962">
        <v>2</v>
      </c>
      <c r="T962" t="s">
        <v>47</v>
      </c>
      <c r="U962" t="s">
        <v>33</v>
      </c>
      <c r="V962">
        <v>490678</v>
      </c>
      <c r="W962">
        <v>4.5</v>
      </c>
      <c r="X962">
        <v>4</v>
      </c>
      <c r="Y962" t="s">
        <v>34</v>
      </c>
      <c r="Z962">
        <v>3.54</v>
      </c>
      <c r="AA962" t="s">
        <v>35</v>
      </c>
    </row>
    <row r="963" spans="1:27" x14ac:dyDescent="0.3">
      <c r="A963" t="s">
        <v>48</v>
      </c>
      <c r="B963" t="s">
        <v>79</v>
      </c>
      <c r="C963">
        <v>2025</v>
      </c>
      <c r="D963" t="s">
        <v>63</v>
      </c>
      <c r="E963">
        <v>33502.19</v>
      </c>
      <c r="F963">
        <v>82.4</v>
      </c>
      <c r="G963">
        <v>304</v>
      </c>
      <c r="H963">
        <v>74.7</v>
      </c>
      <c r="I963">
        <v>7.22</v>
      </c>
      <c r="J963">
        <v>144</v>
      </c>
      <c r="K963">
        <v>220</v>
      </c>
      <c r="L963">
        <v>238</v>
      </c>
      <c r="M963" t="s">
        <v>39</v>
      </c>
      <c r="N963">
        <v>7</v>
      </c>
      <c r="O963" t="s">
        <v>46</v>
      </c>
      <c r="P963">
        <v>76.5</v>
      </c>
      <c r="Q963">
        <v>1588</v>
      </c>
      <c r="R963">
        <v>4</v>
      </c>
      <c r="S963">
        <v>0</v>
      </c>
      <c r="T963" t="s">
        <v>51</v>
      </c>
      <c r="U963" t="s">
        <v>74</v>
      </c>
      <c r="V963">
        <v>70571</v>
      </c>
      <c r="W963">
        <v>3.5</v>
      </c>
      <c r="X963">
        <v>4</v>
      </c>
      <c r="Y963" t="s">
        <v>61</v>
      </c>
      <c r="Z963">
        <v>3.69</v>
      </c>
      <c r="AA963" t="s">
        <v>35</v>
      </c>
    </row>
    <row r="964" spans="1:27" x14ac:dyDescent="0.3">
      <c r="A964" t="s">
        <v>71</v>
      </c>
      <c r="B964" t="s">
        <v>72</v>
      </c>
      <c r="C964">
        <v>2025</v>
      </c>
      <c r="D964" t="s">
        <v>38</v>
      </c>
      <c r="E964">
        <v>98579.06</v>
      </c>
      <c r="F964">
        <v>64.3</v>
      </c>
      <c r="G964">
        <v>224</v>
      </c>
      <c r="H964">
        <v>56.8</v>
      </c>
      <c r="I964">
        <v>6.74</v>
      </c>
      <c r="J964">
        <v>143</v>
      </c>
      <c r="K964">
        <v>1000</v>
      </c>
      <c r="L964">
        <v>891</v>
      </c>
      <c r="M964" t="s">
        <v>30</v>
      </c>
      <c r="N964">
        <v>5</v>
      </c>
      <c r="O964" t="s">
        <v>57</v>
      </c>
      <c r="P964">
        <v>19.3</v>
      </c>
      <c r="Q964">
        <v>1606</v>
      </c>
      <c r="R964">
        <v>5</v>
      </c>
      <c r="S964">
        <v>0</v>
      </c>
      <c r="T964" t="s">
        <v>73</v>
      </c>
      <c r="U964" t="s">
        <v>38</v>
      </c>
      <c r="V964">
        <v>142672</v>
      </c>
      <c r="W964">
        <v>3.3</v>
      </c>
      <c r="X964">
        <v>3</v>
      </c>
      <c r="Y964" t="s">
        <v>43</v>
      </c>
      <c r="Z964">
        <v>3.48</v>
      </c>
      <c r="AA964" t="s">
        <v>35</v>
      </c>
    </row>
    <row r="965" spans="1:27" x14ac:dyDescent="0.3">
      <c r="A965" t="s">
        <v>27</v>
      </c>
      <c r="B965" t="s">
        <v>83</v>
      </c>
      <c r="C965">
        <v>2024</v>
      </c>
      <c r="D965" t="s">
        <v>63</v>
      </c>
      <c r="E965">
        <v>29413.61</v>
      </c>
      <c r="F965">
        <v>69.3</v>
      </c>
      <c r="G965">
        <v>264</v>
      </c>
      <c r="H965">
        <v>107.2</v>
      </c>
      <c r="I965">
        <v>7.54</v>
      </c>
      <c r="J965">
        <v>131</v>
      </c>
      <c r="K965">
        <v>186</v>
      </c>
      <c r="L965">
        <v>208</v>
      </c>
      <c r="M965" t="s">
        <v>30</v>
      </c>
      <c r="N965">
        <v>5</v>
      </c>
      <c r="O965" t="s">
        <v>40</v>
      </c>
      <c r="P965">
        <v>38.299999999999997</v>
      </c>
      <c r="Q965">
        <v>2196</v>
      </c>
      <c r="R965">
        <v>5</v>
      </c>
      <c r="S965">
        <v>1</v>
      </c>
      <c r="T965" t="s">
        <v>32</v>
      </c>
      <c r="U965" t="s">
        <v>74</v>
      </c>
      <c r="V965">
        <v>268683</v>
      </c>
      <c r="W965">
        <v>3.6</v>
      </c>
      <c r="X965">
        <v>4</v>
      </c>
      <c r="Y965" t="s">
        <v>61</v>
      </c>
      <c r="Z965">
        <v>3.81</v>
      </c>
      <c r="AA965" t="s">
        <v>35</v>
      </c>
    </row>
    <row r="966" spans="1:27" x14ac:dyDescent="0.3">
      <c r="A966" t="s">
        <v>71</v>
      </c>
      <c r="B966" t="s">
        <v>75</v>
      </c>
      <c r="C966">
        <v>2025</v>
      </c>
      <c r="D966" t="s">
        <v>50</v>
      </c>
      <c r="E966">
        <v>32535.18</v>
      </c>
      <c r="F966">
        <v>92</v>
      </c>
      <c r="G966">
        <v>307</v>
      </c>
      <c r="H966">
        <v>138.69999999999999</v>
      </c>
      <c r="I966">
        <v>5.28</v>
      </c>
      <c r="J966">
        <v>175</v>
      </c>
      <c r="K966">
        <v>341</v>
      </c>
      <c r="L966">
        <v>309</v>
      </c>
      <c r="M966" t="s">
        <v>54</v>
      </c>
      <c r="N966">
        <v>5</v>
      </c>
      <c r="O966" t="s">
        <v>65</v>
      </c>
      <c r="P966">
        <v>39.200000000000003</v>
      </c>
      <c r="Q966">
        <v>1704</v>
      </c>
      <c r="R966">
        <v>4</v>
      </c>
      <c r="S966">
        <v>2</v>
      </c>
      <c r="T966" t="s">
        <v>73</v>
      </c>
      <c r="U966" t="s">
        <v>74</v>
      </c>
      <c r="V966">
        <v>218123</v>
      </c>
      <c r="W966">
        <v>3.5</v>
      </c>
      <c r="X966">
        <v>3</v>
      </c>
      <c r="Y966" t="s">
        <v>43</v>
      </c>
      <c r="Z966">
        <v>3.34</v>
      </c>
      <c r="AA966" t="s">
        <v>35</v>
      </c>
    </row>
    <row r="967" spans="1:27" x14ac:dyDescent="0.3">
      <c r="A967" t="s">
        <v>27</v>
      </c>
      <c r="B967" t="s">
        <v>82</v>
      </c>
      <c r="C967">
        <v>2024</v>
      </c>
      <c r="D967" t="s">
        <v>29</v>
      </c>
      <c r="E967">
        <v>106703.67</v>
      </c>
      <c r="F967">
        <v>90.5</v>
      </c>
      <c r="G967">
        <v>330</v>
      </c>
      <c r="H967">
        <v>247.6</v>
      </c>
      <c r="I967">
        <v>4.38</v>
      </c>
      <c r="J967">
        <v>192</v>
      </c>
      <c r="K967">
        <v>1000</v>
      </c>
      <c r="L967">
        <v>884</v>
      </c>
      <c r="M967" t="s">
        <v>54</v>
      </c>
      <c r="N967">
        <v>7</v>
      </c>
      <c r="O967" t="s">
        <v>46</v>
      </c>
      <c r="P967">
        <v>61.7</v>
      </c>
      <c r="Q967">
        <v>1614</v>
      </c>
      <c r="R967">
        <v>5</v>
      </c>
      <c r="S967">
        <v>0</v>
      </c>
      <c r="T967" t="s">
        <v>32</v>
      </c>
      <c r="U967" t="s">
        <v>33</v>
      </c>
      <c r="V967">
        <v>282713</v>
      </c>
      <c r="W967">
        <v>3.5</v>
      </c>
      <c r="X967">
        <v>3</v>
      </c>
      <c r="Y967" t="s">
        <v>43</v>
      </c>
      <c r="Z967">
        <v>3.65</v>
      </c>
      <c r="AA967" t="s">
        <v>35</v>
      </c>
    </row>
    <row r="968" spans="1:27" x14ac:dyDescent="0.3">
      <c r="A968" t="s">
        <v>44</v>
      </c>
      <c r="B968" t="s">
        <v>109</v>
      </c>
      <c r="C968">
        <v>2025</v>
      </c>
      <c r="D968" t="s">
        <v>38</v>
      </c>
      <c r="E968">
        <v>61871.83</v>
      </c>
      <c r="F968">
        <v>57.9</v>
      </c>
      <c r="G968">
        <v>176</v>
      </c>
      <c r="H968">
        <v>120.9</v>
      </c>
      <c r="I968">
        <v>5.75</v>
      </c>
      <c r="J968">
        <v>168</v>
      </c>
      <c r="K968">
        <v>782</v>
      </c>
      <c r="L968">
        <v>728</v>
      </c>
      <c r="M968" t="s">
        <v>54</v>
      </c>
      <c r="N968">
        <v>5</v>
      </c>
      <c r="O968" t="s">
        <v>56</v>
      </c>
      <c r="P968">
        <v>24.9</v>
      </c>
      <c r="Q968">
        <v>1500</v>
      </c>
      <c r="R968">
        <v>5</v>
      </c>
      <c r="S968">
        <v>0</v>
      </c>
      <c r="T968" t="s">
        <v>47</v>
      </c>
      <c r="U968" t="s">
        <v>42</v>
      </c>
      <c r="V968">
        <v>10487</v>
      </c>
      <c r="W968">
        <v>3.2</v>
      </c>
      <c r="X968">
        <v>3</v>
      </c>
      <c r="Y968" t="s">
        <v>43</v>
      </c>
      <c r="Z968">
        <v>3.04</v>
      </c>
      <c r="AA968" t="s">
        <v>43</v>
      </c>
    </row>
    <row r="969" spans="1:27" x14ac:dyDescent="0.3">
      <c r="A969" t="s">
        <v>71</v>
      </c>
      <c r="B969" t="s">
        <v>81</v>
      </c>
      <c r="C969">
        <v>2024</v>
      </c>
      <c r="D969" t="s">
        <v>63</v>
      </c>
      <c r="E969">
        <v>31743.27</v>
      </c>
      <c r="F969">
        <v>82.5</v>
      </c>
      <c r="G969">
        <v>285</v>
      </c>
      <c r="H969">
        <v>136.5</v>
      </c>
      <c r="I969">
        <v>5.75</v>
      </c>
      <c r="J969">
        <v>166</v>
      </c>
      <c r="K969">
        <v>292</v>
      </c>
      <c r="L969">
        <v>292</v>
      </c>
      <c r="M969" t="s">
        <v>30</v>
      </c>
      <c r="N969">
        <v>5</v>
      </c>
      <c r="O969" t="s">
        <v>40</v>
      </c>
      <c r="P969">
        <v>63.5</v>
      </c>
      <c r="Q969">
        <v>1787</v>
      </c>
      <c r="R969">
        <v>4</v>
      </c>
      <c r="S969">
        <v>1</v>
      </c>
      <c r="T969" t="s">
        <v>73</v>
      </c>
      <c r="U969" t="s">
        <v>74</v>
      </c>
      <c r="V969">
        <v>226541</v>
      </c>
      <c r="W969">
        <v>3.6</v>
      </c>
      <c r="X969">
        <v>3</v>
      </c>
      <c r="Y969" t="s">
        <v>43</v>
      </c>
      <c r="Z969">
        <v>3.45</v>
      </c>
      <c r="AA969" t="s">
        <v>35</v>
      </c>
    </row>
    <row r="970" spans="1:27" x14ac:dyDescent="0.3">
      <c r="A970" t="s">
        <v>48</v>
      </c>
      <c r="B970" t="s">
        <v>49</v>
      </c>
      <c r="C970">
        <v>2025</v>
      </c>
      <c r="D970" t="s">
        <v>29</v>
      </c>
      <c r="E970">
        <v>72347.59</v>
      </c>
      <c r="F970">
        <v>112</v>
      </c>
      <c r="G970">
        <v>369</v>
      </c>
      <c r="H970">
        <v>204.8</v>
      </c>
      <c r="I970">
        <v>4.18</v>
      </c>
      <c r="J970">
        <v>185</v>
      </c>
      <c r="K970">
        <v>800</v>
      </c>
      <c r="L970">
        <v>714</v>
      </c>
      <c r="M970" t="s">
        <v>30</v>
      </c>
      <c r="N970">
        <v>7</v>
      </c>
      <c r="O970" t="s">
        <v>40</v>
      </c>
      <c r="P970">
        <v>37.5</v>
      </c>
      <c r="Q970">
        <v>2315</v>
      </c>
      <c r="R970">
        <v>3</v>
      </c>
      <c r="S970">
        <v>0</v>
      </c>
      <c r="T970" t="s">
        <v>51</v>
      </c>
      <c r="U970" t="s">
        <v>38</v>
      </c>
      <c r="V970">
        <v>144057</v>
      </c>
      <c r="W970">
        <v>3.6</v>
      </c>
      <c r="X970">
        <v>3</v>
      </c>
      <c r="Y970" t="s">
        <v>43</v>
      </c>
      <c r="Z970">
        <v>3.29</v>
      </c>
      <c r="AA970" t="s">
        <v>35</v>
      </c>
    </row>
    <row r="971" spans="1:27" x14ac:dyDescent="0.3">
      <c r="A971" t="s">
        <v>76</v>
      </c>
      <c r="B971" t="s">
        <v>87</v>
      </c>
      <c r="C971">
        <v>2025</v>
      </c>
      <c r="D971" t="s">
        <v>29</v>
      </c>
      <c r="E971">
        <v>47415.02</v>
      </c>
      <c r="F971">
        <v>112.3</v>
      </c>
      <c r="G971">
        <v>399</v>
      </c>
      <c r="H971">
        <v>174.2</v>
      </c>
      <c r="I971">
        <v>3.55</v>
      </c>
      <c r="J971">
        <v>200</v>
      </c>
      <c r="K971">
        <v>463</v>
      </c>
      <c r="L971">
        <v>391</v>
      </c>
      <c r="M971" t="s">
        <v>39</v>
      </c>
      <c r="N971">
        <v>7</v>
      </c>
      <c r="O971" t="s">
        <v>56</v>
      </c>
      <c r="P971">
        <v>22.4</v>
      </c>
      <c r="Q971">
        <v>1581</v>
      </c>
      <c r="R971">
        <v>5</v>
      </c>
      <c r="S971">
        <v>2</v>
      </c>
      <c r="T971" t="s">
        <v>51</v>
      </c>
      <c r="U971" t="s">
        <v>42</v>
      </c>
      <c r="V971">
        <v>102665</v>
      </c>
      <c r="W971">
        <v>4</v>
      </c>
      <c r="X971">
        <v>3</v>
      </c>
      <c r="Y971" t="s">
        <v>34</v>
      </c>
      <c r="Z971">
        <v>3.55</v>
      </c>
      <c r="AA971" t="s">
        <v>35</v>
      </c>
    </row>
    <row r="972" spans="1:27" x14ac:dyDescent="0.3">
      <c r="A972" t="s">
        <v>91</v>
      </c>
      <c r="B972" t="s">
        <v>124</v>
      </c>
      <c r="C972">
        <v>2023</v>
      </c>
      <c r="D972" t="s">
        <v>68</v>
      </c>
      <c r="E972">
        <v>101992.19</v>
      </c>
      <c r="F972">
        <v>49.3</v>
      </c>
      <c r="G972">
        <v>168</v>
      </c>
      <c r="H972">
        <v>109.7</v>
      </c>
      <c r="I972">
        <v>5.58</v>
      </c>
      <c r="J972">
        <v>165</v>
      </c>
      <c r="K972">
        <v>804</v>
      </c>
      <c r="L972">
        <v>703</v>
      </c>
      <c r="M972" t="s">
        <v>39</v>
      </c>
      <c r="N972">
        <v>7</v>
      </c>
      <c r="O972" t="s">
        <v>65</v>
      </c>
      <c r="P972">
        <v>32.1</v>
      </c>
      <c r="Q972">
        <v>1856</v>
      </c>
      <c r="R972">
        <v>5</v>
      </c>
      <c r="S972">
        <v>2</v>
      </c>
      <c r="T972" t="s">
        <v>32</v>
      </c>
      <c r="U972" t="s">
        <v>33</v>
      </c>
      <c r="V972">
        <v>24913</v>
      </c>
      <c r="W972">
        <v>3.3</v>
      </c>
      <c r="X972">
        <v>6</v>
      </c>
      <c r="Y972" t="s">
        <v>43</v>
      </c>
      <c r="Z972">
        <v>3.41</v>
      </c>
      <c r="AA972" t="s">
        <v>35</v>
      </c>
    </row>
    <row r="973" spans="1:27" x14ac:dyDescent="0.3">
      <c r="A973" t="s">
        <v>100</v>
      </c>
      <c r="B973" t="s">
        <v>135</v>
      </c>
      <c r="C973">
        <v>2025</v>
      </c>
      <c r="D973" t="s">
        <v>38</v>
      </c>
      <c r="E973">
        <v>83405.89</v>
      </c>
      <c r="F973">
        <v>75.400000000000006</v>
      </c>
      <c r="G973">
        <v>277</v>
      </c>
      <c r="H973">
        <v>62</v>
      </c>
      <c r="I973">
        <v>5.21</v>
      </c>
      <c r="J973">
        <v>164</v>
      </c>
      <c r="K973">
        <v>723</v>
      </c>
      <c r="L973">
        <v>689</v>
      </c>
      <c r="M973" t="s">
        <v>54</v>
      </c>
      <c r="N973">
        <v>7</v>
      </c>
      <c r="O973" t="s">
        <v>46</v>
      </c>
      <c r="P973">
        <v>74.900000000000006</v>
      </c>
      <c r="Q973">
        <v>1673</v>
      </c>
      <c r="R973">
        <v>5</v>
      </c>
      <c r="S973">
        <v>0</v>
      </c>
      <c r="T973" t="s">
        <v>73</v>
      </c>
      <c r="U973" t="s">
        <v>38</v>
      </c>
      <c r="V973">
        <v>11073</v>
      </c>
      <c r="W973">
        <v>3.3</v>
      </c>
      <c r="X973">
        <v>5</v>
      </c>
      <c r="Y973" t="s">
        <v>43</v>
      </c>
      <c r="Z973">
        <v>3.67</v>
      </c>
      <c r="AA973" t="s">
        <v>43</v>
      </c>
    </row>
    <row r="974" spans="1:27" x14ac:dyDescent="0.3">
      <c r="A974" t="s">
        <v>44</v>
      </c>
      <c r="B974" t="s">
        <v>62</v>
      </c>
      <c r="C974">
        <v>2023</v>
      </c>
      <c r="D974" t="s">
        <v>29</v>
      </c>
      <c r="E974">
        <v>77802.210000000006</v>
      </c>
      <c r="F974">
        <v>81.5</v>
      </c>
      <c r="G974">
        <v>300</v>
      </c>
      <c r="H974">
        <v>152.9</v>
      </c>
      <c r="I974">
        <v>3.57</v>
      </c>
      <c r="J974">
        <v>195</v>
      </c>
      <c r="K974">
        <v>1000</v>
      </c>
      <c r="L974">
        <v>925</v>
      </c>
      <c r="M974" t="s">
        <v>30</v>
      </c>
      <c r="N974">
        <v>5</v>
      </c>
      <c r="O974" t="s">
        <v>31</v>
      </c>
      <c r="P974">
        <v>65</v>
      </c>
      <c r="Q974">
        <v>2508</v>
      </c>
      <c r="R974">
        <v>5</v>
      </c>
      <c r="S974">
        <v>1</v>
      </c>
      <c r="T974" t="s">
        <v>47</v>
      </c>
      <c r="U974" t="s">
        <v>38</v>
      </c>
      <c r="V974">
        <v>18415</v>
      </c>
      <c r="W974">
        <v>3.9</v>
      </c>
      <c r="X974">
        <v>4</v>
      </c>
      <c r="Y974" t="s">
        <v>34</v>
      </c>
      <c r="Z974">
        <v>3.68</v>
      </c>
      <c r="AA974" t="s">
        <v>43</v>
      </c>
    </row>
    <row r="975" spans="1:27" x14ac:dyDescent="0.3">
      <c r="A975" t="s">
        <v>71</v>
      </c>
      <c r="B975" t="s">
        <v>75</v>
      </c>
      <c r="C975">
        <v>2024</v>
      </c>
      <c r="D975" t="s">
        <v>29</v>
      </c>
      <c r="E975">
        <v>53801.14</v>
      </c>
      <c r="F975">
        <v>101.6</v>
      </c>
      <c r="G975">
        <v>365</v>
      </c>
      <c r="H975">
        <v>242.3</v>
      </c>
      <c r="I975">
        <v>2.5099999999999998</v>
      </c>
      <c r="J975">
        <v>200</v>
      </c>
      <c r="K975">
        <v>595</v>
      </c>
      <c r="L975">
        <v>572</v>
      </c>
      <c r="M975" t="s">
        <v>30</v>
      </c>
      <c r="N975">
        <v>7</v>
      </c>
      <c r="O975" t="s">
        <v>46</v>
      </c>
      <c r="P975">
        <v>64.5</v>
      </c>
      <c r="Q975">
        <v>1590</v>
      </c>
      <c r="R975">
        <v>5</v>
      </c>
      <c r="S975">
        <v>0</v>
      </c>
      <c r="T975" t="s">
        <v>73</v>
      </c>
      <c r="U975" t="s">
        <v>42</v>
      </c>
      <c r="V975">
        <v>168996</v>
      </c>
      <c r="W975">
        <v>3.7</v>
      </c>
      <c r="X975">
        <v>4</v>
      </c>
      <c r="Y975" t="s">
        <v>34</v>
      </c>
      <c r="Z975">
        <v>3.59</v>
      </c>
      <c r="AA975" t="s">
        <v>35</v>
      </c>
    </row>
    <row r="976" spans="1:27" x14ac:dyDescent="0.3">
      <c r="A976" t="s">
        <v>52</v>
      </c>
      <c r="B976" t="s">
        <v>53</v>
      </c>
      <c r="C976">
        <v>2025</v>
      </c>
      <c r="D976" t="s">
        <v>50</v>
      </c>
      <c r="E976">
        <v>84190.57</v>
      </c>
      <c r="F976">
        <v>98</v>
      </c>
      <c r="G976">
        <v>350</v>
      </c>
      <c r="H976">
        <v>308.3</v>
      </c>
      <c r="I976">
        <v>4.72</v>
      </c>
      <c r="J976">
        <v>182</v>
      </c>
      <c r="K976">
        <v>592</v>
      </c>
      <c r="L976">
        <v>522</v>
      </c>
      <c r="M976" t="s">
        <v>54</v>
      </c>
      <c r="N976">
        <v>7</v>
      </c>
      <c r="O976" t="s">
        <v>57</v>
      </c>
      <c r="P976">
        <v>32</v>
      </c>
      <c r="Q976">
        <v>1694</v>
      </c>
      <c r="R976">
        <v>4</v>
      </c>
      <c r="S976">
        <v>2</v>
      </c>
      <c r="T976" t="s">
        <v>47</v>
      </c>
      <c r="U976" t="s">
        <v>38</v>
      </c>
      <c r="V976">
        <v>181874</v>
      </c>
      <c r="W976">
        <v>3.9</v>
      </c>
      <c r="X976">
        <v>4</v>
      </c>
      <c r="Y976" t="s">
        <v>43</v>
      </c>
      <c r="Z976">
        <v>3.57</v>
      </c>
      <c r="AA976" t="s">
        <v>35</v>
      </c>
    </row>
    <row r="977" spans="1:27" x14ac:dyDescent="0.3">
      <c r="A977" t="s">
        <v>71</v>
      </c>
      <c r="B977" t="s">
        <v>115</v>
      </c>
      <c r="C977">
        <v>2023</v>
      </c>
      <c r="D977" t="s">
        <v>63</v>
      </c>
      <c r="E977">
        <v>40160.18</v>
      </c>
      <c r="F977">
        <v>61.8</v>
      </c>
      <c r="G977">
        <v>214</v>
      </c>
      <c r="H977">
        <v>142.4</v>
      </c>
      <c r="I977">
        <v>5.79</v>
      </c>
      <c r="J977">
        <v>164</v>
      </c>
      <c r="K977">
        <v>401</v>
      </c>
      <c r="L977">
        <v>356</v>
      </c>
      <c r="M977" t="s">
        <v>39</v>
      </c>
      <c r="N977">
        <v>7</v>
      </c>
      <c r="O977" t="s">
        <v>56</v>
      </c>
      <c r="P977">
        <v>39.299999999999997</v>
      </c>
      <c r="Q977">
        <v>1500</v>
      </c>
      <c r="R977">
        <v>5</v>
      </c>
      <c r="S977">
        <v>0</v>
      </c>
      <c r="T977" t="s">
        <v>73</v>
      </c>
      <c r="U977" t="s">
        <v>42</v>
      </c>
      <c r="V977">
        <v>234883</v>
      </c>
      <c r="W977">
        <v>3.4</v>
      </c>
      <c r="X977">
        <v>3</v>
      </c>
      <c r="Y977" t="s">
        <v>43</v>
      </c>
      <c r="Z977">
        <v>3.46</v>
      </c>
      <c r="AA977" t="s">
        <v>35</v>
      </c>
    </row>
    <row r="978" spans="1:27" x14ac:dyDescent="0.3">
      <c r="A978" t="s">
        <v>48</v>
      </c>
      <c r="B978" t="s">
        <v>123</v>
      </c>
      <c r="C978">
        <v>2022</v>
      </c>
      <c r="D978" t="s">
        <v>29</v>
      </c>
      <c r="E978">
        <v>48028.480000000003</v>
      </c>
      <c r="F978">
        <v>102.7</v>
      </c>
      <c r="G978">
        <v>351</v>
      </c>
      <c r="H978">
        <v>182</v>
      </c>
      <c r="I978">
        <v>3.29</v>
      </c>
      <c r="J978">
        <v>200</v>
      </c>
      <c r="K978">
        <v>489</v>
      </c>
      <c r="L978">
        <v>421</v>
      </c>
      <c r="M978" t="s">
        <v>30</v>
      </c>
      <c r="N978">
        <v>5</v>
      </c>
      <c r="O978" t="s">
        <v>56</v>
      </c>
      <c r="P978">
        <v>27.7</v>
      </c>
      <c r="Q978">
        <v>1500</v>
      </c>
      <c r="R978">
        <v>4</v>
      </c>
      <c r="S978">
        <v>2</v>
      </c>
      <c r="T978" t="s">
        <v>51</v>
      </c>
      <c r="U978" t="s">
        <v>42</v>
      </c>
      <c r="V978">
        <v>81607</v>
      </c>
      <c r="W978">
        <v>3.7</v>
      </c>
      <c r="X978">
        <v>5</v>
      </c>
      <c r="Y978" t="s">
        <v>34</v>
      </c>
      <c r="Z978">
        <v>3.42</v>
      </c>
      <c r="AA978" t="s">
        <v>35</v>
      </c>
    </row>
    <row r="979" spans="1:27" x14ac:dyDescent="0.3">
      <c r="A979" t="s">
        <v>52</v>
      </c>
      <c r="B979" t="s">
        <v>64</v>
      </c>
      <c r="C979">
        <v>2026</v>
      </c>
      <c r="D979" t="s">
        <v>29</v>
      </c>
      <c r="E979">
        <v>120990.97</v>
      </c>
      <c r="F979">
        <v>76.900000000000006</v>
      </c>
      <c r="G979">
        <v>272</v>
      </c>
      <c r="H979">
        <v>208.1</v>
      </c>
      <c r="I979">
        <v>2.81</v>
      </c>
      <c r="J979">
        <v>200</v>
      </c>
      <c r="K979">
        <v>841</v>
      </c>
      <c r="L979">
        <v>743</v>
      </c>
      <c r="M979" t="s">
        <v>30</v>
      </c>
      <c r="N979">
        <v>7</v>
      </c>
      <c r="O979" t="s">
        <v>31</v>
      </c>
      <c r="P979">
        <v>77.7</v>
      </c>
      <c r="Q979">
        <v>2847</v>
      </c>
      <c r="R979">
        <v>4</v>
      </c>
      <c r="S979">
        <v>2</v>
      </c>
      <c r="T979" t="s">
        <v>47</v>
      </c>
      <c r="U979" t="s">
        <v>33</v>
      </c>
      <c r="V979">
        <v>177875</v>
      </c>
      <c r="W979">
        <v>3.7</v>
      </c>
      <c r="X979">
        <v>5</v>
      </c>
      <c r="Y979" t="s">
        <v>34</v>
      </c>
      <c r="Z979">
        <v>3.54</v>
      </c>
      <c r="AA979" t="s">
        <v>35</v>
      </c>
    </row>
    <row r="980" spans="1:27" x14ac:dyDescent="0.3">
      <c r="A980" t="s">
        <v>76</v>
      </c>
      <c r="B980" t="s">
        <v>117</v>
      </c>
      <c r="C980">
        <v>2022</v>
      </c>
      <c r="D980" t="s">
        <v>63</v>
      </c>
      <c r="E980">
        <v>52457.02</v>
      </c>
      <c r="F980">
        <v>61.6</v>
      </c>
      <c r="G980">
        <v>184</v>
      </c>
      <c r="H980">
        <v>60.7</v>
      </c>
      <c r="I980">
        <v>7.28</v>
      </c>
      <c r="J980">
        <v>139</v>
      </c>
      <c r="K980">
        <v>503</v>
      </c>
      <c r="L980">
        <v>465</v>
      </c>
      <c r="M980" t="s">
        <v>30</v>
      </c>
      <c r="N980">
        <v>5</v>
      </c>
      <c r="O980" t="s">
        <v>65</v>
      </c>
      <c r="P980">
        <v>26.9</v>
      </c>
      <c r="Q980">
        <v>1576</v>
      </c>
      <c r="R980">
        <v>5</v>
      </c>
      <c r="S980">
        <v>1</v>
      </c>
      <c r="T980" t="s">
        <v>51</v>
      </c>
      <c r="U980" t="s">
        <v>42</v>
      </c>
      <c r="V980">
        <v>72150</v>
      </c>
      <c r="W980">
        <v>3.3</v>
      </c>
      <c r="X980">
        <v>5</v>
      </c>
      <c r="Y980" t="s">
        <v>61</v>
      </c>
      <c r="Z980">
        <v>2.99</v>
      </c>
      <c r="AA980" t="s">
        <v>35</v>
      </c>
    </row>
    <row r="981" spans="1:27" x14ac:dyDescent="0.3">
      <c r="A981" t="s">
        <v>48</v>
      </c>
      <c r="B981" t="s">
        <v>79</v>
      </c>
      <c r="C981">
        <v>2023</v>
      </c>
      <c r="D981" t="s">
        <v>68</v>
      </c>
      <c r="E981">
        <v>66396.28</v>
      </c>
      <c r="F981">
        <v>40.4</v>
      </c>
      <c r="G981">
        <v>150</v>
      </c>
      <c r="H981">
        <v>72.8</v>
      </c>
      <c r="I981">
        <v>5.36</v>
      </c>
      <c r="J981">
        <v>172</v>
      </c>
      <c r="K981">
        <v>763</v>
      </c>
      <c r="L981">
        <v>668</v>
      </c>
      <c r="M981" t="s">
        <v>30</v>
      </c>
      <c r="N981">
        <v>7</v>
      </c>
      <c r="O981" t="s">
        <v>65</v>
      </c>
      <c r="P981">
        <v>23.5</v>
      </c>
      <c r="Q981">
        <v>1580</v>
      </c>
      <c r="R981">
        <v>4</v>
      </c>
      <c r="S981">
        <v>2</v>
      </c>
      <c r="T981" t="s">
        <v>51</v>
      </c>
      <c r="U981" t="s">
        <v>38</v>
      </c>
      <c r="V981">
        <v>93251</v>
      </c>
      <c r="W981">
        <v>3.2</v>
      </c>
      <c r="X981">
        <v>3</v>
      </c>
      <c r="Y981" t="s">
        <v>43</v>
      </c>
      <c r="Z981">
        <v>3.71</v>
      </c>
      <c r="AA981" t="s">
        <v>35</v>
      </c>
    </row>
    <row r="982" spans="1:27" x14ac:dyDescent="0.3">
      <c r="A982" t="s">
        <v>71</v>
      </c>
      <c r="B982" t="s">
        <v>104</v>
      </c>
      <c r="C982">
        <v>2025</v>
      </c>
      <c r="D982" t="s">
        <v>63</v>
      </c>
      <c r="E982">
        <v>53719.72</v>
      </c>
      <c r="F982">
        <v>48.4</v>
      </c>
      <c r="G982">
        <v>150</v>
      </c>
      <c r="H982">
        <v>130.4</v>
      </c>
      <c r="I982">
        <v>5.96</v>
      </c>
      <c r="J982">
        <v>160</v>
      </c>
      <c r="K982">
        <v>629</v>
      </c>
      <c r="L982">
        <v>556</v>
      </c>
      <c r="M982" t="s">
        <v>39</v>
      </c>
      <c r="N982">
        <v>7</v>
      </c>
      <c r="O982" t="s">
        <v>56</v>
      </c>
      <c r="P982">
        <v>38.700000000000003</v>
      </c>
      <c r="Q982">
        <v>1728</v>
      </c>
      <c r="R982">
        <v>3</v>
      </c>
      <c r="S982">
        <v>0</v>
      </c>
      <c r="T982" t="s">
        <v>73</v>
      </c>
      <c r="U982" t="s">
        <v>42</v>
      </c>
      <c r="V982">
        <v>246801</v>
      </c>
      <c r="W982">
        <v>3.2</v>
      </c>
      <c r="X982">
        <v>5</v>
      </c>
      <c r="Y982" t="s">
        <v>43</v>
      </c>
      <c r="Z982">
        <v>3.1</v>
      </c>
      <c r="AA982" t="s">
        <v>35</v>
      </c>
    </row>
    <row r="983" spans="1:27" x14ac:dyDescent="0.3">
      <c r="A983" t="s">
        <v>84</v>
      </c>
      <c r="B983" t="s">
        <v>85</v>
      </c>
      <c r="C983">
        <v>2026</v>
      </c>
      <c r="D983" t="s">
        <v>38</v>
      </c>
      <c r="E983">
        <v>56792.12</v>
      </c>
      <c r="F983">
        <v>67.2</v>
      </c>
      <c r="G983">
        <v>207</v>
      </c>
      <c r="H983">
        <v>138.4</v>
      </c>
      <c r="I983">
        <v>7.7</v>
      </c>
      <c r="J983">
        <v>135</v>
      </c>
      <c r="K983">
        <v>555</v>
      </c>
      <c r="L983">
        <v>485</v>
      </c>
      <c r="M983" t="s">
        <v>30</v>
      </c>
      <c r="N983">
        <v>5</v>
      </c>
      <c r="O983" t="s">
        <v>40</v>
      </c>
      <c r="P983">
        <v>51.2</v>
      </c>
      <c r="Q983">
        <v>2102</v>
      </c>
      <c r="R983">
        <v>4</v>
      </c>
      <c r="S983">
        <v>0</v>
      </c>
      <c r="T983" t="s">
        <v>47</v>
      </c>
      <c r="U983" t="s">
        <v>42</v>
      </c>
      <c r="V983">
        <v>31784</v>
      </c>
      <c r="W983">
        <v>3.2</v>
      </c>
      <c r="X983">
        <v>4</v>
      </c>
      <c r="Y983" t="s">
        <v>61</v>
      </c>
      <c r="Z983">
        <v>3.08</v>
      </c>
      <c r="AA983" t="s">
        <v>35</v>
      </c>
    </row>
    <row r="984" spans="1:27" x14ac:dyDescent="0.3">
      <c r="A984" t="s">
        <v>52</v>
      </c>
      <c r="B984" t="s">
        <v>64</v>
      </c>
      <c r="C984">
        <v>2024</v>
      </c>
      <c r="D984" t="s">
        <v>68</v>
      </c>
      <c r="E984">
        <v>122807.61</v>
      </c>
      <c r="F984">
        <v>51</v>
      </c>
      <c r="G984">
        <v>203</v>
      </c>
      <c r="H984">
        <v>348.4</v>
      </c>
      <c r="I984">
        <v>5.61</v>
      </c>
      <c r="J984">
        <v>177</v>
      </c>
      <c r="K984">
        <v>905</v>
      </c>
      <c r="L984">
        <v>784</v>
      </c>
      <c r="M984" t="s">
        <v>30</v>
      </c>
      <c r="N984">
        <v>7</v>
      </c>
      <c r="O984" t="s">
        <v>46</v>
      </c>
      <c r="P984">
        <v>78</v>
      </c>
      <c r="Q984">
        <v>1500</v>
      </c>
      <c r="R984">
        <v>4</v>
      </c>
      <c r="S984">
        <v>3</v>
      </c>
      <c r="T984" t="s">
        <v>47</v>
      </c>
      <c r="U984" t="s">
        <v>33</v>
      </c>
      <c r="V984">
        <v>162784</v>
      </c>
      <c r="W984">
        <v>3.7</v>
      </c>
      <c r="X984">
        <v>6</v>
      </c>
      <c r="Y984" t="s">
        <v>43</v>
      </c>
      <c r="Z984">
        <v>3.98</v>
      </c>
      <c r="AA984" t="s">
        <v>35</v>
      </c>
    </row>
    <row r="985" spans="1:27" x14ac:dyDescent="0.3">
      <c r="A985" t="s">
        <v>52</v>
      </c>
      <c r="B985" t="s">
        <v>86</v>
      </c>
      <c r="C985">
        <v>2025</v>
      </c>
      <c r="D985" t="s">
        <v>50</v>
      </c>
      <c r="E985">
        <v>153915.44</v>
      </c>
      <c r="F985">
        <v>92</v>
      </c>
      <c r="G985">
        <v>309</v>
      </c>
      <c r="H985">
        <v>214</v>
      </c>
      <c r="I985">
        <v>4.5599999999999996</v>
      </c>
      <c r="J985">
        <v>177</v>
      </c>
      <c r="K985">
        <v>1000</v>
      </c>
      <c r="L985">
        <v>955</v>
      </c>
      <c r="M985" t="s">
        <v>54</v>
      </c>
      <c r="N985">
        <v>5</v>
      </c>
      <c r="O985" t="s">
        <v>46</v>
      </c>
      <c r="P985">
        <v>73.2</v>
      </c>
      <c r="Q985">
        <v>1572</v>
      </c>
      <c r="R985">
        <v>5</v>
      </c>
      <c r="S985">
        <v>2</v>
      </c>
      <c r="T985" t="s">
        <v>47</v>
      </c>
      <c r="U985" t="s">
        <v>33</v>
      </c>
      <c r="V985">
        <v>210826</v>
      </c>
      <c r="W985">
        <v>3.6</v>
      </c>
      <c r="X985">
        <v>5</v>
      </c>
      <c r="Y985" t="s">
        <v>43</v>
      </c>
      <c r="Z985">
        <v>3.36</v>
      </c>
      <c r="AA985" t="s">
        <v>35</v>
      </c>
    </row>
    <row r="986" spans="1:27" x14ac:dyDescent="0.3">
      <c r="A986" t="s">
        <v>44</v>
      </c>
      <c r="B986" t="s">
        <v>110</v>
      </c>
      <c r="C986">
        <v>2025</v>
      </c>
      <c r="D986" t="s">
        <v>68</v>
      </c>
      <c r="E986">
        <v>28857.9</v>
      </c>
      <c r="F986">
        <v>80</v>
      </c>
      <c r="G986">
        <v>326</v>
      </c>
      <c r="H986">
        <v>78</v>
      </c>
      <c r="I986">
        <v>6.63</v>
      </c>
      <c r="J986">
        <v>147</v>
      </c>
      <c r="K986">
        <v>200</v>
      </c>
      <c r="L986">
        <v>200</v>
      </c>
      <c r="M986" t="s">
        <v>54</v>
      </c>
      <c r="N986">
        <v>7</v>
      </c>
      <c r="O986" t="s">
        <v>40</v>
      </c>
      <c r="P986">
        <v>38.700000000000003</v>
      </c>
      <c r="Q986">
        <v>2241</v>
      </c>
      <c r="R986">
        <v>4</v>
      </c>
      <c r="S986">
        <v>0</v>
      </c>
      <c r="T986" t="s">
        <v>47</v>
      </c>
      <c r="U986" t="s">
        <v>74</v>
      </c>
      <c r="V986">
        <v>24599</v>
      </c>
      <c r="W986">
        <v>3.7</v>
      </c>
      <c r="X986">
        <v>4</v>
      </c>
      <c r="Y986" t="s">
        <v>43</v>
      </c>
      <c r="Z986">
        <v>4.08</v>
      </c>
      <c r="AA986" t="s">
        <v>35</v>
      </c>
    </row>
    <row r="987" spans="1:27" x14ac:dyDescent="0.3">
      <c r="A987" t="s">
        <v>76</v>
      </c>
      <c r="B987" t="s">
        <v>77</v>
      </c>
      <c r="C987">
        <v>2024</v>
      </c>
      <c r="D987" t="s">
        <v>68</v>
      </c>
      <c r="E987">
        <v>53616.49</v>
      </c>
      <c r="F987">
        <v>57.8</v>
      </c>
      <c r="G987">
        <v>161</v>
      </c>
      <c r="H987">
        <v>106.9</v>
      </c>
      <c r="I987">
        <v>7.18</v>
      </c>
      <c r="J987">
        <v>147</v>
      </c>
      <c r="K987">
        <v>606</v>
      </c>
      <c r="L987">
        <v>581</v>
      </c>
      <c r="M987" t="s">
        <v>30</v>
      </c>
      <c r="N987">
        <v>5</v>
      </c>
      <c r="O987" t="s">
        <v>57</v>
      </c>
      <c r="P987">
        <v>22.9</v>
      </c>
      <c r="Q987">
        <v>1500</v>
      </c>
      <c r="R987">
        <v>5</v>
      </c>
      <c r="S987">
        <v>0</v>
      </c>
      <c r="T987" t="s">
        <v>51</v>
      </c>
      <c r="U987" t="s">
        <v>42</v>
      </c>
      <c r="V987">
        <v>78661</v>
      </c>
      <c r="W987">
        <v>3.4</v>
      </c>
      <c r="X987">
        <v>3</v>
      </c>
      <c r="Y987" t="s">
        <v>61</v>
      </c>
      <c r="Z987">
        <v>2.79</v>
      </c>
      <c r="AA987" t="s">
        <v>35</v>
      </c>
    </row>
    <row r="988" spans="1:27" x14ac:dyDescent="0.3">
      <c r="A988" t="s">
        <v>91</v>
      </c>
      <c r="B988" t="s">
        <v>122</v>
      </c>
      <c r="C988">
        <v>2020</v>
      </c>
      <c r="D988" t="s">
        <v>63</v>
      </c>
      <c r="E988">
        <v>93337.36</v>
      </c>
      <c r="F988">
        <v>72.7</v>
      </c>
      <c r="G988">
        <v>232</v>
      </c>
      <c r="H988">
        <v>51.4</v>
      </c>
      <c r="I988">
        <v>5.0599999999999996</v>
      </c>
      <c r="J988">
        <v>176</v>
      </c>
      <c r="K988">
        <v>720</v>
      </c>
      <c r="L988">
        <v>650</v>
      </c>
      <c r="M988" t="s">
        <v>54</v>
      </c>
      <c r="N988">
        <v>5</v>
      </c>
      <c r="O988" t="s">
        <v>31</v>
      </c>
      <c r="P988">
        <v>54.7</v>
      </c>
      <c r="Q988">
        <v>2335</v>
      </c>
      <c r="R988">
        <v>5</v>
      </c>
      <c r="S988">
        <v>1</v>
      </c>
      <c r="T988" t="s">
        <v>32</v>
      </c>
      <c r="U988" t="s">
        <v>38</v>
      </c>
      <c r="V988">
        <v>25170</v>
      </c>
      <c r="W988">
        <v>3.4</v>
      </c>
      <c r="X988">
        <v>8</v>
      </c>
      <c r="Y988" t="s">
        <v>43</v>
      </c>
      <c r="Z988">
        <v>3.19</v>
      </c>
      <c r="AA988" t="s">
        <v>35</v>
      </c>
    </row>
    <row r="989" spans="1:27" x14ac:dyDescent="0.3">
      <c r="A989" t="s">
        <v>27</v>
      </c>
      <c r="B989" t="s">
        <v>83</v>
      </c>
      <c r="C989">
        <v>2026</v>
      </c>
      <c r="D989" t="s">
        <v>68</v>
      </c>
      <c r="E989">
        <v>69769.06</v>
      </c>
      <c r="F989">
        <v>45</v>
      </c>
      <c r="G989">
        <v>150</v>
      </c>
      <c r="H989">
        <v>144.80000000000001</v>
      </c>
      <c r="I989">
        <v>7.91</v>
      </c>
      <c r="J989">
        <v>140</v>
      </c>
      <c r="K989">
        <v>724</v>
      </c>
      <c r="L989">
        <v>672</v>
      </c>
      <c r="M989" t="s">
        <v>54</v>
      </c>
      <c r="N989">
        <v>7</v>
      </c>
      <c r="O989" t="s">
        <v>56</v>
      </c>
      <c r="P989">
        <v>25</v>
      </c>
      <c r="Q989">
        <v>1560</v>
      </c>
      <c r="R989">
        <v>4</v>
      </c>
      <c r="S989">
        <v>0</v>
      </c>
      <c r="T989" t="s">
        <v>32</v>
      </c>
      <c r="U989" t="s">
        <v>38</v>
      </c>
      <c r="V989">
        <v>251078</v>
      </c>
      <c r="W989">
        <v>3</v>
      </c>
      <c r="X989">
        <v>4</v>
      </c>
      <c r="Y989" t="s">
        <v>61</v>
      </c>
      <c r="Z989">
        <v>3.33</v>
      </c>
      <c r="AA989" t="s">
        <v>35</v>
      </c>
    </row>
    <row r="990" spans="1:27" x14ac:dyDescent="0.3">
      <c r="A990" t="s">
        <v>71</v>
      </c>
      <c r="B990" t="s">
        <v>81</v>
      </c>
      <c r="C990">
        <v>2026</v>
      </c>
      <c r="D990" t="s">
        <v>68</v>
      </c>
      <c r="E990">
        <v>35604.120000000003</v>
      </c>
      <c r="F990">
        <v>69.8</v>
      </c>
      <c r="G990">
        <v>235</v>
      </c>
      <c r="H990">
        <v>114.5</v>
      </c>
      <c r="I990">
        <v>5.44</v>
      </c>
      <c r="J990">
        <v>174</v>
      </c>
      <c r="K990">
        <v>380</v>
      </c>
      <c r="L990">
        <v>335</v>
      </c>
      <c r="M990" t="s">
        <v>54</v>
      </c>
      <c r="N990">
        <v>5</v>
      </c>
      <c r="O990" t="s">
        <v>31</v>
      </c>
      <c r="P990">
        <v>60</v>
      </c>
      <c r="Q990">
        <v>2708</v>
      </c>
      <c r="R990">
        <v>5</v>
      </c>
      <c r="S990">
        <v>0</v>
      </c>
      <c r="T990" t="s">
        <v>73</v>
      </c>
      <c r="U990" t="s">
        <v>42</v>
      </c>
      <c r="V990">
        <v>210674</v>
      </c>
      <c r="W990">
        <v>3.6</v>
      </c>
      <c r="X990">
        <v>3</v>
      </c>
      <c r="Y990" t="s">
        <v>43</v>
      </c>
      <c r="Z990">
        <v>3.37</v>
      </c>
      <c r="AA990" t="s">
        <v>35</v>
      </c>
    </row>
    <row r="991" spans="1:27" x14ac:dyDescent="0.3">
      <c r="A991" t="s">
        <v>84</v>
      </c>
      <c r="B991" t="s">
        <v>99</v>
      </c>
      <c r="C991">
        <v>2025</v>
      </c>
      <c r="D991" t="s">
        <v>50</v>
      </c>
      <c r="E991">
        <v>91074.2</v>
      </c>
      <c r="F991">
        <v>83.3</v>
      </c>
      <c r="G991">
        <v>309</v>
      </c>
      <c r="H991">
        <v>123.8</v>
      </c>
      <c r="I991">
        <v>5.32</v>
      </c>
      <c r="J991">
        <v>165</v>
      </c>
      <c r="K991">
        <v>1000</v>
      </c>
      <c r="L991">
        <v>875</v>
      </c>
      <c r="M991" t="s">
        <v>39</v>
      </c>
      <c r="N991">
        <v>4</v>
      </c>
      <c r="O991" t="s">
        <v>31</v>
      </c>
      <c r="P991">
        <v>59.8</v>
      </c>
      <c r="Q991">
        <v>2537</v>
      </c>
      <c r="R991">
        <v>5</v>
      </c>
      <c r="S991">
        <v>1</v>
      </c>
      <c r="T991" t="s">
        <v>47</v>
      </c>
      <c r="U991" t="s">
        <v>38</v>
      </c>
      <c r="V991">
        <v>78477</v>
      </c>
      <c r="W991">
        <v>3.5</v>
      </c>
      <c r="X991">
        <v>5</v>
      </c>
      <c r="Y991" t="s">
        <v>43</v>
      </c>
      <c r="Z991">
        <v>3.71</v>
      </c>
      <c r="AA991" t="s">
        <v>35</v>
      </c>
    </row>
    <row r="992" spans="1:27" x14ac:dyDescent="0.3">
      <c r="A992" t="s">
        <v>84</v>
      </c>
      <c r="B992" t="s">
        <v>89</v>
      </c>
      <c r="C992">
        <v>2022</v>
      </c>
      <c r="D992" t="s">
        <v>38</v>
      </c>
      <c r="E992">
        <v>72686.399999999994</v>
      </c>
      <c r="F992">
        <v>58.3</v>
      </c>
      <c r="G992">
        <v>197</v>
      </c>
      <c r="H992">
        <v>55.6</v>
      </c>
      <c r="I992">
        <v>7.84</v>
      </c>
      <c r="J992">
        <v>135</v>
      </c>
      <c r="K992">
        <v>806</v>
      </c>
      <c r="L992">
        <v>761</v>
      </c>
      <c r="M992" t="s">
        <v>54</v>
      </c>
      <c r="N992">
        <v>7</v>
      </c>
      <c r="O992" t="s">
        <v>57</v>
      </c>
      <c r="P992">
        <v>34.299999999999997</v>
      </c>
      <c r="Q992">
        <v>1507</v>
      </c>
      <c r="R992">
        <v>3</v>
      </c>
      <c r="S992">
        <v>0</v>
      </c>
      <c r="T992" t="s">
        <v>47</v>
      </c>
      <c r="U992" t="s">
        <v>38</v>
      </c>
      <c r="V992">
        <v>32038</v>
      </c>
      <c r="W992">
        <v>3.4</v>
      </c>
      <c r="X992">
        <v>3</v>
      </c>
      <c r="Y992" t="s">
        <v>61</v>
      </c>
      <c r="Z992">
        <v>3.38</v>
      </c>
      <c r="AA992" t="s">
        <v>35</v>
      </c>
    </row>
    <row r="993" spans="1:27" x14ac:dyDescent="0.3">
      <c r="A993" t="s">
        <v>44</v>
      </c>
      <c r="B993" t="s">
        <v>45</v>
      </c>
      <c r="C993">
        <v>2024</v>
      </c>
      <c r="D993" t="s">
        <v>29</v>
      </c>
      <c r="E993">
        <v>43772.41</v>
      </c>
      <c r="F993">
        <v>113.5</v>
      </c>
      <c r="G993">
        <v>369</v>
      </c>
      <c r="H993">
        <v>244.5</v>
      </c>
      <c r="I993">
        <v>3.14</v>
      </c>
      <c r="J993">
        <v>192</v>
      </c>
      <c r="K993">
        <v>465</v>
      </c>
      <c r="L993">
        <v>370</v>
      </c>
      <c r="M993" t="s">
        <v>39</v>
      </c>
      <c r="N993">
        <v>7</v>
      </c>
      <c r="O993" t="s">
        <v>40</v>
      </c>
      <c r="P993">
        <v>55.5</v>
      </c>
      <c r="Q993">
        <v>2127</v>
      </c>
      <c r="R993">
        <v>4</v>
      </c>
      <c r="S993">
        <v>0</v>
      </c>
      <c r="T993" t="s">
        <v>47</v>
      </c>
      <c r="U993" t="s">
        <v>42</v>
      </c>
      <c r="V993">
        <v>13494</v>
      </c>
      <c r="W993">
        <v>3.8</v>
      </c>
      <c r="X993">
        <v>4</v>
      </c>
      <c r="Y993" t="s">
        <v>34</v>
      </c>
      <c r="Z993">
        <v>3.25</v>
      </c>
      <c r="AA993" t="s">
        <v>43</v>
      </c>
    </row>
    <row r="994" spans="1:27" x14ac:dyDescent="0.3">
      <c r="A994" t="s">
        <v>71</v>
      </c>
      <c r="B994" t="s">
        <v>96</v>
      </c>
      <c r="C994">
        <v>2025</v>
      </c>
      <c r="D994" t="s">
        <v>38</v>
      </c>
      <c r="E994">
        <v>100296.35</v>
      </c>
      <c r="F994">
        <v>81.5</v>
      </c>
      <c r="G994">
        <v>290</v>
      </c>
      <c r="H994">
        <v>71.599999999999994</v>
      </c>
      <c r="I994">
        <v>7.14</v>
      </c>
      <c r="J994">
        <v>143</v>
      </c>
      <c r="K994">
        <v>1000</v>
      </c>
      <c r="L994">
        <v>904</v>
      </c>
      <c r="M994" t="s">
        <v>30</v>
      </c>
      <c r="N994">
        <v>7</v>
      </c>
      <c r="O994" t="s">
        <v>56</v>
      </c>
      <c r="P994">
        <v>33.299999999999997</v>
      </c>
      <c r="Q994">
        <v>1686</v>
      </c>
      <c r="R994">
        <v>4</v>
      </c>
      <c r="S994">
        <v>0</v>
      </c>
      <c r="T994" t="s">
        <v>73</v>
      </c>
      <c r="U994" t="s">
        <v>33</v>
      </c>
      <c r="V994">
        <v>155370</v>
      </c>
      <c r="W994">
        <v>3.8</v>
      </c>
      <c r="X994">
        <v>4</v>
      </c>
      <c r="Y994" t="s">
        <v>61</v>
      </c>
      <c r="Z994">
        <v>3.56</v>
      </c>
      <c r="AA994" t="s">
        <v>35</v>
      </c>
    </row>
    <row r="995" spans="1:27" x14ac:dyDescent="0.3">
      <c r="A995" t="s">
        <v>48</v>
      </c>
      <c r="B995" t="s">
        <v>79</v>
      </c>
      <c r="C995">
        <v>2026</v>
      </c>
      <c r="D995" t="s">
        <v>50</v>
      </c>
      <c r="E995">
        <v>70115.710000000006</v>
      </c>
      <c r="F995">
        <v>95.5</v>
      </c>
      <c r="G995">
        <v>342</v>
      </c>
      <c r="H995">
        <v>140</v>
      </c>
      <c r="I995">
        <v>4.95</v>
      </c>
      <c r="J995">
        <v>168</v>
      </c>
      <c r="K995">
        <v>873</v>
      </c>
      <c r="L995">
        <v>766</v>
      </c>
      <c r="M995" t="s">
        <v>39</v>
      </c>
      <c r="N995">
        <v>5</v>
      </c>
      <c r="O995" t="s">
        <v>65</v>
      </c>
      <c r="P995">
        <v>38.200000000000003</v>
      </c>
      <c r="Q995">
        <v>1535</v>
      </c>
      <c r="R995">
        <v>5</v>
      </c>
      <c r="S995">
        <v>0</v>
      </c>
      <c r="T995" t="s">
        <v>51</v>
      </c>
      <c r="U995" t="s">
        <v>38</v>
      </c>
      <c r="V995">
        <v>82992</v>
      </c>
      <c r="W995">
        <v>3.8</v>
      </c>
      <c r="X995">
        <v>4</v>
      </c>
      <c r="Y995" t="s">
        <v>43</v>
      </c>
      <c r="Z995">
        <v>3.58</v>
      </c>
      <c r="AA995" t="s">
        <v>35</v>
      </c>
    </row>
    <row r="996" spans="1:27" x14ac:dyDescent="0.3">
      <c r="A996" t="s">
        <v>27</v>
      </c>
      <c r="B996" t="s">
        <v>28</v>
      </c>
      <c r="C996">
        <v>2026</v>
      </c>
      <c r="D996" t="s">
        <v>63</v>
      </c>
      <c r="E996">
        <v>70180.350000000006</v>
      </c>
      <c r="F996">
        <v>48.8</v>
      </c>
      <c r="G996">
        <v>170</v>
      </c>
      <c r="H996">
        <v>145</v>
      </c>
      <c r="I996">
        <v>6.15</v>
      </c>
      <c r="J996">
        <v>159</v>
      </c>
      <c r="K996">
        <v>702</v>
      </c>
      <c r="L996">
        <v>698</v>
      </c>
      <c r="M996" t="s">
        <v>39</v>
      </c>
      <c r="N996">
        <v>5</v>
      </c>
      <c r="O996" t="s">
        <v>31</v>
      </c>
      <c r="P996">
        <v>63.5</v>
      </c>
      <c r="Q996">
        <v>2406</v>
      </c>
      <c r="R996">
        <v>4</v>
      </c>
      <c r="S996">
        <v>0</v>
      </c>
      <c r="T996" t="s">
        <v>32</v>
      </c>
      <c r="U996" t="s">
        <v>38</v>
      </c>
      <c r="V996">
        <v>220918</v>
      </c>
      <c r="W996">
        <v>3.4</v>
      </c>
      <c r="X996">
        <v>4</v>
      </c>
      <c r="Y996" t="s">
        <v>43</v>
      </c>
      <c r="Z996">
        <v>3.48</v>
      </c>
      <c r="AA996" t="s">
        <v>35</v>
      </c>
    </row>
    <row r="997" spans="1:27" x14ac:dyDescent="0.3">
      <c r="A997" t="s">
        <v>52</v>
      </c>
      <c r="B997" t="s">
        <v>53</v>
      </c>
      <c r="C997">
        <v>2023</v>
      </c>
      <c r="D997" t="s">
        <v>63</v>
      </c>
      <c r="E997">
        <v>50661.72</v>
      </c>
      <c r="F997">
        <v>45</v>
      </c>
      <c r="G997">
        <v>150</v>
      </c>
      <c r="H997">
        <v>321.10000000000002</v>
      </c>
      <c r="I997">
        <v>7.4</v>
      </c>
      <c r="J997">
        <v>132</v>
      </c>
      <c r="K997">
        <v>355</v>
      </c>
      <c r="L997">
        <v>361</v>
      </c>
      <c r="M997" t="s">
        <v>39</v>
      </c>
      <c r="N997">
        <v>5</v>
      </c>
      <c r="O997" t="s">
        <v>31</v>
      </c>
      <c r="P997">
        <v>58.9</v>
      </c>
      <c r="Q997">
        <v>2602</v>
      </c>
      <c r="R997">
        <v>5</v>
      </c>
      <c r="S997">
        <v>2</v>
      </c>
      <c r="T997" t="s">
        <v>47</v>
      </c>
      <c r="U997" t="s">
        <v>42</v>
      </c>
      <c r="V997">
        <v>240645</v>
      </c>
      <c r="W997">
        <v>3.3</v>
      </c>
      <c r="X997">
        <v>6</v>
      </c>
      <c r="Y997" t="s">
        <v>61</v>
      </c>
      <c r="Z997">
        <v>3.33</v>
      </c>
      <c r="AA997" t="s">
        <v>35</v>
      </c>
    </row>
    <row r="998" spans="1:27" x14ac:dyDescent="0.3">
      <c r="A998" t="s">
        <v>102</v>
      </c>
      <c r="B998" t="s">
        <v>136</v>
      </c>
      <c r="C998">
        <v>2023</v>
      </c>
      <c r="D998" t="s">
        <v>63</v>
      </c>
      <c r="E998">
        <v>71764.23</v>
      </c>
      <c r="F998">
        <v>63.3</v>
      </c>
      <c r="G998">
        <v>216</v>
      </c>
      <c r="H998">
        <v>111.8</v>
      </c>
      <c r="I998">
        <v>5.26</v>
      </c>
      <c r="J998">
        <v>179</v>
      </c>
      <c r="K998">
        <v>267</v>
      </c>
      <c r="L998">
        <v>240</v>
      </c>
      <c r="M998" t="s">
        <v>54</v>
      </c>
      <c r="N998">
        <v>5</v>
      </c>
      <c r="O998" t="s">
        <v>57</v>
      </c>
      <c r="P998">
        <v>25.4</v>
      </c>
      <c r="Q998">
        <v>1532</v>
      </c>
      <c r="R998">
        <v>4</v>
      </c>
      <c r="S998">
        <v>1</v>
      </c>
      <c r="T998" t="s">
        <v>47</v>
      </c>
      <c r="U998" t="s">
        <v>38</v>
      </c>
      <c r="V998">
        <v>16601</v>
      </c>
      <c r="W998">
        <v>3.3</v>
      </c>
      <c r="X998">
        <v>4</v>
      </c>
      <c r="Y998" t="s">
        <v>43</v>
      </c>
      <c r="Z998">
        <v>3.41</v>
      </c>
      <c r="AA998" t="s">
        <v>43</v>
      </c>
    </row>
    <row r="999" spans="1:27" x14ac:dyDescent="0.3">
      <c r="A999" t="s">
        <v>52</v>
      </c>
      <c r="B999" t="s">
        <v>55</v>
      </c>
      <c r="C999">
        <v>2024</v>
      </c>
      <c r="D999" t="s">
        <v>68</v>
      </c>
      <c r="E999">
        <v>118291.58</v>
      </c>
      <c r="F999">
        <v>82.5</v>
      </c>
      <c r="G999">
        <v>290</v>
      </c>
      <c r="H999">
        <v>268</v>
      </c>
      <c r="I999">
        <v>6.17</v>
      </c>
      <c r="J999">
        <v>157</v>
      </c>
      <c r="K999">
        <v>828</v>
      </c>
      <c r="L999">
        <v>772</v>
      </c>
      <c r="M999" t="s">
        <v>30</v>
      </c>
      <c r="N999">
        <v>5</v>
      </c>
      <c r="O999" t="s">
        <v>31</v>
      </c>
      <c r="P999">
        <v>51</v>
      </c>
      <c r="Q999">
        <v>2443</v>
      </c>
      <c r="R999">
        <v>5</v>
      </c>
      <c r="S999">
        <v>2</v>
      </c>
      <c r="T999" t="s">
        <v>47</v>
      </c>
      <c r="U999" t="s">
        <v>33</v>
      </c>
      <c r="V999">
        <v>419454</v>
      </c>
      <c r="W999">
        <v>3.6</v>
      </c>
      <c r="X999">
        <v>4</v>
      </c>
      <c r="Y999" t="s">
        <v>43</v>
      </c>
      <c r="Z999">
        <v>3.52</v>
      </c>
      <c r="AA999" t="s">
        <v>35</v>
      </c>
    </row>
    <row r="1000" spans="1:27" x14ac:dyDescent="0.3">
      <c r="A1000" t="s">
        <v>36</v>
      </c>
      <c r="B1000" t="s">
        <v>37</v>
      </c>
      <c r="C1000">
        <v>2025</v>
      </c>
      <c r="D1000" t="s">
        <v>63</v>
      </c>
      <c r="E1000">
        <v>65608.600000000006</v>
      </c>
      <c r="F1000">
        <v>60.1</v>
      </c>
      <c r="G1000">
        <v>208</v>
      </c>
      <c r="H1000">
        <v>67.8</v>
      </c>
      <c r="I1000">
        <v>6.65</v>
      </c>
      <c r="J1000">
        <v>154</v>
      </c>
      <c r="K1000">
        <v>816</v>
      </c>
      <c r="L1000">
        <v>769</v>
      </c>
      <c r="M1000" t="s">
        <v>39</v>
      </c>
      <c r="N1000">
        <v>5</v>
      </c>
      <c r="O1000" t="s">
        <v>40</v>
      </c>
      <c r="P1000">
        <v>56.9</v>
      </c>
      <c r="Q1000">
        <v>1949</v>
      </c>
      <c r="R1000">
        <v>4</v>
      </c>
      <c r="S1000">
        <v>1</v>
      </c>
      <c r="T1000" t="s">
        <v>41</v>
      </c>
      <c r="U1000" t="s">
        <v>38</v>
      </c>
      <c r="V1000">
        <v>24977</v>
      </c>
      <c r="W1000">
        <v>3.4</v>
      </c>
      <c r="X1000">
        <v>5</v>
      </c>
      <c r="Y1000" t="s">
        <v>43</v>
      </c>
      <c r="Z1000">
        <v>3.46</v>
      </c>
      <c r="AA1000" t="s">
        <v>35</v>
      </c>
    </row>
    <row r="1001" spans="1:27" x14ac:dyDescent="0.3">
      <c r="A1001" t="s">
        <v>27</v>
      </c>
      <c r="B1001" t="s">
        <v>28</v>
      </c>
      <c r="C1001">
        <v>2023</v>
      </c>
      <c r="D1001" t="s">
        <v>38</v>
      </c>
      <c r="E1001">
        <v>99863.63</v>
      </c>
      <c r="F1001">
        <v>66.5</v>
      </c>
      <c r="G1001">
        <v>227</v>
      </c>
      <c r="H1001">
        <v>113.9</v>
      </c>
      <c r="I1001">
        <v>7.86</v>
      </c>
      <c r="J1001">
        <v>134</v>
      </c>
      <c r="K1001">
        <v>1000</v>
      </c>
      <c r="L1001">
        <v>879</v>
      </c>
      <c r="M1001" t="s">
        <v>30</v>
      </c>
      <c r="N1001">
        <v>7</v>
      </c>
      <c r="O1001" t="s">
        <v>31</v>
      </c>
      <c r="P1001">
        <v>63.8</v>
      </c>
      <c r="Q1001">
        <v>2583</v>
      </c>
      <c r="R1001">
        <v>5</v>
      </c>
      <c r="S1001">
        <v>0</v>
      </c>
      <c r="T1001" t="s">
        <v>32</v>
      </c>
      <c r="U1001" t="s">
        <v>38</v>
      </c>
      <c r="V1001">
        <v>237739</v>
      </c>
      <c r="W1001">
        <v>3.8</v>
      </c>
      <c r="X1001">
        <v>4</v>
      </c>
      <c r="Y1001" t="s">
        <v>61</v>
      </c>
      <c r="Z1001">
        <v>3.41</v>
      </c>
      <c r="AA1001" t="s">
        <v>35</v>
      </c>
    </row>
    <row r="1002" spans="1:27" x14ac:dyDescent="0.3">
      <c r="A1002" t="s">
        <v>52</v>
      </c>
      <c r="B1002" t="s">
        <v>53</v>
      </c>
      <c r="C1002">
        <v>2022</v>
      </c>
      <c r="D1002" t="s">
        <v>50</v>
      </c>
      <c r="E1002">
        <v>84609.91</v>
      </c>
      <c r="F1002">
        <v>107.2</v>
      </c>
      <c r="G1002">
        <v>365</v>
      </c>
      <c r="H1002">
        <v>286.89999999999998</v>
      </c>
      <c r="I1002">
        <v>5.82</v>
      </c>
      <c r="J1002">
        <v>165</v>
      </c>
      <c r="K1002">
        <v>593</v>
      </c>
      <c r="L1002">
        <v>574</v>
      </c>
      <c r="M1002" t="s">
        <v>54</v>
      </c>
      <c r="N1002">
        <v>5</v>
      </c>
      <c r="O1002" t="s">
        <v>40</v>
      </c>
      <c r="P1002">
        <v>59.3</v>
      </c>
      <c r="Q1002">
        <v>2001</v>
      </c>
      <c r="R1002">
        <v>4</v>
      </c>
      <c r="S1002">
        <v>2</v>
      </c>
      <c r="T1002" t="s">
        <v>47</v>
      </c>
      <c r="U1002" t="s">
        <v>38</v>
      </c>
      <c r="V1002">
        <v>171529</v>
      </c>
      <c r="W1002">
        <v>4.0999999999999996</v>
      </c>
      <c r="X1002">
        <v>6</v>
      </c>
      <c r="Y1002" t="s">
        <v>43</v>
      </c>
      <c r="Z1002">
        <v>3.4</v>
      </c>
      <c r="AA1002" t="s">
        <v>35</v>
      </c>
    </row>
    <row r="1003" spans="1:27" x14ac:dyDescent="0.3">
      <c r="A1003" t="s">
        <v>48</v>
      </c>
      <c r="B1003" t="s">
        <v>49</v>
      </c>
      <c r="C1003">
        <v>2025</v>
      </c>
      <c r="D1003" t="s">
        <v>38</v>
      </c>
      <c r="E1003">
        <v>81244.23</v>
      </c>
      <c r="F1003">
        <v>54.9</v>
      </c>
      <c r="G1003">
        <v>181</v>
      </c>
      <c r="H1003">
        <v>55</v>
      </c>
      <c r="I1003">
        <v>6.43</v>
      </c>
      <c r="J1003">
        <v>149</v>
      </c>
      <c r="K1003">
        <v>972</v>
      </c>
      <c r="L1003">
        <v>869</v>
      </c>
      <c r="M1003" t="s">
        <v>30</v>
      </c>
      <c r="N1003">
        <v>5</v>
      </c>
      <c r="O1003" t="s">
        <v>40</v>
      </c>
      <c r="P1003">
        <v>54.1</v>
      </c>
      <c r="Q1003">
        <v>2277</v>
      </c>
      <c r="R1003">
        <v>5</v>
      </c>
      <c r="S1003">
        <v>2</v>
      </c>
      <c r="T1003" t="s">
        <v>51</v>
      </c>
      <c r="U1003" t="s">
        <v>38</v>
      </c>
      <c r="V1003">
        <v>70466</v>
      </c>
      <c r="W1003">
        <v>3.3</v>
      </c>
      <c r="X1003">
        <v>5</v>
      </c>
      <c r="Y1003" t="s">
        <v>43</v>
      </c>
      <c r="Z1003">
        <v>3.3</v>
      </c>
      <c r="AA1003" t="s">
        <v>35</v>
      </c>
    </row>
    <row r="1004" spans="1:27" x14ac:dyDescent="0.3">
      <c r="A1004" t="s">
        <v>58</v>
      </c>
      <c r="B1004" t="s">
        <v>105</v>
      </c>
      <c r="C1004">
        <v>2024</v>
      </c>
      <c r="D1004" t="s">
        <v>38</v>
      </c>
      <c r="E1004">
        <v>167460.91</v>
      </c>
      <c r="F1004">
        <v>69.900000000000006</v>
      </c>
      <c r="G1004">
        <v>243</v>
      </c>
      <c r="H1004">
        <v>76.8</v>
      </c>
      <c r="I1004">
        <v>5.18</v>
      </c>
      <c r="J1004">
        <v>175</v>
      </c>
      <c r="K1004">
        <v>1000</v>
      </c>
      <c r="L1004">
        <v>943</v>
      </c>
      <c r="M1004" t="s">
        <v>54</v>
      </c>
      <c r="N1004">
        <v>7</v>
      </c>
      <c r="O1004" t="s">
        <v>56</v>
      </c>
      <c r="P1004">
        <v>39.799999999999997</v>
      </c>
      <c r="Q1004">
        <v>1500</v>
      </c>
      <c r="R1004">
        <v>4</v>
      </c>
      <c r="S1004">
        <v>1</v>
      </c>
      <c r="T1004" t="s">
        <v>32</v>
      </c>
      <c r="U1004" t="s">
        <v>33</v>
      </c>
      <c r="V1004">
        <v>50533</v>
      </c>
      <c r="W1004">
        <v>3.7</v>
      </c>
      <c r="X1004">
        <v>5</v>
      </c>
      <c r="Y1004" t="s">
        <v>43</v>
      </c>
      <c r="Z1004">
        <v>3.48</v>
      </c>
      <c r="AA1004" t="s">
        <v>35</v>
      </c>
    </row>
    <row r="1005" spans="1:27" x14ac:dyDescent="0.3">
      <c r="A1005" t="s">
        <v>44</v>
      </c>
      <c r="B1005" t="s">
        <v>110</v>
      </c>
      <c r="C1005">
        <v>2023</v>
      </c>
      <c r="D1005" t="s">
        <v>50</v>
      </c>
      <c r="E1005">
        <v>33127.160000000003</v>
      </c>
      <c r="F1005">
        <v>87.4</v>
      </c>
      <c r="G1005">
        <v>303</v>
      </c>
      <c r="H1005">
        <v>69.7</v>
      </c>
      <c r="I1005">
        <v>5.64</v>
      </c>
      <c r="J1005">
        <v>160</v>
      </c>
      <c r="K1005">
        <v>228</v>
      </c>
      <c r="L1005">
        <v>275</v>
      </c>
      <c r="M1005" t="s">
        <v>39</v>
      </c>
      <c r="N1005">
        <v>5</v>
      </c>
      <c r="O1005" t="s">
        <v>40</v>
      </c>
      <c r="P1005">
        <v>39.5</v>
      </c>
      <c r="Q1005">
        <v>2025</v>
      </c>
      <c r="R1005">
        <v>4</v>
      </c>
      <c r="S1005">
        <v>0</v>
      </c>
      <c r="T1005" t="s">
        <v>47</v>
      </c>
      <c r="U1005" t="s">
        <v>74</v>
      </c>
      <c r="V1005">
        <v>19880</v>
      </c>
      <c r="W1005">
        <v>3.7</v>
      </c>
      <c r="X1005">
        <v>5</v>
      </c>
      <c r="Y1005" t="s">
        <v>43</v>
      </c>
      <c r="Z1005">
        <v>3.47</v>
      </c>
      <c r="AA1005" t="s">
        <v>43</v>
      </c>
    </row>
    <row r="1006" spans="1:27" x14ac:dyDescent="0.3">
      <c r="A1006" t="s">
        <v>84</v>
      </c>
      <c r="B1006" t="s">
        <v>106</v>
      </c>
      <c r="C1006">
        <v>2023</v>
      </c>
      <c r="D1006" t="s">
        <v>29</v>
      </c>
      <c r="E1006">
        <v>66131.67</v>
      </c>
      <c r="F1006">
        <v>96.5</v>
      </c>
      <c r="G1006">
        <v>322</v>
      </c>
      <c r="H1006">
        <v>171.9</v>
      </c>
      <c r="I1006">
        <v>2.66</v>
      </c>
      <c r="J1006">
        <v>200</v>
      </c>
      <c r="K1006">
        <v>729</v>
      </c>
      <c r="L1006">
        <v>712</v>
      </c>
      <c r="M1006" t="s">
        <v>39</v>
      </c>
      <c r="N1006">
        <v>5</v>
      </c>
      <c r="O1006" t="s">
        <v>31</v>
      </c>
      <c r="P1006">
        <v>51.8</v>
      </c>
      <c r="Q1006">
        <v>2343</v>
      </c>
      <c r="R1006">
        <v>5</v>
      </c>
      <c r="S1006">
        <v>0</v>
      </c>
      <c r="T1006" t="s">
        <v>47</v>
      </c>
      <c r="U1006" t="s">
        <v>38</v>
      </c>
      <c r="V1006">
        <v>34351</v>
      </c>
      <c r="W1006">
        <v>3.5</v>
      </c>
      <c r="X1006">
        <v>4</v>
      </c>
      <c r="Y1006" t="s">
        <v>34</v>
      </c>
      <c r="Z1006">
        <v>3.34</v>
      </c>
      <c r="AA1006" t="s">
        <v>35</v>
      </c>
    </row>
    <row r="1007" spans="1:27" x14ac:dyDescent="0.3">
      <c r="A1007" t="s">
        <v>91</v>
      </c>
      <c r="B1007" t="s">
        <v>92</v>
      </c>
      <c r="C1007">
        <v>2024</v>
      </c>
      <c r="D1007" t="s">
        <v>63</v>
      </c>
      <c r="E1007">
        <v>58695</v>
      </c>
      <c r="F1007">
        <v>50</v>
      </c>
      <c r="G1007">
        <v>177</v>
      </c>
      <c r="H1007">
        <v>105.7</v>
      </c>
      <c r="I1007">
        <v>6.25</v>
      </c>
      <c r="J1007">
        <v>155</v>
      </c>
      <c r="K1007">
        <v>314</v>
      </c>
      <c r="L1007">
        <v>298</v>
      </c>
      <c r="M1007" t="s">
        <v>30</v>
      </c>
      <c r="N1007">
        <v>5</v>
      </c>
      <c r="O1007" t="s">
        <v>57</v>
      </c>
      <c r="P1007">
        <v>21</v>
      </c>
      <c r="Q1007">
        <v>1677</v>
      </c>
      <c r="R1007">
        <v>4</v>
      </c>
      <c r="S1007">
        <v>2</v>
      </c>
      <c r="T1007" t="s">
        <v>32</v>
      </c>
      <c r="U1007" t="s">
        <v>42</v>
      </c>
      <c r="V1007">
        <v>59887</v>
      </c>
      <c r="W1007">
        <v>3.4</v>
      </c>
      <c r="X1007">
        <v>6</v>
      </c>
      <c r="Y1007" t="s">
        <v>43</v>
      </c>
      <c r="Z1007">
        <v>3.54</v>
      </c>
      <c r="AA1007" t="s">
        <v>35</v>
      </c>
    </row>
    <row r="1008" spans="1:27" x14ac:dyDescent="0.3">
      <c r="A1008" t="s">
        <v>44</v>
      </c>
      <c r="B1008" t="s">
        <v>126</v>
      </c>
      <c r="C1008">
        <v>2025</v>
      </c>
      <c r="D1008" t="s">
        <v>38</v>
      </c>
      <c r="E1008">
        <v>46867.37</v>
      </c>
      <c r="F1008">
        <v>59.3</v>
      </c>
      <c r="G1008">
        <v>232</v>
      </c>
      <c r="H1008">
        <v>69.2</v>
      </c>
      <c r="I1008">
        <v>7.47</v>
      </c>
      <c r="J1008">
        <v>135</v>
      </c>
      <c r="K1008">
        <v>501</v>
      </c>
      <c r="L1008">
        <v>394</v>
      </c>
      <c r="M1008" t="s">
        <v>54</v>
      </c>
      <c r="N1008">
        <v>7</v>
      </c>
      <c r="O1008" t="s">
        <v>65</v>
      </c>
      <c r="P1008">
        <v>37.1</v>
      </c>
      <c r="Q1008">
        <v>1579</v>
      </c>
      <c r="R1008">
        <v>5</v>
      </c>
      <c r="S1008">
        <v>0</v>
      </c>
      <c r="T1008" t="s">
        <v>47</v>
      </c>
      <c r="U1008" t="s">
        <v>42</v>
      </c>
      <c r="V1008">
        <v>24354</v>
      </c>
      <c r="W1008">
        <v>3.3</v>
      </c>
      <c r="X1008">
        <v>3</v>
      </c>
      <c r="Y1008" t="s">
        <v>61</v>
      </c>
      <c r="Z1008">
        <v>3.91</v>
      </c>
      <c r="AA1008" t="s">
        <v>35</v>
      </c>
    </row>
    <row r="1009" spans="1:27" x14ac:dyDescent="0.3">
      <c r="A1009" t="s">
        <v>58</v>
      </c>
      <c r="B1009" t="s">
        <v>59</v>
      </c>
      <c r="C1009">
        <v>2024</v>
      </c>
      <c r="D1009" t="s">
        <v>29</v>
      </c>
      <c r="E1009">
        <v>183949.91</v>
      </c>
      <c r="F1009">
        <v>87</v>
      </c>
      <c r="G1009">
        <v>328</v>
      </c>
      <c r="H1009">
        <v>226.2</v>
      </c>
      <c r="I1009">
        <v>3.1</v>
      </c>
      <c r="J1009">
        <v>200</v>
      </c>
      <c r="K1009">
        <v>1000</v>
      </c>
      <c r="L1009">
        <v>941</v>
      </c>
      <c r="M1009" t="s">
        <v>30</v>
      </c>
      <c r="N1009">
        <v>5</v>
      </c>
      <c r="O1009" t="s">
        <v>57</v>
      </c>
      <c r="P1009">
        <v>15.9</v>
      </c>
      <c r="Q1009">
        <v>1676</v>
      </c>
      <c r="R1009">
        <v>5</v>
      </c>
      <c r="S1009">
        <v>2</v>
      </c>
      <c r="T1009" t="s">
        <v>32</v>
      </c>
      <c r="U1009" t="s">
        <v>33</v>
      </c>
      <c r="V1009">
        <v>78765</v>
      </c>
      <c r="W1009">
        <v>4.0999999999999996</v>
      </c>
      <c r="X1009">
        <v>6</v>
      </c>
      <c r="Y1009" t="s">
        <v>34</v>
      </c>
      <c r="Z1009">
        <v>3.77</v>
      </c>
      <c r="AA1009" t="s">
        <v>35</v>
      </c>
    </row>
    <row r="1010" spans="1:27" x14ac:dyDescent="0.3">
      <c r="A1010" t="s">
        <v>71</v>
      </c>
      <c r="B1010" t="s">
        <v>96</v>
      </c>
      <c r="C1010">
        <v>2025</v>
      </c>
      <c r="D1010" t="s">
        <v>50</v>
      </c>
      <c r="E1010">
        <v>26705.48</v>
      </c>
      <c r="F1010">
        <v>85.3</v>
      </c>
      <c r="G1010">
        <v>273</v>
      </c>
      <c r="H1010">
        <v>118.5</v>
      </c>
      <c r="I1010">
        <v>5.64</v>
      </c>
      <c r="J1010">
        <v>169</v>
      </c>
      <c r="K1010">
        <v>280</v>
      </c>
      <c r="L1010">
        <v>247</v>
      </c>
      <c r="M1010" t="s">
        <v>30</v>
      </c>
      <c r="N1010">
        <v>7</v>
      </c>
      <c r="O1010" t="s">
        <v>31</v>
      </c>
      <c r="P1010">
        <v>51.9</v>
      </c>
      <c r="Q1010">
        <v>2625</v>
      </c>
      <c r="R1010">
        <v>4</v>
      </c>
      <c r="S1010">
        <v>1</v>
      </c>
      <c r="T1010" t="s">
        <v>73</v>
      </c>
      <c r="U1010" t="s">
        <v>74</v>
      </c>
      <c r="V1010">
        <v>188547</v>
      </c>
      <c r="W1010">
        <v>3.4</v>
      </c>
      <c r="X1010">
        <v>3</v>
      </c>
      <c r="Y1010" t="s">
        <v>43</v>
      </c>
      <c r="Z1010">
        <v>3.2</v>
      </c>
      <c r="AA1010" t="s">
        <v>35</v>
      </c>
    </row>
    <row r="1011" spans="1:27" x14ac:dyDescent="0.3">
      <c r="A1011" t="s">
        <v>76</v>
      </c>
      <c r="B1011" t="s">
        <v>114</v>
      </c>
      <c r="C1011">
        <v>2024</v>
      </c>
      <c r="D1011" t="s">
        <v>68</v>
      </c>
      <c r="E1011">
        <v>37623.67</v>
      </c>
      <c r="F1011">
        <v>63.5</v>
      </c>
      <c r="G1011">
        <v>214</v>
      </c>
      <c r="H1011">
        <v>107.8</v>
      </c>
      <c r="I1011">
        <v>5.74</v>
      </c>
      <c r="J1011">
        <v>165</v>
      </c>
      <c r="K1011">
        <v>344</v>
      </c>
      <c r="L1011">
        <v>327</v>
      </c>
      <c r="M1011" t="s">
        <v>54</v>
      </c>
      <c r="N1011">
        <v>5</v>
      </c>
      <c r="O1011" t="s">
        <v>46</v>
      </c>
      <c r="P1011">
        <v>75.8</v>
      </c>
      <c r="Q1011">
        <v>1500</v>
      </c>
      <c r="R1011">
        <v>4</v>
      </c>
      <c r="S1011">
        <v>0</v>
      </c>
      <c r="T1011" t="s">
        <v>51</v>
      </c>
      <c r="U1011" t="s">
        <v>42</v>
      </c>
      <c r="V1011">
        <v>76324</v>
      </c>
      <c r="W1011">
        <v>3.3</v>
      </c>
      <c r="X1011">
        <v>4</v>
      </c>
      <c r="Y1011" t="s">
        <v>43</v>
      </c>
      <c r="Z1011">
        <v>3.37</v>
      </c>
      <c r="AA1011" t="s">
        <v>35</v>
      </c>
    </row>
    <row r="1012" spans="1:27" x14ac:dyDescent="0.3">
      <c r="A1012" t="s">
        <v>71</v>
      </c>
      <c r="B1012" t="s">
        <v>104</v>
      </c>
      <c r="C1012">
        <v>2025</v>
      </c>
      <c r="D1012" t="s">
        <v>29</v>
      </c>
      <c r="E1012">
        <v>98821.6</v>
      </c>
      <c r="F1012">
        <v>98.4</v>
      </c>
      <c r="G1012">
        <v>363</v>
      </c>
      <c r="H1012">
        <v>218.3</v>
      </c>
      <c r="I1012">
        <v>3.74</v>
      </c>
      <c r="J1012">
        <v>189</v>
      </c>
      <c r="K1012">
        <v>1000</v>
      </c>
      <c r="L1012">
        <v>930</v>
      </c>
      <c r="M1012" t="s">
        <v>30</v>
      </c>
      <c r="N1012">
        <v>7</v>
      </c>
      <c r="O1012" t="s">
        <v>56</v>
      </c>
      <c r="P1012">
        <v>21.5</v>
      </c>
      <c r="Q1012">
        <v>1500</v>
      </c>
      <c r="R1012">
        <v>4</v>
      </c>
      <c r="S1012">
        <v>1</v>
      </c>
      <c r="T1012" t="s">
        <v>73</v>
      </c>
      <c r="U1012" t="s">
        <v>38</v>
      </c>
      <c r="V1012">
        <v>172137</v>
      </c>
      <c r="W1012">
        <v>3.9</v>
      </c>
      <c r="X1012">
        <v>4</v>
      </c>
      <c r="Y1012" t="s">
        <v>34</v>
      </c>
      <c r="Z1012">
        <v>3.69</v>
      </c>
      <c r="AA1012" t="s">
        <v>35</v>
      </c>
    </row>
    <row r="1013" spans="1:27" x14ac:dyDescent="0.3">
      <c r="A1013" t="s">
        <v>107</v>
      </c>
      <c r="B1013" t="s">
        <v>108</v>
      </c>
      <c r="C1013">
        <v>2025</v>
      </c>
      <c r="D1013" t="s">
        <v>68</v>
      </c>
      <c r="E1013">
        <v>186969.89</v>
      </c>
      <c r="F1013">
        <v>80.5</v>
      </c>
      <c r="G1013">
        <v>291</v>
      </c>
      <c r="H1013">
        <v>313.10000000000002</v>
      </c>
      <c r="I1013">
        <v>7.79</v>
      </c>
      <c r="J1013">
        <v>132</v>
      </c>
      <c r="K1013">
        <v>1000</v>
      </c>
      <c r="L1013">
        <v>936</v>
      </c>
      <c r="M1013" t="s">
        <v>30</v>
      </c>
      <c r="N1013">
        <v>5</v>
      </c>
      <c r="O1013" t="s">
        <v>56</v>
      </c>
      <c r="P1013">
        <v>18.399999999999999</v>
      </c>
      <c r="Q1013">
        <v>1894</v>
      </c>
      <c r="R1013">
        <v>5</v>
      </c>
      <c r="S1013">
        <v>1</v>
      </c>
      <c r="T1013" t="s">
        <v>32</v>
      </c>
      <c r="U1013" t="s">
        <v>33</v>
      </c>
      <c r="V1013">
        <v>29154</v>
      </c>
      <c r="W1013">
        <v>4.3</v>
      </c>
      <c r="X1013">
        <v>8</v>
      </c>
      <c r="Y1013" t="s">
        <v>61</v>
      </c>
      <c r="Z1013">
        <v>3.61</v>
      </c>
      <c r="AA1013" t="s">
        <v>35</v>
      </c>
    </row>
    <row r="1014" spans="1:27" x14ac:dyDescent="0.3">
      <c r="A1014" t="s">
        <v>100</v>
      </c>
      <c r="B1014" t="s">
        <v>118</v>
      </c>
      <c r="C1014">
        <v>2024</v>
      </c>
      <c r="D1014" t="s">
        <v>38</v>
      </c>
      <c r="E1014">
        <v>68322.210000000006</v>
      </c>
      <c r="F1014">
        <v>64.5</v>
      </c>
      <c r="G1014">
        <v>203</v>
      </c>
      <c r="H1014">
        <v>121.2</v>
      </c>
      <c r="I1014">
        <v>7.2</v>
      </c>
      <c r="J1014">
        <v>143</v>
      </c>
      <c r="K1014">
        <v>526</v>
      </c>
      <c r="L1014">
        <v>465</v>
      </c>
      <c r="M1014" t="s">
        <v>54</v>
      </c>
      <c r="N1014">
        <v>5</v>
      </c>
      <c r="O1014" t="s">
        <v>57</v>
      </c>
      <c r="P1014">
        <v>32.5</v>
      </c>
      <c r="Q1014">
        <v>1745</v>
      </c>
      <c r="R1014">
        <v>5</v>
      </c>
      <c r="S1014">
        <v>0</v>
      </c>
      <c r="T1014" t="s">
        <v>73</v>
      </c>
      <c r="U1014" t="s">
        <v>38</v>
      </c>
      <c r="V1014">
        <v>2458</v>
      </c>
      <c r="W1014">
        <v>3.5</v>
      </c>
      <c r="X1014">
        <v>4</v>
      </c>
      <c r="Y1014" t="s">
        <v>61</v>
      </c>
      <c r="Z1014">
        <v>3.15</v>
      </c>
      <c r="AA1014" t="s">
        <v>69</v>
      </c>
    </row>
    <row r="1015" spans="1:27" x14ac:dyDescent="0.3">
      <c r="A1015" t="s">
        <v>52</v>
      </c>
      <c r="B1015" t="s">
        <v>55</v>
      </c>
      <c r="C1015">
        <v>2024</v>
      </c>
      <c r="D1015" t="s">
        <v>38</v>
      </c>
      <c r="E1015">
        <v>91805.32</v>
      </c>
      <c r="F1015">
        <v>52.7</v>
      </c>
      <c r="G1015">
        <v>197</v>
      </c>
      <c r="H1015">
        <v>346.1</v>
      </c>
      <c r="I1015">
        <v>6.04</v>
      </c>
      <c r="J1015">
        <v>156</v>
      </c>
      <c r="K1015">
        <v>668</v>
      </c>
      <c r="L1015">
        <v>649</v>
      </c>
      <c r="M1015" t="s">
        <v>54</v>
      </c>
      <c r="N1015">
        <v>7</v>
      </c>
      <c r="O1015" t="s">
        <v>56</v>
      </c>
      <c r="P1015">
        <v>23.6</v>
      </c>
      <c r="Q1015">
        <v>1500</v>
      </c>
      <c r="R1015">
        <v>4</v>
      </c>
      <c r="S1015">
        <v>2</v>
      </c>
      <c r="T1015" t="s">
        <v>47</v>
      </c>
      <c r="U1015" t="s">
        <v>38</v>
      </c>
      <c r="V1015">
        <v>462587</v>
      </c>
      <c r="W1015">
        <v>3.5</v>
      </c>
      <c r="X1015">
        <v>5</v>
      </c>
      <c r="Y1015" t="s">
        <v>43</v>
      </c>
      <c r="Z1015">
        <v>3.74</v>
      </c>
      <c r="AA1015" t="s">
        <v>35</v>
      </c>
    </row>
    <row r="1016" spans="1:27" x14ac:dyDescent="0.3">
      <c r="A1016" t="s">
        <v>44</v>
      </c>
      <c r="B1016" t="s">
        <v>45</v>
      </c>
      <c r="C1016">
        <v>2024</v>
      </c>
      <c r="D1016" t="s">
        <v>63</v>
      </c>
      <c r="E1016">
        <v>34244.160000000003</v>
      </c>
      <c r="F1016">
        <v>59.5</v>
      </c>
      <c r="G1016">
        <v>214</v>
      </c>
      <c r="H1016">
        <v>98.8</v>
      </c>
      <c r="I1016">
        <v>5.67</v>
      </c>
      <c r="J1016">
        <v>163</v>
      </c>
      <c r="K1016">
        <v>288</v>
      </c>
      <c r="L1016">
        <v>251</v>
      </c>
      <c r="M1016" t="s">
        <v>30</v>
      </c>
      <c r="N1016">
        <v>7</v>
      </c>
      <c r="O1016" t="s">
        <v>40</v>
      </c>
      <c r="P1016">
        <v>45.1</v>
      </c>
      <c r="Q1016">
        <v>1772</v>
      </c>
      <c r="R1016">
        <v>5</v>
      </c>
      <c r="S1016">
        <v>0</v>
      </c>
      <c r="T1016" t="s">
        <v>47</v>
      </c>
      <c r="U1016" t="s">
        <v>74</v>
      </c>
      <c r="V1016">
        <v>29653</v>
      </c>
      <c r="W1016">
        <v>3.5</v>
      </c>
      <c r="X1016">
        <v>4</v>
      </c>
      <c r="Y1016" t="s">
        <v>43</v>
      </c>
      <c r="Z1016">
        <v>3.6</v>
      </c>
      <c r="AA1016" t="s">
        <v>35</v>
      </c>
    </row>
    <row r="1017" spans="1:27" x14ac:dyDescent="0.3">
      <c r="A1017" t="s">
        <v>102</v>
      </c>
      <c r="B1017" t="s">
        <v>103</v>
      </c>
      <c r="C1017">
        <v>2026</v>
      </c>
      <c r="D1017" t="s">
        <v>29</v>
      </c>
      <c r="E1017">
        <v>113739.43</v>
      </c>
      <c r="F1017">
        <v>106.9</v>
      </c>
      <c r="G1017">
        <v>358</v>
      </c>
      <c r="H1017">
        <v>185.6</v>
      </c>
      <c r="I1017">
        <v>3.03</v>
      </c>
      <c r="J1017">
        <v>200</v>
      </c>
      <c r="K1017">
        <v>1000</v>
      </c>
      <c r="L1017">
        <v>935</v>
      </c>
      <c r="M1017" t="s">
        <v>30</v>
      </c>
      <c r="N1017">
        <v>5</v>
      </c>
      <c r="O1017" t="s">
        <v>57</v>
      </c>
      <c r="P1017">
        <v>36.5</v>
      </c>
      <c r="Q1017">
        <v>1500</v>
      </c>
      <c r="R1017">
        <v>4</v>
      </c>
      <c r="S1017">
        <v>1</v>
      </c>
      <c r="T1017" t="s">
        <v>47</v>
      </c>
      <c r="U1017" t="s">
        <v>33</v>
      </c>
      <c r="V1017">
        <v>22439</v>
      </c>
      <c r="W1017">
        <v>3.8</v>
      </c>
      <c r="X1017">
        <v>6</v>
      </c>
      <c r="Y1017" t="s">
        <v>34</v>
      </c>
      <c r="Z1017">
        <v>3.35</v>
      </c>
      <c r="AA1017" t="s">
        <v>35</v>
      </c>
    </row>
    <row r="1018" spans="1:27" x14ac:dyDescent="0.3">
      <c r="A1018" t="s">
        <v>52</v>
      </c>
      <c r="B1018" t="s">
        <v>80</v>
      </c>
      <c r="C1018">
        <v>2025</v>
      </c>
      <c r="D1018" t="s">
        <v>68</v>
      </c>
      <c r="E1018">
        <v>98006.33</v>
      </c>
      <c r="F1018">
        <v>50.5</v>
      </c>
      <c r="G1018">
        <v>177</v>
      </c>
      <c r="H1018">
        <v>336</v>
      </c>
      <c r="I1018">
        <v>7.58</v>
      </c>
      <c r="J1018">
        <v>138</v>
      </c>
      <c r="K1018">
        <v>719</v>
      </c>
      <c r="L1018">
        <v>587</v>
      </c>
      <c r="M1018" t="s">
        <v>39</v>
      </c>
      <c r="N1018">
        <v>7</v>
      </c>
      <c r="O1018" t="s">
        <v>31</v>
      </c>
      <c r="P1018">
        <v>67.599999999999994</v>
      </c>
      <c r="Q1018">
        <v>2276</v>
      </c>
      <c r="R1018">
        <v>4</v>
      </c>
      <c r="S1018">
        <v>3</v>
      </c>
      <c r="T1018" t="s">
        <v>47</v>
      </c>
      <c r="U1018" t="s">
        <v>38</v>
      </c>
      <c r="V1018">
        <v>113383</v>
      </c>
      <c r="W1018">
        <v>3.8</v>
      </c>
      <c r="X1018">
        <v>4</v>
      </c>
      <c r="Y1018" t="s">
        <v>61</v>
      </c>
      <c r="Z1018">
        <v>3.5</v>
      </c>
      <c r="AA1018" t="s">
        <v>35</v>
      </c>
    </row>
    <row r="1019" spans="1:27" x14ac:dyDescent="0.3">
      <c r="A1019" t="s">
        <v>48</v>
      </c>
      <c r="B1019" t="s">
        <v>88</v>
      </c>
      <c r="C1019">
        <v>2024</v>
      </c>
      <c r="D1019" t="s">
        <v>68</v>
      </c>
      <c r="E1019">
        <v>67166.429999999993</v>
      </c>
      <c r="F1019">
        <v>71.5</v>
      </c>
      <c r="G1019">
        <v>240</v>
      </c>
      <c r="H1019">
        <v>70.8</v>
      </c>
      <c r="I1019">
        <v>7.01</v>
      </c>
      <c r="J1019">
        <v>135</v>
      </c>
      <c r="K1019">
        <v>723</v>
      </c>
      <c r="L1019">
        <v>642</v>
      </c>
      <c r="M1019" t="s">
        <v>30</v>
      </c>
      <c r="N1019">
        <v>5</v>
      </c>
      <c r="O1019" t="s">
        <v>40</v>
      </c>
      <c r="P1019">
        <v>61.2</v>
      </c>
      <c r="Q1019">
        <v>1821</v>
      </c>
      <c r="R1019">
        <v>4</v>
      </c>
      <c r="S1019">
        <v>2</v>
      </c>
      <c r="T1019" t="s">
        <v>51</v>
      </c>
      <c r="U1019" t="s">
        <v>38</v>
      </c>
      <c r="V1019">
        <v>69022</v>
      </c>
      <c r="W1019">
        <v>3.6</v>
      </c>
      <c r="X1019">
        <v>5</v>
      </c>
      <c r="Y1019" t="s">
        <v>61</v>
      </c>
      <c r="Z1019">
        <v>3.36</v>
      </c>
      <c r="AA1019" t="s">
        <v>35</v>
      </c>
    </row>
    <row r="1020" spans="1:27" x14ac:dyDescent="0.3">
      <c r="A1020" t="s">
        <v>102</v>
      </c>
      <c r="B1020" t="s">
        <v>136</v>
      </c>
      <c r="C1020">
        <v>2024</v>
      </c>
      <c r="D1020" t="s">
        <v>63</v>
      </c>
      <c r="E1020">
        <v>73774.27</v>
      </c>
      <c r="F1020">
        <v>67.400000000000006</v>
      </c>
      <c r="G1020">
        <v>263</v>
      </c>
      <c r="H1020">
        <v>131.80000000000001</v>
      </c>
      <c r="I1020">
        <v>6.54</v>
      </c>
      <c r="J1020">
        <v>148</v>
      </c>
      <c r="K1020">
        <v>325</v>
      </c>
      <c r="L1020">
        <v>272</v>
      </c>
      <c r="M1020" t="s">
        <v>30</v>
      </c>
      <c r="N1020">
        <v>7</v>
      </c>
      <c r="O1020" t="s">
        <v>31</v>
      </c>
      <c r="P1020">
        <v>70.8</v>
      </c>
      <c r="Q1020">
        <v>2508</v>
      </c>
      <c r="R1020">
        <v>5</v>
      </c>
      <c r="S1020">
        <v>1</v>
      </c>
      <c r="T1020" t="s">
        <v>47</v>
      </c>
      <c r="U1020" t="s">
        <v>38</v>
      </c>
      <c r="V1020">
        <v>22100</v>
      </c>
      <c r="W1020">
        <v>3.5</v>
      </c>
      <c r="X1020">
        <v>4</v>
      </c>
      <c r="Y1020" t="s">
        <v>43</v>
      </c>
      <c r="Z1020">
        <v>3.9</v>
      </c>
      <c r="AA1020" t="s">
        <v>35</v>
      </c>
    </row>
    <row r="1021" spans="1:27" x14ac:dyDescent="0.3">
      <c r="A1021" t="s">
        <v>52</v>
      </c>
      <c r="B1021" t="s">
        <v>55</v>
      </c>
      <c r="C1021">
        <v>2024</v>
      </c>
      <c r="D1021" t="s">
        <v>50</v>
      </c>
      <c r="E1021">
        <v>98420.53</v>
      </c>
      <c r="F1021">
        <v>75.3</v>
      </c>
      <c r="G1021">
        <v>267</v>
      </c>
      <c r="H1021">
        <v>260</v>
      </c>
      <c r="I1021">
        <v>5.57</v>
      </c>
      <c r="J1021">
        <v>165</v>
      </c>
      <c r="K1021">
        <v>739</v>
      </c>
      <c r="L1021">
        <v>720</v>
      </c>
      <c r="M1021" t="s">
        <v>54</v>
      </c>
      <c r="N1021">
        <v>5</v>
      </c>
      <c r="O1021" t="s">
        <v>56</v>
      </c>
      <c r="P1021">
        <v>30.6</v>
      </c>
      <c r="Q1021">
        <v>1628</v>
      </c>
      <c r="R1021">
        <v>5</v>
      </c>
      <c r="S1021">
        <v>3</v>
      </c>
      <c r="T1021" t="s">
        <v>47</v>
      </c>
      <c r="U1021" t="s">
        <v>38</v>
      </c>
      <c r="V1021">
        <v>459091</v>
      </c>
      <c r="W1021">
        <v>3.7</v>
      </c>
      <c r="X1021">
        <v>6</v>
      </c>
      <c r="Y1021" t="s">
        <v>43</v>
      </c>
      <c r="Z1021">
        <v>3.55</v>
      </c>
      <c r="AA1021" t="s">
        <v>35</v>
      </c>
    </row>
    <row r="1022" spans="1:27" x14ac:dyDescent="0.3">
      <c r="A1022" t="s">
        <v>44</v>
      </c>
      <c r="B1022" t="s">
        <v>126</v>
      </c>
      <c r="C1022">
        <v>2024</v>
      </c>
      <c r="D1022" t="s">
        <v>68</v>
      </c>
      <c r="E1022">
        <v>42545.39</v>
      </c>
      <c r="F1022">
        <v>40</v>
      </c>
      <c r="G1022">
        <v>150</v>
      </c>
      <c r="H1022">
        <v>115.3</v>
      </c>
      <c r="I1022">
        <v>5.39</v>
      </c>
      <c r="J1022">
        <v>171</v>
      </c>
      <c r="K1022">
        <v>460</v>
      </c>
      <c r="L1022">
        <v>408</v>
      </c>
      <c r="M1022" t="s">
        <v>39</v>
      </c>
      <c r="N1022">
        <v>7</v>
      </c>
      <c r="O1022" t="s">
        <v>65</v>
      </c>
      <c r="P1022">
        <v>21</v>
      </c>
      <c r="Q1022">
        <v>1830</v>
      </c>
      <c r="R1022">
        <v>3</v>
      </c>
      <c r="S1022">
        <v>1</v>
      </c>
      <c r="T1022" t="s">
        <v>47</v>
      </c>
      <c r="U1022" t="s">
        <v>42</v>
      </c>
      <c r="V1022">
        <v>11545</v>
      </c>
      <c r="W1022">
        <v>3.4</v>
      </c>
      <c r="X1022">
        <v>4</v>
      </c>
      <c r="Y1022" t="s">
        <v>43</v>
      </c>
      <c r="Z1022">
        <v>3.75</v>
      </c>
      <c r="AA1022" t="s">
        <v>43</v>
      </c>
    </row>
    <row r="1023" spans="1:27" x14ac:dyDescent="0.3">
      <c r="A1023" t="s">
        <v>71</v>
      </c>
      <c r="B1023" t="s">
        <v>90</v>
      </c>
      <c r="C1023">
        <v>2023</v>
      </c>
      <c r="D1023" t="s">
        <v>29</v>
      </c>
      <c r="E1023">
        <v>25921.47</v>
      </c>
      <c r="F1023">
        <v>101.8</v>
      </c>
      <c r="G1023">
        <v>344</v>
      </c>
      <c r="H1023">
        <v>196.5</v>
      </c>
      <c r="I1023">
        <v>4.43</v>
      </c>
      <c r="J1023">
        <v>188</v>
      </c>
      <c r="K1023">
        <v>215</v>
      </c>
      <c r="L1023">
        <v>200</v>
      </c>
      <c r="M1023" t="s">
        <v>30</v>
      </c>
      <c r="N1023">
        <v>5</v>
      </c>
      <c r="O1023" t="s">
        <v>31</v>
      </c>
      <c r="P1023">
        <v>74.599999999999994</v>
      </c>
      <c r="Q1023">
        <v>2544</v>
      </c>
      <c r="R1023">
        <v>5</v>
      </c>
      <c r="S1023">
        <v>0</v>
      </c>
      <c r="T1023" t="s">
        <v>73</v>
      </c>
      <c r="U1023" t="s">
        <v>74</v>
      </c>
      <c r="V1023">
        <v>110847</v>
      </c>
      <c r="W1023">
        <v>3.9</v>
      </c>
      <c r="X1023">
        <v>4</v>
      </c>
      <c r="Y1023" t="s">
        <v>43</v>
      </c>
      <c r="Z1023">
        <v>3.38</v>
      </c>
      <c r="AA1023" t="s">
        <v>35</v>
      </c>
    </row>
    <row r="1024" spans="1:27" x14ac:dyDescent="0.3">
      <c r="A1024" t="s">
        <v>102</v>
      </c>
      <c r="B1024" t="s">
        <v>136</v>
      </c>
      <c r="C1024">
        <v>2024</v>
      </c>
      <c r="D1024" t="s">
        <v>68</v>
      </c>
      <c r="E1024">
        <v>86119.94</v>
      </c>
      <c r="F1024">
        <v>52.4</v>
      </c>
      <c r="G1024">
        <v>172</v>
      </c>
      <c r="H1024">
        <v>92.5</v>
      </c>
      <c r="I1024">
        <v>5.38</v>
      </c>
      <c r="J1024">
        <v>170</v>
      </c>
      <c r="K1024">
        <v>1000</v>
      </c>
      <c r="L1024">
        <v>929</v>
      </c>
      <c r="M1024" t="s">
        <v>30</v>
      </c>
      <c r="N1024">
        <v>7</v>
      </c>
      <c r="O1024" t="s">
        <v>46</v>
      </c>
      <c r="P1024">
        <v>69</v>
      </c>
      <c r="Q1024">
        <v>1514</v>
      </c>
      <c r="R1024">
        <v>4</v>
      </c>
      <c r="S1024">
        <v>1</v>
      </c>
      <c r="T1024" t="s">
        <v>47</v>
      </c>
      <c r="U1024" t="s">
        <v>38</v>
      </c>
      <c r="V1024">
        <v>1755</v>
      </c>
      <c r="W1024">
        <v>3.2</v>
      </c>
      <c r="X1024">
        <v>4</v>
      </c>
      <c r="Y1024" t="s">
        <v>43</v>
      </c>
      <c r="Z1024">
        <v>3.28</v>
      </c>
      <c r="AA1024" t="s">
        <v>69</v>
      </c>
    </row>
    <row r="1025" spans="1:27" x14ac:dyDescent="0.3">
      <c r="A1025" t="s">
        <v>66</v>
      </c>
      <c r="B1025" t="s">
        <v>67</v>
      </c>
      <c r="C1025">
        <v>2024</v>
      </c>
      <c r="D1025" t="s">
        <v>29</v>
      </c>
      <c r="E1025">
        <v>77587.25</v>
      </c>
      <c r="F1025">
        <v>78.3</v>
      </c>
      <c r="G1025">
        <v>296</v>
      </c>
      <c r="H1025">
        <v>183.2</v>
      </c>
      <c r="I1025">
        <v>3.66</v>
      </c>
      <c r="J1025">
        <v>198</v>
      </c>
      <c r="K1025">
        <v>605</v>
      </c>
      <c r="L1025">
        <v>533</v>
      </c>
      <c r="M1025" t="s">
        <v>30</v>
      </c>
      <c r="N1025">
        <v>7</v>
      </c>
      <c r="O1025" t="s">
        <v>65</v>
      </c>
      <c r="P1025">
        <v>34.4</v>
      </c>
      <c r="Q1025">
        <v>1691</v>
      </c>
      <c r="R1025">
        <v>4</v>
      </c>
      <c r="S1025">
        <v>1</v>
      </c>
      <c r="T1025" t="s">
        <v>47</v>
      </c>
      <c r="U1025" t="s">
        <v>38</v>
      </c>
      <c r="V1025">
        <v>24352</v>
      </c>
      <c r="W1025">
        <v>3.5</v>
      </c>
      <c r="X1025">
        <v>5</v>
      </c>
      <c r="Y1025" t="s">
        <v>34</v>
      </c>
      <c r="Z1025">
        <v>3.78</v>
      </c>
      <c r="AA1025" t="s">
        <v>35</v>
      </c>
    </row>
    <row r="1026" spans="1:27" x14ac:dyDescent="0.3">
      <c r="A1026" t="s">
        <v>36</v>
      </c>
      <c r="B1026" t="s">
        <v>120</v>
      </c>
      <c r="C1026">
        <v>2026</v>
      </c>
      <c r="D1026" t="s">
        <v>50</v>
      </c>
      <c r="E1026">
        <v>89238.61</v>
      </c>
      <c r="F1026">
        <v>105.2</v>
      </c>
      <c r="G1026">
        <v>336</v>
      </c>
      <c r="H1026">
        <v>114</v>
      </c>
      <c r="I1026">
        <v>4.8899999999999997</v>
      </c>
      <c r="J1026">
        <v>178</v>
      </c>
      <c r="K1026">
        <v>1000</v>
      </c>
      <c r="L1026">
        <v>879</v>
      </c>
      <c r="M1026" t="s">
        <v>54</v>
      </c>
      <c r="N1026">
        <v>5</v>
      </c>
      <c r="O1026" t="s">
        <v>56</v>
      </c>
      <c r="P1026">
        <v>36</v>
      </c>
      <c r="Q1026">
        <v>1734</v>
      </c>
      <c r="R1026">
        <v>5</v>
      </c>
      <c r="S1026">
        <v>0</v>
      </c>
      <c r="T1026" t="s">
        <v>41</v>
      </c>
      <c r="U1026" t="s">
        <v>38</v>
      </c>
      <c r="V1026">
        <v>3195</v>
      </c>
      <c r="W1026">
        <v>4</v>
      </c>
      <c r="X1026">
        <v>5</v>
      </c>
      <c r="Y1026" t="s">
        <v>43</v>
      </c>
      <c r="Z1026">
        <v>3.19</v>
      </c>
      <c r="AA1026" t="s">
        <v>69</v>
      </c>
    </row>
    <row r="1027" spans="1:27" x14ac:dyDescent="0.3">
      <c r="A1027" t="s">
        <v>76</v>
      </c>
      <c r="B1027" t="s">
        <v>87</v>
      </c>
      <c r="C1027">
        <v>2023</v>
      </c>
      <c r="D1027" t="s">
        <v>68</v>
      </c>
      <c r="E1027">
        <v>53342.39</v>
      </c>
      <c r="F1027">
        <v>42.5</v>
      </c>
      <c r="G1027">
        <v>150</v>
      </c>
      <c r="H1027">
        <v>111.1</v>
      </c>
      <c r="I1027">
        <v>5.32</v>
      </c>
      <c r="J1027">
        <v>179</v>
      </c>
      <c r="K1027">
        <v>558</v>
      </c>
      <c r="L1027">
        <v>506</v>
      </c>
      <c r="M1027" t="s">
        <v>39</v>
      </c>
      <c r="N1027">
        <v>5</v>
      </c>
      <c r="O1027" t="s">
        <v>65</v>
      </c>
      <c r="P1027">
        <v>15.5</v>
      </c>
      <c r="Q1027">
        <v>1500</v>
      </c>
      <c r="R1027">
        <v>4</v>
      </c>
      <c r="S1027">
        <v>0</v>
      </c>
      <c r="T1027" t="s">
        <v>51</v>
      </c>
      <c r="U1027" t="s">
        <v>42</v>
      </c>
      <c r="V1027">
        <v>142003</v>
      </c>
      <c r="W1027">
        <v>3.2</v>
      </c>
      <c r="X1027">
        <v>4</v>
      </c>
      <c r="Y1027" t="s">
        <v>43</v>
      </c>
      <c r="Z1027">
        <v>3.53</v>
      </c>
      <c r="AA1027" t="s">
        <v>35</v>
      </c>
    </row>
    <row r="1028" spans="1:27" x14ac:dyDescent="0.3">
      <c r="A1028" t="s">
        <v>58</v>
      </c>
      <c r="B1028" t="s">
        <v>59</v>
      </c>
      <c r="C1028">
        <v>2026</v>
      </c>
      <c r="D1028" t="s">
        <v>38</v>
      </c>
      <c r="E1028">
        <v>108752.82</v>
      </c>
      <c r="F1028">
        <v>76.2</v>
      </c>
      <c r="G1028">
        <v>250</v>
      </c>
      <c r="H1028">
        <v>137</v>
      </c>
      <c r="I1028">
        <v>6.68</v>
      </c>
      <c r="J1028">
        <v>144</v>
      </c>
      <c r="K1028">
        <v>577</v>
      </c>
      <c r="L1028">
        <v>547</v>
      </c>
      <c r="M1028" t="s">
        <v>30</v>
      </c>
      <c r="N1028">
        <v>5</v>
      </c>
      <c r="O1028" t="s">
        <v>40</v>
      </c>
      <c r="P1028">
        <v>49</v>
      </c>
      <c r="Q1028">
        <v>1922</v>
      </c>
      <c r="R1028">
        <v>4</v>
      </c>
      <c r="S1028">
        <v>2</v>
      </c>
      <c r="T1028" t="s">
        <v>32</v>
      </c>
      <c r="U1028" t="s">
        <v>33</v>
      </c>
      <c r="V1028">
        <v>65854</v>
      </c>
      <c r="W1028">
        <v>3.7</v>
      </c>
      <c r="X1028">
        <v>6</v>
      </c>
      <c r="Y1028" t="s">
        <v>43</v>
      </c>
      <c r="Z1028">
        <v>3.28</v>
      </c>
      <c r="AA1028" t="s">
        <v>35</v>
      </c>
    </row>
    <row r="1029" spans="1:27" x14ac:dyDescent="0.3">
      <c r="A1029" t="s">
        <v>58</v>
      </c>
      <c r="B1029" t="s">
        <v>111</v>
      </c>
      <c r="C1029">
        <v>2022</v>
      </c>
      <c r="D1029" t="s">
        <v>63</v>
      </c>
      <c r="E1029">
        <v>94570.880000000005</v>
      </c>
      <c r="F1029">
        <v>72.7</v>
      </c>
      <c r="G1029">
        <v>257</v>
      </c>
      <c r="H1029">
        <v>91.1</v>
      </c>
      <c r="I1029">
        <v>5.86</v>
      </c>
      <c r="J1029">
        <v>162</v>
      </c>
      <c r="K1029">
        <v>421</v>
      </c>
      <c r="L1029">
        <v>339</v>
      </c>
      <c r="M1029" t="s">
        <v>30</v>
      </c>
      <c r="N1029">
        <v>7</v>
      </c>
      <c r="O1029" t="s">
        <v>31</v>
      </c>
      <c r="P1029">
        <v>78.900000000000006</v>
      </c>
      <c r="Q1029">
        <v>2664</v>
      </c>
      <c r="R1029">
        <v>5</v>
      </c>
      <c r="S1029">
        <v>2</v>
      </c>
      <c r="T1029" t="s">
        <v>32</v>
      </c>
      <c r="U1029" t="s">
        <v>38</v>
      </c>
      <c r="V1029">
        <v>59270</v>
      </c>
      <c r="W1029">
        <v>3.8</v>
      </c>
      <c r="X1029">
        <v>5</v>
      </c>
      <c r="Y1029" t="s">
        <v>43</v>
      </c>
      <c r="Z1029">
        <v>3.54</v>
      </c>
      <c r="AA1029" t="s">
        <v>35</v>
      </c>
    </row>
    <row r="1030" spans="1:27" x14ac:dyDescent="0.3">
      <c r="A1030" t="s">
        <v>71</v>
      </c>
      <c r="B1030" t="s">
        <v>104</v>
      </c>
      <c r="C1030">
        <v>2025</v>
      </c>
      <c r="D1030" t="s">
        <v>63</v>
      </c>
      <c r="E1030">
        <v>52113.75</v>
      </c>
      <c r="F1030">
        <v>54.9</v>
      </c>
      <c r="G1030">
        <v>221</v>
      </c>
      <c r="H1030">
        <v>140.9</v>
      </c>
      <c r="I1030">
        <v>6.37</v>
      </c>
      <c r="J1030">
        <v>148</v>
      </c>
      <c r="K1030">
        <v>558</v>
      </c>
      <c r="L1030">
        <v>507</v>
      </c>
      <c r="M1030" t="s">
        <v>30</v>
      </c>
      <c r="N1030">
        <v>5</v>
      </c>
      <c r="O1030" t="s">
        <v>57</v>
      </c>
      <c r="P1030">
        <v>19.8</v>
      </c>
      <c r="Q1030">
        <v>1539</v>
      </c>
      <c r="R1030">
        <v>4</v>
      </c>
      <c r="S1030">
        <v>2</v>
      </c>
      <c r="T1030" t="s">
        <v>73</v>
      </c>
      <c r="U1030" t="s">
        <v>42</v>
      </c>
      <c r="V1030">
        <v>186712</v>
      </c>
      <c r="W1030">
        <v>3.4</v>
      </c>
      <c r="X1030">
        <v>5</v>
      </c>
      <c r="Y1030" t="s">
        <v>43</v>
      </c>
      <c r="Z1030">
        <v>4.03</v>
      </c>
      <c r="AA1030" t="s">
        <v>35</v>
      </c>
    </row>
    <row r="1031" spans="1:27" x14ac:dyDescent="0.3">
      <c r="A1031" t="s">
        <v>58</v>
      </c>
      <c r="B1031" t="s">
        <v>105</v>
      </c>
      <c r="C1031">
        <v>2025</v>
      </c>
      <c r="D1031" t="s">
        <v>38</v>
      </c>
      <c r="E1031">
        <v>91108.2</v>
      </c>
      <c r="F1031">
        <v>66.3</v>
      </c>
      <c r="G1031">
        <v>223</v>
      </c>
      <c r="H1031">
        <v>90.2</v>
      </c>
      <c r="I1031">
        <v>6.24</v>
      </c>
      <c r="J1031">
        <v>157</v>
      </c>
      <c r="K1031">
        <v>447</v>
      </c>
      <c r="L1031">
        <v>344</v>
      </c>
      <c r="M1031" t="s">
        <v>30</v>
      </c>
      <c r="N1031">
        <v>5</v>
      </c>
      <c r="O1031" t="s">
        <v>46</v>
      </c>
      <c r="P1031">
        <v>71.3</v>
      </c>
      <c r="Q1031">
        <v>1793</v>
      </c>
      <c r="R1031">
        <v>5</v>
      </c>
      <c r="S1031">
        <v>1</v>
      </c>
      <c r="T1031" t="s">
        <v>32</v>
      </c>
      <c r="U1031" t="s">
        <v>38</v>
      </c>
      <c r="V1031">
        <v>58124</v>
      </c>
      <c r="W1031">
        <v>3.6</v>
      </c>
      <c r="X1031">
        <v>6</v>
      </c>
      <c r="Y1031" t="s">
        <v>43</v>
      </c>
      <c r="Z1031">
        <v>3.36</v>
      </c>
      <c r="AA1031" t="s">
        <v>35</v>
      </c>
    </row>
    <row r="1032" spans="1:27" x14ac:dyDescent="0.3">
      <c r="A1032" t="s">
        <v>52</v>
      </c>
      <c r="B1032" t="s">
        <v>80</v>
      </c>
      <c r="C1032">
        <v>2024</v>
      </c>
      <c r="D1032" t="s">
        <v>38</v>
      </c>
      <c r="E1032">
        <v>49738.35</v>
      </c>
      <c r="F1032">
        <v>47</v>
      </c>
      <c r="G1032">
        <v>150</v>
      </c>
      <c r="H1032">
        <v>329.8</v>
      </c>
      <c r="I1032">
        <v>5.85</v>
      </c>
      <c r="J1032">
        <v>165</v>
      </c>
      <c r="K1032">
        <v>378</v>
      </c>
      <c r="L1032">
        <v>292</v>
      </c>
      <c r="M1032" t="s">
        <v>54</v>
      </c>
      <c r="N1032">
        <v>7</v>
      </c>
      <c r="O1032" t="s">
        <v>31</v>
      </c>
      <c r="P1032">
        <v>57.9</v>
      </c>
      <c r="Q1032">
        <v>2606</v>
      </c>
      <c r="R1032">
        <v>5</v>
      </c>
      <c r="S1032">
        <v>3</v>
      </c>
      <c r="T1032" t="s">
        <v>47</v>
      </c>
      <c r="U1032" t="s">
        <v>42</v>
      </c>
      <c r="V1032">
        <v>179970</v>
      </c>
      <c r="W1032">
        <v>3.6</v>
      </c>
      <c r="X1032">
        <v>5</v>
      </c>
      <c r="Y1032" t="s">
        <v>43</v>
      </c>
      <c r="Z1032">
        <v>3.19</v>
      </c>
      <c r="AA1032" t="s">
        <v>35</v>
      </c>
    </row>
    <row r="1033" spans="1:27" x14ac:dyDescent="0.3">
      <c r="A1033" t="s">
        <v>48</v>
      </c>
      <c r="B1033" t="s">
        <v>88</v>
      </c>
      <c r="C1033">
        <v>2023</v>
      </c>
      <c r="D1033" t="s">
        <v>68</v>
      </c>
      <c r="E1033">
        <v>33510.99</v>
      </c>
      <c r="F1033">
        <v>40.1</v>
      </c>
      <c r="G1033">
        <v>152</v>
      </c>
      <c r="H1033">
        <v>144.80000000000001</v>
      </c>
      <c r="I1033">
        <v>7.1</v>
      </c>
      <c r="J1033">
        <v>135</v>
      </c>
      <c r="K1033">
        <v>241</v>
      </c>
      <c r="L1033">
        <v>214</v>
      </c>
      <c r="M1033" t="s">
        <v>30</v>
      </c>
      <c r="N1033">
        <v>7</v>
      </c>
      <c r="O1033" t="s">
        <v>40</v>
      </c>
      <c r="P1033">
        <v>37.1</v>
      </c>
      <c r="Q1033">
        <v>2106</v>
      </c>
      <c r="R1033">
        <v>4</v>
      </c>
      <c r="S1033">
        <v>2</v>
      </c>
      <c r="T1033" t="s">
        <v>51</v>
      </c>
      <c r="U1033" t="s">
        <v>74</v>
      </c>
      <c r="V1033">
        <v>137108</v>
      </c>
      <c r="W1033">
        <v>3.4</v>
      </c>
      <c r="X1033">
        <v>4</v>
      </c>
      <c r="Y1033" t="s">
        <v>61</v>
      </c>
      <c r="Z1033">
        <v>3.79</v>
      </c>
      <c r="AA1033" t="s">
        <v>35</v>
      </c>
    </row>
    <row r="1034" spans="1:27" x14ac:dyDescent="0.3">
      <c r="A1034" t="s">
        <v>71</v>
      </c>
      <c r="B1034" t="s">
        <v>72</v>
      </c>
      <c r="C1034">
        <v>2023</v>
      </c>
      <c r="D1034" t="s">
        <v>68</v>
      </c>
      <c r="E1034">
        <v>84139.98</v>
      </c>
      <c r="F1034">
        <v>72.3</v>
      </c>
      <c r="G1034">
        <v>261</v>
      </c>
      <c r="H1034">
        <v>103.4</v>
      </c>
      <c r="I1034">
        <v>7.53</v>
      </c>
      <c r="J1034">
        <v>130</v>
      </c>
      <c r="K1034">
        <v>963</v>
      </c>
      <c r="L1034">
        <v>882</v>
      </c>
      <c r="M1034" t="s">
        <v>30</v>
      </c>
      <c r="N1034">
        <v>7</v>
      </c>
      <c r="O1034" t="s">
        <v>31</v>
      </c>
      <c r="P1034">
        <v>67.7</v>
      </c>
      <c r="Q1034">
        <v>2278</v>
      </c>
      <c r="R1034">
        <v>5</v>
      </c>
      <c r="S1034">
        <v>0</v>
      </c>
      <c r="T1034" t="s">
        <v>73</v>
      </c>
      <c r="U1034" t="s">
        <v>38</v>
      </c>
      <c r="V1034">
        <v>236926</v>
      </c>
      <c r="W1034">
        <v>3.4</v>
      </c>
      <c r="X1034">
        <v>3</v>
      </c>
      <c r="Y1034" t="s">
        <v>61</v>
      </c>
      <c r="Z1034">
        <v>3.61</v>
      </c>
      <c r="AA1034" t="s">
        <v>35</v>
      </c>
    </row>
    <row r="1035" spans="1:27" x14ac:dyDescent="0.3">
      <c r="A1035" t="s">
        <v>52</v>
      </c>
      <c r="B1035" t="s">
        <v>53</v>
      </c>
      <c r="C1035">
        <v>2025</v>
      </c>
      <c r="D1035" t="s">
        <v>38</v>
      </c>
      <c r="E1035">
        <v>137916.62</v>
      </c>
      <c r="F1035">
        <v>66</v>
      </c>
      <c r="G1035">
        <v>216</v>
      </c>
      <c r="H1035">
        <v>328.7</v>
      </c>
      <c r="I1035">
        <v>6.4</v>
      </c>
      <c r="J1035">
        <v>158</v>
      </c>
      <c r="K1035">
        <v>1000</v>
      </c>
      <c r="L1035">
        <v>906</v>
      </c>
      <c r="M1035" t="s">
        <v>54</v>
      </c>
      <c r="N1035">
        <v>7</v>
      </c>
      <c r="O1035" t="s">
        <v>40</v>
      </c>
      <c r="P1035">
        <v>40.200000000000003</v>
      </c>
      <c r="Q1035">
        <v>2111</v>
      </c>
      <c r="R1035">
        <v>5</v>
      </c>
      <c r="S1035">
        <v>2</v>
      </c>
      <c r="T1035" t="s">
        <v>47</v>
      </c>
      <c r="U1035" t="s">
        <v>33</v>
      </c>
      <c r="V1035">
        <v>132643</v>
      </c>
      <c r="W1035">
        <v>3.7</v>
      </c>
      <c r="X1035">
        <v>5</v>
      </c>
      <c r="Y1035" t="s">
        <v>43</v>
      </c>
      <c r="Z1035">
        <v>3.27</v>
      </c>
      <c r="AA1035" t="s">
        <v>35</v>
      </c>
    </row>
    <row r="1036" spans="1:27" x14ac:dyDescent="0.3">
      <c r="A1036" t="s">
        <v>52</v>
      </c>
      <c r="B1036" t="s">
        <v>53</v>
      </c>
      <c r="C1036">
        <v>2024</v>
      </c>
      <c r="D1036" t="s">
        <v>50</v>
      </c>
      <c r="E1036">
        <v>148635.93</v>
      </c>
      <c r="F1036">
        <v>103.2</v>
      </c>
      <c r="G1036">
        <v>360</v>
      </c>
      <c r="H1036">
        <v>322.89999999999998</v>
      </c>
      <c r="I1036">
        <v>5.61</v>
      </c>
      <c r="J1036">
        <v>165</v>
      </c>
      <c r="K1036">
        <v>1000</v>
      </c>
      <c r="L1036">
        <v>910</v>
      </c>
      <c r="M1036" t="s">
        <v>30</v>
      </c>
      <c r="N1036">
        <v>7</v>
      </c>
      <c r="O1036" t="s">
        <v>46</v>
      </c>
      <c r="P1036">
        <v>74.3</v>
      </c>
      <c r="Q1036">
        <v>1690</v>
      </c>
      <c r="R1036">
        <v>3</v>
      </c>
      <c r="S1036">
        <v>2</v>
      </c>
      <c r="T1036" t="s">
        <v>47</v>
      </c>
      <c r="U1036" t="s">
        <v>33</v>
      </c>
      <c r="V1036">
        <v>108335</v>
      </c>
      <c r="W1036">
        <v>4</v>
      </c>
      <c r="X1036">
        <v>4</v>
      </c>
      <c r="Y1036" t="s">
        <v>43</v>
      </c>
      <c r="Z1036">
        <v>3.49</v>
      </c>
      <c r="AA1036" t="s">
        <v>35</v>
      </c>
    </row>
    <row r="1037" spans="1:27" x14ac:dyDescent="0.3">
      <c r="A1037" t="s">
        <v>44</v>
      </c>
      <c r="B1037" t="s">
        <v>109</v>
      </c>
      <c r="C1037">
        <v>2025</v>
      </c>
      <c r="D1037" t="s">
        <v>29</v>
      </c>
      <c r="E1037">
        <v>62330.93</v>
      </c>
      <c r="F1037">
        <v>108</v>
      </c>
      <c r="G1037">
        <v>376</v>
      </c>
      <c r="H1037">
        <v>168.5</v>
      </c>
      <c r="I1037">
        <v>2.88</v>
      </c>
      <c r="J1037">
        <v>200</v>
      </c>
      <c r="K1037">
        <v>803</v>
      </c>
      <c r="L1037">
        <v>695</v>
      </c>
      <c r="M1037" t="s">
        <v>30</v>
      </c>
      <c r="N1037">
        <v>7</v>
      </c>
      <c r="O1037" t="s">
        <v>31</v>
      </c>
      <c r="P1037">
        <v>75.2</v>
      </c>
      <c r="Q1037">
        <v>2393</v>
      </c>
      <c r="R1037">
        <v>4</v>
      </c>
      <c r="S1037">
        <v>1</v>
      </c>
      <c r="T1037" t="s">
        <v>47</v>
      </c>
      <c r="U1037" t="s">
        <v>42</v>
      </c>
      <c r="V1037">
        <v>27154</v>
      </c>
      <c r="W1037">
        <v>3.9</v>
      </c>
      <c r="X1037">
        <v>5</v>
      </c>
      <c r="Y1037" t="s">
        <v>34</v>
      </c>
      <c r="Z1037">
        <v>3.48</v>
      </c>
      <c r="AA1037" t="s">
        <v>35</v>
      </c>
    </row>
    <row r="1038" spans="1:27" x14ac:dyDescent="0.3">
      <c r="A1038" t="s">
        <v>71</v>
      </c>
      <c r="B1038" t="s">
        <v>115</v>
      </c>
      <c r="C1038">
        <v>2025</v>
      </c>
      <c r="D1038" t="s">
        <v>68</v>
      </c>
      <c r="E1038">
        <v>29108.23</v>
      </c>
      <c r="F1038">
        <v>44.5</v>
      </c>
      <c r="G1038">
        <v>170</v>
      </c>
      <c r="H1038">
        <v>86.4</v>
      </c>
      <c r="I1038">
        <v>5.48</v>
      </c>
      <c r="J1038">
        <v>165</v>
      </c>
      <c r="K1038">
        <v>319</v>
      </c>
      <c r="L1038">
        <v>224</v>
      </c>
      <c r="M1038" t="s">
        <v>30</v>
      </c>
      <c r="N1038">
        <v>7</v>
      </c>
      <c r="O1038" t="s">
        <v>56</v>
      </c>
      <c r="P1038">
        <v>15.2</v>
      </c>
      <c r="Q1038">
        <v>1780</v>
      </c>
      <c r="R1038">
        <v>5</v>
      </c>
      <c r="S1038">
        <v>0</v>
      </c>
      <c r="T1038" t="s">
        <v>73</v>
      </c>
      <c r="U1038" t="s">
        <v>74</v>
      </c>
      <c r="V1038">
        <v>179440</v>
      </c>
      <c r="W1038">
        <v>3.4</v>
      </c>
      <c r="X1038">
        <v>4</v>
      </c>
      <c r="Y1038" t="s">
        <v>43</v>
      </c>
      <c r="Z1038">
        <v>3.82</v>
      </c>
      <c r="AA1038" t="s">
        <v>35</v>
      </c>
    </row>
    <row r="1039" spans="1:27" x14ac:dyDescent="0.3">
      <c r="A1039" t="s">
        <v>44</v>
      </c>
      <c r="B1039" t="s">
        <v>109</v>
      </c>
      <c r="C1039">
        <v>2025</v>
      </c>
      <c r="D1039" t="s">
        <v>29</v>
      </c>
      <c r="E1039">
        <v>81159.740000000005</v>
      </c>
      <c r="F1039">
        <v>104.4</v>
      </c>
      <c r="G1039">
        <v>379</v>
      </c>
      <c r="H1039">
        <v>234.3</v>
      </c>
      <c r="I1039">
        <v>2.85</v>
      </c>
      <c r="J1039">
        <v>200</v>
      </c>
      <c r="K1039">
        <v>1000</v>
      </c>
      <c r="L1039">
        <v>927</v>
      </c>
      <c r="M1039" t="s">
        <v>54</v>
      </c>
      <c r="N1039">
        <v>7</v>
      </c>
      <c r="O1039" t="s">
        <v>31</v>
      </c>
      <c r="P1039">
        <v>66.2</v>
      </c>
      <c r="Q1039">
        <v>2789</v>
      </c>
      <c r="R1039">
        <v>4</v>
      </c>
      <c r="S1039">
        <v>2</v>
      </c>
      <c r="T1039" t="s">
        <v>47</v>
      </c>
      <c r="U1039" t="s">
        <v>38</v>
      </c>
      <c r="V1039">
        <v>28393</v>
      </c>
      <c r="W1039">
        <v>3.8</v>
      </c>
      <c r="X1039">
        <v>3</v>
      </c>
      <c r="Y1039" t="s">
        <v>34</v>
      </c>
      <c r="Z1039">
        <v>3.63</v>
      </c>
      <c r="AA1039" t="s">
        <v>35</v>
      </c>
    </row>
    <row r="1040" spans="1:27" x14ac:dyDescent="0.3">
      <c r="A1040" t="s">
        <v>52</v>
      </c>
      <c r="B1040" t="s">
        <v>53</v>
      </c>
      <c r="C1040">
        <v>2025</v>
      </c>
      <c r="D1040" t="s">
        <v>63</v>
      </c>
      <c r="E1040">
        <v>80586.23</v>
      </c>
      <c r="F1040">
        <v>77.900000000000006</v>
      </c>
      <c r="G1040">
        <v>274</v>
      </c>
      <c r="H1040">
        <v>227.2</v>
      </c>
      <c r="I1040">
        <v>6.92</v>
      </c>
      <c r="J1040">
        <v>149</v>
      </c>
      <c r="K1040">
        <v>580</v>
      </c>
      <c r="L1040">
        <v>502</v>
      </c>
      <c r="M1040" t="s">
        <v>54</v>
      </c>
      <c r="N1040">
        <v>5</v>
      </c>
      <c r="O1040" t="s">
        <v>46</v>
      </c>
      <c r="P1040">
        <v>73.900000000000006</v>
      </c>
      <c r="Q1040">
        <v>1645</v>
      </c>
      <c r="R1040">
        <v>5</v>
      </c>
      <c r="S1040">
        <v>3</v>
      </c>
      <c r="T1040" t="s">
        <v>47</v>
      </c>
      <c r="U1040" t="s">
        <v>38</v>
      </c>
      <c r="V1040">
        <v>243472</v>
      </c>
      <c r="W1040">
        <v>3.8</v>
      </c>
      <c r="X1040">
        <v>4</v>
      </c>
      <c r="Y1040" t="s">
        <v>43</v>
      </c>
      <c r="Z1040">
        <v>3.52</v>
      </c>
      <c r="AA1040" t="s">
        <v>35</v>
      </c>
    </row>
    <row r="1041" spans="1:27" x14ac:dyDescent="0.3">
      <c r="A1041" t="s">
        <v>71</v>
      </c>
      <c r="B1041" t="s">
        <v>115</v>
      </c>
      <c r="C1041">
        <v>2025</v>
      </c>
      <c r="D1041" t="s">
        <v>68</v>
      </c>
      <c r="E1041">
        <v>79451.820000000007</v>
      </c>
      <c r="F1041">
        <v>66.3</v>
      </c>
      <c r="G1041">
        <v>253</v>
      </c>
      <c r="H1041">
        <v>80.599999999999994</v>
      </c>
      <c r="I1041">
        <v>5.72</v>
      </c>
      <c r="J1041">
        <v>158</v>
      </c>
      <c r="K1041">
        <v>839</v>
      </c>
      <c r="L1041">
        <v>753</v>
      </c>
      <c r="M1041" t="s">
        <v>39</v>
      </c>
      <c r="N1041">
        <v>7</v>
      </c>
      <c r="O1041" t="s">
        <v>56</v>
      </c>
      <c r="P1041">
        <v>30.7</v>
      </c>
      <c r="Q1041">
        <v>1610</v>
      </c>
      <c r="R1041">
        <v>5</v>
      </c>
      <c r="S1041">
        <v>0</v>
      </c>
      <c r="T1041" t="s">
        <v>73</v>
      </c>
      <c r="U1041" t="s">
        <v>38</v>
      </c>
      <c r="V1041">
        <v>216726</v>
      </c>
      <c r="W1041">
        <v>3.4</v>
      </c>
      <c r="X1041">
        <v>3</v>
      </c>
      <c r="Y1041" t="s">
        <v>43</v>
      </c>
      <c r="Z1041">
        <v>3.82</v>
      </c>
      <c r="AA1041" t="s">
        <v>35</v>
      </c>
    </row>
    <row r="1042" spans="1:27" x14ac:dyDescent="0.3">
      <c r="A1042" t="s">
        <v>48</v>
      </c>
      <c r="B1042" t="s">
        <v>60</v>
      </c>
      <c r="C1042">
        <v>2021</v>
      </c>
      <c r="D1042" t="s">
        <v>29</v>
      </c>
      <c r="E1042">
        <v>51783.96</v>
      </c>
      <c r="F1042">
        <v>99.9</v>
      </c>
      <c r="G1042">
        <v>345</v>
      </c>
      <c r="H1042">
        <v>221</v>
      </c>
      <c r="I1042">
        <v>3.85</v>
      </c>
      <c r="J1042">
        <v>197</v>
      </c>
      <c r="K1042">
        <v>525</v>
      </c>
      <c r="L1042">
        <v>467</v>
      </c>
      <c r="M1042" t="s">
        <v>39</v>
      </c>
      <c r="N1042">
        <v>5</v>
      </c>
      <c r="O1042" t="s">
        <v>40</v>
      </c>
      <c r="P1042">
        <v>51.6</v>
      </c>
      <c r="Q1042">
        <v>2137</v>
      </c>
      <c r="R1042">
        <v>5</v>
      </c>
      <c r="S1042">
        <v>1</v>
      </c>
      <c r="T1042" t="s">
        <v>51</v>
      </c>
      <c r="U1042" t="s">
        <v>42</v>
      </c>
      <c r="V1042">
        <v>94100</v>
      </c>
      <c r="W1042">
        <v>3.9</v>
      </c>
      <c r="X1042">
        <v>4</v>
      </c>
      <c r="Y1042" t="s">
        <v>34</v>
      </c>
      <c r="Z1042">
        <v>3.45</v>
      </c>
      <c r="AA1042" t="s">
        <v>35</v>
      </c>
    </row>
    <row r="1043" spans="1:27" x14ac:dyDescent="0.3">
      <c r="A1043" t="s">
        <v>84</v>
      </c>
      <c r="B1043" t="s">
        <v>89</v>
      </c>
      <c r="C1043">
        <v>2025</v>
      </c>
      <c r="D1043" t="s">
        <v>63</v>
      </c>
      <c r="E1043">
        <v>47442.7</v>
      </c>
      <c r="F1043">
        <v>70.8</v>
      </c>
      <c r="G1043">
        <v>237</v>
      </c>
      <c r="H1043">
        <v>126.8</v>
      </c>
      <c r="I1043">
        <v>6.31</v>
      </c>
      <c r="J1043">
        <v>153</v>
      </c>
      <c r="K1043">
        <v>445</v>
      </c>
      <c r="L1043">
        <v>381</v>
      </c>
      <c r="M1043" t="s">
        <v>54</v>
      </c>
      <c r="N1043">
        <v>7</v>
      </c>
      <c r="O1043" t="s">
        <v>46</v>
      </c>
      <c r="P1043">
        <v>69.599999999999994</v>
      </c>
      <c r="Q1043">
        <v>1750</v>
      </c>
      <c r="R1043">
        <v>4</v>
      </c>
      <c r="S1043">
        <v>1</v>
      </c>
      <c r="T1043" t="s">
        <v>47</v>
      </c>
      <c r="U1043" t="s">
        <v>42</v>
      </c>
      <c r="V1043">
        <v>71700</v>
      </c>
      <c r="W1043">
        <v>3.5</v>
      </c>
      <c r="X1043">
        <v>3</v>
      </c>
      <c r="Y1043" t="s">
        <v>43</v>
      </c>
      <c r="Z1043">
        <v>3.35</v>
      </c>
      <c r="AA1043" t="s">
        <v>35</v>
      </c>
    </row>
    <row r="1044" spans="1:27" x14ac:dyDescent="0.3">
      <c r="A1044" t="s">
        <v>71</v>
      </c>
      <c r="B1044" t="s">
        <v>96</v>
      </c>
      <c r="C1044">
        <v>2024</v>
      </c>
      <c r="D1044" t="s">
        <v>38</v>
      </c>
      <c r="E1044">
        <v>113232.12</v>
      </c>
      <c r="F1044">
        <v>50</v>
      </c>
      <c r="G1044">
        <v>173</v>
      </c>
      <c r="H1044">
        <v>89.8</v>
      </c>
      <c r="I1044">
        <v>6.32</v>
      </c>
      <c r="J1044">
        <v>154</v>
      </c>
      <c r="K1044">
        <v>1000</v>
      </c>
      <c r="L1044">
        <v>907</v>
      </c>
      <c r="M1044" t="s">
        <v>30</v>
      </c>
      <c r="N1044">
        <v>7</v>
      </c>
      <c r="O1044" t="s">
        <v>57</v>
      </c>
      <c r="P1044">
        <v>24.6</v>
      </c>
      <c r="Q1044">
        <v>1576</v>
      </c>
      <c r="R1044">
        <v>4</v>
      </c>
      <c r="S1044">
        <v>0</v>
      </c>
      <c r="T1044" t="s">
        <v>73</v>
      </c>
      <c r="U1044" t="s">
        <v>33</v>
      </c>
      <c r="V1044">
        <v>184045</v>
      </c>
      <c r="W1044">
        <v>3.2</v>
      </c>
      <c r="X1044">
        <v>5</v>
      </c>
      <c r="Y1044" t="s">
        <v>43</v>
      </c>
      <c r="Z1044">
        <v>3.46</v>
      </c>
      <c r="AA1044" t="s">
        <v>35</v>
      </c>
    </row>
    <row r="1045" spans="1:27" x14ac:dyDescent="0.3">
      <c r="A1045" t="s">
        <v>91</v>
      </c>
      <c r="B1045" t="s">
        <v>97</v>
      </c>
      <c r="C1045">
        <v>2021</v>
      </c>
      <c r="D1045" t="s">
        <v>50</v>
      </c>
      <c r="E1045">
        <v>102095.14</v>
      </c>
      <c r="F1045">
        <v>106.5</v>
      </c>
      <c r="G1045">
        <v>364</v>
      </c>
      <c r="H1045">
        <v>123.3</v>
      </c>
      <c r="I1045">
        <v>5</v>
      </c>
      <c r="J1045">
        <v>178</v>
      </c>
      <c r="K1045">
        <v>843</v>
      </c>
      <c r="L1045">
        <v>810</v>
      </c>
      <c r="M1045" t="s">
        <v>30</v>
      </c>
      <c r="N1045">
        <v>5</v>
      </c>
      <c r="O1045" t="s">
        <v>57</v>
      </c>
      <c r="P1045">
        <v>23.3</v>
      </c>
      <c r="Q1045">
        <v>1503</v>
      </c>
      <c r="R1045">
        <v>4</v>
      </c>
      <c r="S1045">
        <v>1</v>
      </c>
      <c r="T1045" t="s">
        <v>32</v>
      </c>
      <c r="U1045" t="s">
        <v>33</v>
      </c>
      <c r="V1045">
        <v>29444</v>
      </c>
      <c r="W1045">
        <v>3.4</v>
      </c>
      <c r="X1045">
        <v>5</v>
      </c>
      <c r="Y1045" t="s">
        <v>43</v>
      </c>
      <c r="Z1045">
        <v>3.42</v>
      </c>
      <c r="AA1045" t="s">
        <v>35</v>
      </c>
    </row>
    <row r="1046" spans="1:27" x14ac:dyDescent="0.3">
      <c r="A1046" t="s">
        <v>94</v>
      </c>
      <c r="B1046" t="s">
        <v>116</v>
      </c>
      <c r="C1046">
        <v>2026</v>
      </c>
      <c r="D1046" t="s">
        <v>29</v>
      </c>
      <c r="E1046">
        <v>104966.05</v>
      </c>
      <c r="F1046">
        <v>96.6</v>
      </c>
      <c r="G1046">
        <v>360</v>
      </c>
      <c r="H1046">
        <v>208.5</v>
      </c>
      <c r="I1046">
        <v>2.86</v>
      </c>
      <c r="J1046">
        <v>200</v>
      </c>
      <c r="K1046">
        <v>776</v>
      </c>
      <c r="L1046">
        <v>692</v>
      </c>
      <c r="M1046" t="s">
        <v>30</v>
      </c>
      <c r="N1046">
        <v>5</v>
      </c>
      <c r="O1046" t="s">
        <v>65</v>
      </c>
      <c r="P1046">
        <v>23.6</v>
      </c>
      <c r="Q1046">
        <v>1596</v>
      </c>
      <c r="R1046">
        <v>4</v>
      </c>
      <c r="S1046">
        <v>2</v>
      </c>
      <c r="T1046" t="s">
        <v>32</v>
      </c>
      <c r="U1046" t="s">
        <v>33</v>
      </c>
      <c r="V1046">
        <v>20618</v>
      </c>
      <c r="W1046">
        <v>3.7</v>
      </c>
      <c r="X1046">
        <v>6</v>
      </c>
      <c r="Y1046" t="s">
        <v>34</v>
      </c>
      <c r="Z1046">
        <v>3.73</v>
      </c>
      <c r="AA1046" t="s">
        <v>35</v>
      </c>
    </row>
    <row r="1047" spans="1:27" x14ac:dyDescent="0.3">
      <c r="A1047" t="s">
        <v>48</v>
      </c>
      <c r="B1047" t="s">
        <v>60</v>
      </c>
      <c r="C1047">
        <v>2024</v>
      </c>
      <c r="D1047" t="s">
        <v>50</v>
      </c>
      <c r="E1047">
        <v>40789.370000000003</v>
      </c>
      <c r="F1047">
        <v>85.6</v>
      </c>
      <c r="G1047">
        <v>279</v>
      </c>
      <c r="H1047">
        <v>96.7</v>
      </c>
      <c r="I1047">
        <v>5.67</v>
      </c>
      <c r="J1047">
        <v>165</v>
      </c>
      <c r="K1047">
        <v>332</v>
      </c>
      <c r="L1047">
        <v>276</v>
      </c>
      <c r="M1047" t="s">
        <v>39</v>
      </c>
      <c r="N1047">
        <v>5</v>
      </c>
      <c r="O1047" t="s">
        <v>57</v>
      </c>
      <c r="P1047">
        <v>33.5</v>
      </c>
      <c r="Q1047">
        <v>1580</v>
      </c>
      <c r="R1047">
        <v>5</v>
      </c>
      <c r="S1047">
        <v>1</v>
      </c>
      <c r="T1047" t="s">
        <v>51</v>
      </c>
      <c r="U1047" t="s">
        <v>42</v>
      </c>
      <c r="V1047">
        <v>63756</v>
      </c>
      <c r="W1047">
        <v>3.6</v>
      </c>
      <c r="X1047">
        <v>4</v>
      </c>
      <c r="Y1047" t="s">
        <v>43</v>
      </c>
      <c r="Z1047">
        <v>3.26</v>
      </c>
      <c r="AA1047" t="s">
        <v>35</v>
      </c>
    </row>
    <row r="1048" spans="1:27" x14ac:dyDescent="0.3">
      <c r="A1048" t="s">
        <v>71</v>
      </c>
      <c r="B1048" t="s">
        <v>90</v>
      </c>
      <c r="C1048">
        <v>2025</v>
      </c>
      <c r="D1048" t="s">
        <v>68</v>
      </c>
      <c r="E1048">
        <v>32451.41</v>
      </c>
      <c r="F1048">
        <v>72.900000000000006</v>
      </c>
      <c r="G1048">
        <v>268</v>
      </c>
      <c r="H1048">
        <v>118.3</v>
      </c>
      <c r="I1048">
        <v>6.57</v>
      </c>
      <c r="J1048">
        <v>148</v>
      </c>
      <c r="K1048">
        <v>348</v>
      </c>
      <c r="L1048">
        <v>323</v>
      </c>
      <c r="M1048" t="s">
        <v>39</v>
      </c>
      <c r="N1048">
        <v>7</v>
      </c>
      <c r="O1048" t="s">
        <v>57</v>
      </c>
      <c r="P1048">
        <v>25.9</v>
      </c>
      <c r="Q1048">
        <v>1889</v>
      </c>
      <c r="R1048">
        <v>4</v>
      </c>
      <c r="S1048">
        <v>2</v>
      </c>
      <c r="T1048" t="s">
        <v>73</v>
      </c>
      <c r="U1048" t="s">
        <v>74</v>
      </c>
      <c r="V1048">
        <v>104392</v>
      </c>
      <c r="W1048">
        <v>3.5</v>
      </c>
      <c r="X1048">
        <v>4</v>
      </c>
      <c r="Y1048" t="s">
        <v>43</v>
      </c>
      <c r="Z1048">
        <v>3.68</v>
      </c>
      <c r="AA1048" t="s">
        <v>35</v>
      </c>
    </row>
    <row r="1049" spans="1:27" x14ac:dyDescent="0.3">
      <c r="A1049" t="s">
        <v>52</v>
      </c>
      <c r="B1049" t="s">
        <v>53</v>
      </c>
      <c r="C1049">
        <v>2022</v>
      </c>
      <c r="D1049" t="s">
        <v>68</v>
      </c>
      <c r="E1049">
        <v>112086.56</v>
      </c>
      <c r="F1049">
        <v>61.2</v>
      </c>
      <c r="G1049">
        <v>215</v>
      </c>
      <c r="H1049">
        <v>347.4</v>
      </c>
      <c r="I1049">
        <v>6.6</v>
      </c>
      <c r="J1049">
        <v>152</v>
      </c>
      <c r="K1049">
        <v>806</v>
      </c>
      <c r="L1049">
        <v>684</v>
      </c>
      <c r="M1049" t="s">
        <v>54</v>
      </c>
      <c r="N1049">
        <v>5</v>
      </c>
      <c r="O1049" t="s">
        <v>65</v>
      </c>
      <c r="P1049">
        <v>22.9</v>
      </c>
      <c r="Q1049">
        <v>1775</v>
      </c>
      <c r="R1049">
        <v>5</v>
      </c>
      <c r="S1049">
        <v>3</v>
      </c>
      <c r="T1049" t="s">
        <v>47</v>
      </c>
      <c r="U1049" t="s">
        <v>33</v>
      </c>
      <c r="V1049">
        <v>140793</v>
      </c>
      <c r="W1049">
        <v>3.7</v>
      </c>
      <c r="X1049">
        <v>5</v>
      </c>
      <c r="Y1049" t="s">
        <v>43</v>
      </c>
      <c r="Z1049">
        <v>3.51</v>
      </c>
      <c r="AA1049" t="s">
        <v>35</v>
      </c>
    </row>
    <row r="1050" spans="1:27" x14ac:dyDescent="0.3">
      <c r="A1050" t="s">
        <v>58</v>
      </c>
      <c r="B1050" t="s">
        <v>70</v>
      </c>
      <c r="C1050">
        <v>2022</v>
      </c>
      <c r="D1050" t="s">
        <v>63</v>
      </c>
      <c r="E1050">
        <v>64416.89</v>
      </c>
      <c r="F1050">
        <v>70</v>
      </c>
      <c r="G1050">
        <v>262</v>
      </c>
      <c r="H1050">
        <v>64</v>
      </c>
      <c r="I1050">
        <v>7.35</v>
      </c>
      <c r="J1050">
        <v>142</v>
      </c>
      <c r="K1050">
        <v>213</v>
      </c>
      <c r="L1050">
        <v>227</v>
      </c>
      <c r="M1050" t="s">
        <v>39</v>
      </c>
      <c r="N1050">
        <v>7</v>
      </c>
      <c r="O1050" t="s">
        <v>40</v>
      </c>
      <c r="P1050">
        <v>54</v>
      </c>
      <c r="Q1050">
        <v>2149</v>
      </c>
      <c r="R1050">
        <v>5</v>
      </c>
      <c r="S1050">
        <v>1</v>
      </c>
      <c r="T1050" t="s">
        <v>32</v>
      </c>
      <c r="U1050" t="s">
        <v>42</v>
      </c>
      <c r="V1050">
        <v>31870</v>
      </c>
      <c r="W1050">
        <v>3.9</v>
      </c>
      <c r="X1050">
        <v>6</v>
      </c>
      <c r="Y1050" t="s">
        <v>61</v>
      </c>
      <c r="Z1050">
        <v>3.74</v>
      </c>
      <c r="AA1050" t="s">
        <v>35</v>
      </c>
    </row>
    <row r="1051" spans="1:27" x14ac:dyDescent="0.3">
      <c r="A1051" t="s">
        <v>52</v>
      </c>
      <c r="B1051" t="s">
        <v>53</v>
      </c>
      <c r="C1051">
        <v>2025</v>
      </c>
      <c r="D1051" t="s">
        <v>63</v>
      </c>
      <c r="E1051">
        <v>108727.13</v>
      </c>
      <c r="F1051">
        <v>41.1</v>
      </c>
      <c r="G1051">
        <v>150</v>
      </c>
      <c r="H1051">
        <v>345.3</v>
      </c>
      <c r="I1051">
        <v>7.92</v>
      </c>
      <c r="J1051">
        <v>131</v>
      </c>
      <c r="K1051">
        <v>743</v>
      </c>
      <c r="L1051">
        <v>715</v>
      </c>
      <c r="M1051" t="s">
        <v>39</v>
      </c>
      <c r="N1051">
        <v>7</v>
      </c>
      <c r="O1051" t="s">
        <v>31</v>
      </c>
      <c r="P1051">
        <v>78.8</v>
      </c>
      <c r="Q1051">
        <v>2525</v>
      </c>
      <c r="R1051">
        <v>3</v>
      </c>
      <c r="S1051">
        <v>2</v>
      </c>
      <c r="T1051" t="s">
        <v>47</v>
      </c>
      <c r="U1051" t="s">
        <v>33</v>
      </c>
      <c r="V1051">
        <v>118818</v>
      </c>
      <c r="W1051">
        <v>3.3</v>
      </c>
      <c r="X1051">
        <v>6</v>
      </c>
      <c r="Y1051" t="s">
        <v>61</v>
      </c>
      <c r="Z1051">
        <v>3.65</v>
      </c>
      <c r="AA1051" t="s">
        <v>35</v>
      </c>
    </row>
    <row r="1052" spans="1:27" x14ac:dyDescent="0.3">
      <c r="A1052" t="s">
        <v>94</v>
      </c>
      <c r="B1052" t="s">
        <v>116</v>
      </c>
      <c r="C1052">
        <v>2021</v>
      </c>
      <c r="D1052" t="s">
        <v>29</v>
      </c>
      <c r="E1052">
        <v>119078.45</v>
      </c>
      <c r="F1052">
        <v>118.6</v>
      </c>
      <c r="G1052">
        <v>396</v>
      </c>
      <c r="H1052">
        <v>174.1</v>
      </c>
      <c r="I1052">
        <v>2.76</v>
      </c>
      <c r="J1052">
        <v>200</v>
      </c>
      <c r="K1052">
        <v>963</v>
      </c>
      <c r="L1052">
        <v>899</v>
      </c>
      <c r="M1052" t="s">
        <v>54</v>
      </c>
      <c r="N1052">
        <v>5</v>
      </c>
      <c r="O1052" t="s">
        <v>57</v>
      </c>
      <c r="P1052">
        <v>22.5</v>
      </c>
      <c r="Q1052">
        <v>1617</v>
      </c>
      <c r="R1052">
        <v>5</v>
      </c>
      <c r="S1052">
        <v>1</v>
      </c>
      <c r="T1052" t="s">
        <v>32</v>
      </c>
      <c r="U1052" t="s">
        <v>33</v>
      </c>
      <c r="V1052">
        <v>62009</v>
      </c>
      <c r="W1052">
        <v>3.8</v>
      </c>
      <c r="X1052">
        <v>8</v>
      </c>
      <c r="Y1052" t="s">
        <v>34</v>
      </c>
      <c r="Z1052">
        <v>3.34</v>
      </c>
      <c r="AA1052" t="s">
        <v>35</v>
      </c>
    </row>
    <row r="1053" spans="1:27" x14ac:dyDescent="0.3">
      <c r="A1053" t="s">
        <v>76</v>
      </c>
      <c r="B1053" t="s">
        <v>114</v>
      </c>
      <c r="C1053">
        <v>2025</v>
      </c>
      <c r="D1053" t="s">
        <v>63</v>
      </c>
      <c r="E1053">
        <v>34994.42</v>
      </c>
      <c r="F1053">
        <v>79.099999999999994</v>
      </c>
      <c r="G1053">
        <v>269</v>
      </c>
      <c r="H1053">
        <v>104.4</v>
      </c>
      <c r="I1053">
        <v>6.86</v>
      </c>
      <c r="J1053">
        <v>142</v>
      </c>
      <c r="K1053">
        <v>258</v>
      </c>
      <c r="L1053">
        <v>270</v>
      </c>
      <c r="M1053" t="s">
        <v>39</v>
      </c>
      <c r="N1053">
        <v>7</v>
      </c>
      <c r="O1053" t="s">
        <v>56</v>
      </c>
      <c r="P1053">
        <v>32.200000000000003</v>
      </c>
      <c r="Q1053">
        <v>1500</v>
      </c>
      <c r="R1053">
        <v>3</v>
      </c>
      <c r="S1053">
        <v>1</v>
      </c>
      <c r="T1053" t="s">
        <v>51</v>
      </c>
      <c r="U1053" t="s">
        <v>74</v>
      </c>
      <c r="V1053">
        <v>123225</v>
      </c>
      <c r="W1053">
        <v>3.5</v>
      </c>
      <c r="X1053">
        <v>4</v>
      </c>
      <c r="Y1053" t="s">
        <v>43</v>
      </c>
      <c r="Z1053">
        <v>3.4</v>
      </c>
      <c r="AA1053" t="s">
        <v>35</v>
      </c>
    </row>
    <row r="1054" spans="1:27" x14ac:dyDescent="0.3">
      <c r="A1054" t="s">
        <v>100</v>
      </c>
      <c r="B1054" t="s">
        <v>144</v>
      </c>
      <c r="C1054">
        <v>2023</v>
      </c>
      <c r="D1054" t="s">
        <v>38</v>
      </c>
      <c r="E1054">
        <v>114240.51</v>
      </c>
      <c r="F1054">
        <v>65.599999999999994</v>
      </c>
      <c r="G1054">
        <v>218</v>
      </c>
      <c r="H1054">
        <v>54</v>
      </c>
      <c r="I1054">
        <v>5.99</v>
      </c>
      <c r="J1054">
        <v>162</v>
      </c>
      <c r="K1054">
        <v>1000</v>
      </c>
      <c r="L1054">
        <v>939</v>
      </c>
      <c r="M1054" t="s">
        <v>30</v>
      </c>
      <c r="N1054">
        <v>7</v>
      </c>
      <c r="O1054" t="s">
        <v>31</v>
      </c>
      <c r="P1054">
        <v>56.4</v>
      </c>
      <c r="Q1054">
        <v>2456</v>
      </c>
      <c r="R1054">
        <v>5</v>
      </c>
      <c r="S1054">
        <v>0</v>
      </c>
      <c r="T1054" t="s">
        <v>73</v>
      </c>
      <c r="U1054" t="s">
        <v>33</v>
      </c>
      <c r="V1054">
        <v>26747</v>
      </c>
      <c r="W1054">
        <v>3.6</v>
      </c>
      <c r="X1054">
        <v>5</v>
      </c>
      <c r="Y1054" t="s">
        <v>43</v>
      </c>
      <c r="Z1054">
        <v>3.32</v>
      </c>
      <c r="AA1054" t="s">
        <v>35</v>
      </c>
    </row>
    <row r="1055" spans="1:27" x14ac:dyDescent="0.3">
      <c r="A1055" t="s">
        <v>84</v>
      </c>
      <c r="B1055" t="s">
        <v>85</v>
      </c>
      <c r="C1055">
        <v>2025</v>
      </c>
      <c r="D1055" t="s">
        <v>50</v>
      </c>
      <c r="E1055">
        <v>70076.78</v>
      </c>
      <c r="F1055">
        <v>107.7</v>
      </c>
      <c r="G1055">
        <v>396</v>
      </c>
      <c r="H1055">
        <v>104.3</v>
      </c>
      <c r="I1055">
        <v>4.5199999999999996</v>
      </c>
      <c r="J1055">
        <v>185</v>
      </c>
      <c r="K1055">
        <v>815</v>
      </c>
      <c r="L1055">
        <v>725</v>
      </c>
      <c r="M1055" t="s">
        <v>30</v>
      </c>
      <c r="N1055">
        <v>5</v>
      </c>
      <c r="O1055" t="s">
        <v>31</v>
      </c>
      <c r="P1055">
        <v>76.599999999999994</v>
      </c>
      <c r="Q1055">
        <v>2211</v>
      </c>
      <c r="R1055">
        <v>3</v>
      </c>
      <c r="S1055">
        <v>1</v>
      </c>
      <c r="T1055" t="s">
        <v>47</v>
      </c>
      <c r="U1055" t="s">
        <v>38</v>
      </c>
      <c r="V1055">
        <v>52702</v>
      </c>
      <c r="W1055">
        <v>3.9</v>
      </c>
      <c r="X1055">
        <v>4</v>
      </c>
      <c r="Y1055" t="s">
        <v>43</v>
      </c>
      <c r="Z1055">
        <v>3.68</v>
      </c>
      <c r="AA1055" t="s">
        <v>35</v>
      </c>
    </row>
    <row r="1056" spans="1:27" x14ac:dyDescent="0.3">
      <c r="A1056" t="s">
        <v>139</v>
      </c>
      <c r="B1056" t="s">
        <v>140</v>
      </c>
      <c r="C1056">
        <v>2024</v>
      </c>
      <c r="D1056" t="s">
        <v>50</v>
      </c>
      <c r="E1056">
        <v>95394.53</v>
      </c>
      <c r="F1056">
        <v>76.400000000000006</v>
      </c>
      <c r="G1056">
        <v>243</v>
      </c>
      <c r="H1056">
        <v>119.6</v>
      </c>
      <c r="I1056">
        <v>4.7</v>
      </c>
      <c r="J1056">
        <v>168</v>
      </c>
      <c r="K1056">
        <v>1000</v>
      </c>
      <c r="L1056">
        <v>931</v>
      </c>
      <c r="M1056" t="s">
        <v>39</v>
      </c>
      <c r="N1056">
        <v>5</v>
      </c>
      <c r="O1056" t="s">
        <v>40</v>
      </c>
      <c r="P1056">
        <v>39.9</v>
      </c>
      <c r="Q1056">
        <v>2215</v>
      </c>
      <c r="R1056">
        <v>5</v>
      </c>
      <c r="S1056">
        <v>2</v>
      </c>
      <c r="T1056" t="s">
        <v>73</v>
      </c>
      <c r="U1056" t="s">
        <v>38</v>
      </c>
      <c r="V1056">
        <v>8671</v>
      </c>
      <c r="W1056">
        <v>3.6</v>
      </c>
      <c r="X1056">
        <v>3</v>
      </c>
      <c r="Y1056" t="s">
        <v>43</v>
      </c>
      <c r="Z1056">
        <v>3.18</v>
      </c>
      <c r="AA1056" t="s">
        <v>43</v>
      </c>
    </row>
    <row r="1057" spans="1:27" x14ac:dyDescent="0.3">
      <c r="A1057" t="s">
        <v>71</v>
      </c>
      <c r="B1057" t="s">
        <v>72</v>
      </c>
      <c r="C1057">
        <v>2024</v>
      </c>
      <c r="D1057" t="s">
        <v>63</v>
      </c>
      <c r="E1057">
        <v>16613.009999999998</v>
      </c>
      <c r="F1057">
        <v>55.9</v>
      </c>
      <c r="G1057">
        <v>237</v>
      </c>
      <c r="H1057">
        <v>83.2</v>
      </c>
      <c r="I1057">
        <v>5.73</v>
      </c>
      <c r="J1057">
        <v>169</v>
      </c>
      <c r="K1057">
        <v>202</v>
      </c>
      <c r="L1057">
        <v>200</v>
      </c>
      <c r="M1057" t="s">
        <v>30</v>
      </c>
      <c r="N1057">
        <v>5</v>
      </c>
      <c r="O1057" t="s">
        <v>65</v>
      </c>
      <c r="P1057">
        <v>18.399999999999999</v>
      </c>
      <c r="Q1057">
        <v>1578</v>
      </c>
      <c r="R1057">
        <v>3</v>
      </c>
      <c r="S1057">
        <v>2</v>
      </c>
      <c r="T1057" t="s">
        <v>73</v>
      </c>
      <c r="U1057" t="s">
        <v>74</v>
      </c>
      <c r="V1057">
        <v>205452</v>
      </c>
      <c r="W1057">
        <v>3.4</v>
      </c>
      <c r="X1057">
        <v>5</v>
      </c>
      <c r="Y1057" t="s">
        <v>43</v>
      </c>
      <c r="Z1057">
        <v>4.24</v>
      </c>
      <c r="AA1057" t="s">
        <v>35</v>
      </c>
    </row>
    <row r="1058" spans="1:27" x14ac:dyDescent="0.3">
      <c r="A1058" t="s">
        <v>84</v>
      </c>
      <c r="B1058" t="s">
        <v>99</v>
      </c>
      <c r="C1058">
        <v>2022</v>
      </c>
      <c r="D1058" t="s">
        <v>38</v>
      </c>
      <c r="E1058">
        <v>39147.79</v>
      </c>
      <c r="F1058">
        <v>52.5</v>
      </c>
      <c r="G1058">
        <v>215</v>
      </c>
      <c r="H1058">
        <v>72.900000000000006</v>
      </c>
      <c r="I1058">
        <v>5.42</v>
      </c>
      <c r="J1058">
        <v>170</v>
      </c>
      <c r="K1058">
        <v>280</v>
      </c>
      <c r="L1058">
        <v>217</v>
      </c>
      <c r="M1058" t="s">
        <v>30</v>
      </c>
      <c r="N1058">
        <v>4</v>
      </c>
      <c r="O1058" t="s">
        <v>31</v>
      </c>
      <c r="P1058">
        <v>60.1</v>
      </c>
      <c r="Q1058">
        <v>2430</v>
      </c>
      <c r="R1058">
        <v>4</v>
      </c>
      <c r="S1058">
        <v>0</v>
      </c>
      <c r="T1058" t="s">
        <v>47</v>
      </c>
      <c r="U1058" t="s">
        <v>42</v>
      </c>
      <c r="V1058">
        <v>78104</v>
      </c>
      <c r="W1058">
        <v>3.4</v>
      </c>
      <c r="X1058">
        <v>4</v>
      </c>
      <c r="Y1058" t="s">
        <v>43</v>
      </c>
      <c r="Z1058">
        <v>4.0999999999999996</v>
      </c>
      <c r="AA1058" t="s">
        <v>35</v>
      </c>
    </row>
    <row r="1059" spans="1:27" x14ac:dyDescent="0.3">
      <c r="A1059" t="s">
        <v>27</v>
      </c>
      <c r="B1059" t="s">
        <v>93</v>
      </c>
      <c r="C1059">
        <v>2025</v>
      </c>
      <c r="D1059" t="s">
        <v>29</v>
      </c>
      <c r="E1059">
        <v>52326.27</v>
      </c>
      <c r="F1059">
        <v>115.4</v>
      </c>
      <c r="G1059">
        <v>383</v>
      </c>
      <c r="H1059">
        <v>192</v>
      </c>
      <c r="I1059">
        <v>3.21</v>
      </c>
      <c r="J1059">
        <v>200</v>
      </c>
      <c r="K1059">
        <v>500</v>
      </c>
      <c r="L1059">
        <v>497</v>
      </c>
      <c r="M1059" t="s">
        <v>30</v>
      </c>
      <c r="N1059">
        <v>5</v>
      </c>
      <c r="O1059" t="s">
        <v>40</v>
      </c>
      <c r="P1059">
        <v>39.5</v>
      </c>
      <c r="Q1059">
        <v>2045</v>
      </c>
      <c r="R1059">
        <v>5</v>
      </c>
      <c r="S1059">
        <v>0</v>
      </c>
      <c r="T1059" t="s">
        <v>32</v>
      </c>
      <c r="U1059" t="s">
        <v>42</v>
      </c>
      <c r="V1059">
        <v>248780</v>
      </c>
      <c r="W1059">
        <v>3.9</v>
      </c>
      <c r="X1059">
        <v>3</v>
      </c>
      <c r="Y1059" t="s">
        <v>34</v>
      </c>
      <c r="Z1059">
        <v>3.32</v>
      </c>
      <c r="AA1059" t="s">
        <v>35</v>
      </c>
    </row>
    <row r="1060" spans="1:27" x14ac:dyDescent="0.3">
      <c r="A1060" t="s">
        <v>76</v>
      </c>
      <c r="B1060" t="s">
        <v>87</v>
      </c>
      <c r="C1060">
        <v>2026</v>
      </c>
      <c r="D1060" t="s">
        <v>38</v>
      </c>
      <c r="E1060">
        <v>43930.22</v>
      </c>
      <c r="F1060">
        <v>71.2</v>
      </c>
      <c r="G1060">
        <v>285</v>
      </c>
      <c r="H1060">
        <v>137.9</v>
      </c>
      <c r="I1060">
        <v>7.22</v>
      </c>
      <c r="J1060">
        <v>141</v>
      </c>
      <c r="K1060">
        <v>431</v>
      </c>
      <c r="L1060">
        <v>387</v>
      </c>
      <c r="M1060" t="s">
        <v>30</v>
      </c>
      <c r="N1060">
        <v>5</v>
      </c>
      <c r="O1060" t="s">
        <v>40</v>
      </c>
      <c r="P1060">
        <v>65.3</v>
      </c>
      <c r="Q1060">
        <v>1932</v>
      </c>
      <c r="R1060">
        <v>4</v>
      </c>
      <c r="S1060">
        <v>1</v>
      </c>
      <c r="T1060" t="s">
        <v>51</v>
      </c>
      <c r="U1060" t="s">
        <v>42</v>
      </c>
      <c r="V1060">
        <v>60140</v>
      </c>
      <c r="W1060">
        <v>3.6</v>
      </c>
      <c r="X1060">
        <v>4</v>
      </c>
      <c r="Y1060" t="s">
        <v>61</v>
      </c>
      <c r="Z1060">
        <v>4</v>
      </c>
      <c r="AA1060" t="s">
        <v>35</v>
      </c>
    </row>
    <row r="1061" spans="1:27" x14ac:dyDescent="0.3">
      <c r="A1061" t="s">
        <v>91</v>
      </c>
      <c r="B1061" t="s">
        <v>122</v>
      </c>
      <c r="C1061">
        <v>2025</v>
      </c>
      <c r="D1061" t="s">
        <v>63</v>
      </c>
      <c r="E1061">
        <v>68260.210000000006</v>
      </c>
      <c r="F1061">
        <v>52.1</v>
      </c>
      <c r="G1061">
        <v>191</v>
      </c>
      <c r="H1061">
        <v>137.1</v>
      </c>
      <c r="I1061">
        <v>5.51</v>
      </c>
      <c r="J1061">
        <v>171</v>
      </c>
      <c r="K1061">
        <v>397</v>
      </c>
      <c r="L1061">
        <v>320</v>
      </c>
      <c r="M1061" t="s">
        <v>54</v>
      </c>
      <c r="N1061">
        <v>5</v>
      </c>
      <c r="O1061" t="s">
        <v>40</v>
      </c>
      <c r="P1061">
        <v>36.299999999999997</v>
      </c>
      <c r="Q1061">
        <v>1984</v>
      </c>
      <c r="R1061">
        <v>4</v>
      </c>
      <c r="S1061">
        <v>2</v>
      </c>
      <c r="T1061" t="s">
        <v>32</v>
      </c>
      <c r="U1061" t="s">
        <v>38</v>
      </c>
      <c r="V1061">
        <v>78488</v>
      </c>
      <c r="W1061">
        <v>3</v>
      </c>
      <c r="X1061">
        <v>7</v>
      </c>
      <c r="Y1061" t="s">
        <v>43</v>
      </c>
      <c r="Z1061">
        <v>3.67</v>
      </c>
      <c r="AA1061" t="s">
        <v>35</v>
      </c>
    </row>
    <row r="1062" spans="1:27" x14ac:dyDescent="0.3">
      <c r="A1062" t="s">
        <v>94</v>
      </c>
      <c r="B1062" t="s">
        <v>95</v>
      </c>
      <c r="C1062">
        <v>2024</v>
      </c>
      <c r="D1062" t="s">
        <v>63</v>
      </c>
      <c r="E1062">
        <v>86243.23</v>
      </c>
      <c r="F1062">
        <v>60.4</v>
      </c>
      <c r="G1062">
        <v>208</v>
      </c>
      <c r="H1062">
        <v>117.9</v>
      </c>
      <c r="I1062">
        <v>5.68</v>
      </c>
      <c r="J1062">
        <v>169</v>
      </c>
      <c r="K1062">
        <v>543</v>
      </c>
      <c r="L1062">
        <v>447</v>
      </c>
      <c r="M1062" t="s">
        <v>39</v>
      </c>
      <c r="N1062">
        <v>5</v>
      </c>
      <c r="O1062" t="s">
        <v>65</v>
      </c>
      <c r="P1062">
        <v>36.5</v>
      </c>
      <c r="Q1062">
        <v>1500</v>
      </c>
      <c r="R1062">
        <v>4</v>
      </c>
      <c r="S1062">
        <v>1</v>
      </c>
      <c r="T1062" t="s">
        <v>32</v>
      </c>
      <c r="U1062" t="s">
        <v>38</v>
      </c>
      <c r="V1062">
        <v>24433</v>
      </c>
      <c r="W1062">
        <v>3.5</v>
      </c>
      <c r="X1062">
        <v>6</v>
      </c>
      <c r="Y1062" t="s">
        <v>43</v>
      </c>
      <c r="Z1062">
        <v>3.44</v>
      </c>
      <c r="AA1062" t="s">
        <v>35</v>
      </c>
    </row>
    <row r="1063" spans="1:27" x14ac:dyDescent="0.3">
      <c r="A1063" t="s">
        <v>142</v>
      </c>
      <c r="B1063">
        <v>2</v>
      </c>
      <c r="C1063">
        <v>2025</v>
      </c>
      <c r="D1063" t="s">
        <v>63</v>
      </c>
      <c r="E1063">
        <v>91715.74</v>
      </c>
      <c r="F1063">
        <v>62.6</v>
      </c>
      <c r="G1063">
        <v>234</v>
      </c>
      <c r="H1063">
        <v>122.8</v>
      </c>
      <c r="I1063">
        <v>6.18</v>
      </c>
      <c r="J1063">
        <v>155</v>
      </c>
      <c r="K1063">
        <v>558</v>
      </c>
      <c r="L1063">
        <v>508</v>
      </c>
      <c r="M1063" t="s">
        <v>54</v>
      </c>
      <c r="N1063">
        <v>5</v>
      </c>
      <c r="O1063" t="s">
        <v>56</v>
      </c>
      <c r="P1063">
        <v>33.200000000000003</v>
      </c>
      <c r="Q1063">
        <v>1632</v>
      </c>
      <c r="R1063">
        <v>5</v>
      </c>
      <c r="S1063">
        <v>0</v>
      </c>
      <c r="T1063" t="s">
        <v>131</v>
      </c>
      <c r="U1063" t="s">
        <v>38</v>
      </c>
      <c r="V1063">
        <v>2292</v>
      </c>
      <c r="W1063">
        <v>3.5</v>
      </c>
      <c r="X1063">
        <v>4</v>
      </c>
      <c r="Y1063" t="s">
        <v>43</v>
      </c>
      <c r="Z1063">
        <v>3.74</v>
      </c>
      <c r="AA1063" t="s">
        <v>69</v>
      </c>
    </row>
    <row r="1064" spans="1:27" x14ac:dyDescent="0.3">
      <c r="A1064" t="s">
        <v>84</v>
      </c>
      <c r="B1064" t="s">
        <v>106</v>
      </c>
      <c r="C1064">
        <v>2025</v>
      </c>
      <c r="D1064" t="s">
        <v>63</v>
      </c>
      <c r="E1064">
        <v>55304.32</v>
      </c>
      <c r="F1064">
        <v>58.4</v>
      </c>
      <c r="G1064">
        <v>191</v>
      </c>
      <c r="H1064">
        <v>57.8</v>
      </c>
      <c r="I1064">
        <v>6.03</v>
      </c>
      <c r="J1064">
        <v>164</v>
      </c>
      <c r="K1064">
        <v>586</v>
      </c>
      <c r="L1064">
        <v>492</v>
      </c>
      <c r="M1064" t="s">
        <v>39</v>
      </c>
      <c r="N1064">
        <v>5</v>
      </c>
      <c r="O1064" t="s">
        <v>40</v>
      </c>
      <c r="P1064">
        <v>66.099999999999994</v>
      </c>
      <c r="Q1064">
        <v>2189</v>
      </c>
      <c r="R1064">
        <v>5</v>
      </c>
      <c r="S1064">
        <v>0</v>
      </c>
      <c r="T1064" t="s">
        <v>47</v>
      </c>
      <c r="U1064" t="s">
        <v>42</v>
      </c>
      <c r="V1064">
        <v>32117</v>
      </c>
      <c r="W1064">
        <v>3.3</v>
      </c>
      <c r="X1064">
        <v>4</v>
      </c>
      <c r="Y1064" t="s">
        <v>43</v>
      </c>
      <c r="Z1064">
        <v>3.27</v>
      </c>
      <c r="AA1064" t="s">
        <v>35</v>
      </c>
    </row>
    <row r="1065" spans="1:27" x14ac:dyDescent="0.3">
      <c r="A1065" t="s">
        <v>27</v>
      </c>
      <c r="B1065" t="s">
        <v>78</v>
      </c>
      <c r="C1065">
        <v>2024</v>
      </c>
      <c r="D1065" t="s">
        <v>50</v>
      </c>
      <c r="E1065">
        <v>67671.59</v>
      </c>
      <c r="F1065">
        <v>106.9</v>
      </c>
      <c r="G1065">
        <v>369</v>
      </c>
      <c r="H1065">
        <v>103.8</v>
      </c>
      <c r="I1065">
        <v>5.4</v>
      </c>
      <c r="J1065">
        <v>166</v>
      </c>
      <c r="K1065">
        <v>714</v>
      </c>
      <c r="L1065">
        <v>648</v>
      </c>
      <c r="M1065" t="s">
        <v>54</v>
      </c>
      <c r="N1065">
        <v>5</v>
      </c>
      <c r="O1065" t="s">
        <v>40</v>
      </c>
      <c r="P1065">
        <v>39.1</v>
      </c>
      <c r="Q1065">
        <v>1988</v>
      </c>
      <c r="R1065">
        <v>4</v>
      </c>
      <c r="S1065">
        <v>1</v>
      </c>
      <c r="T1065" t="s">
        <v>32</v>
      </c>
      <c r="U1065" t="s">
        <v>38</v>
      </c>
      <c r="V1065">
        <v>268234</v>
      </c>
      <c r="W1065">
        <v>3.9</v>
      </c>
      <c r="X1065">
        <v>4</v>
      </c>
      <c r="Y1065" t="s">
        <v>43</v>
      </c>
      <c r="Z1065">
        <v>3.45</v>
      </c>
      <c r="AA1065" t="s">
        <v>35</v>
      </c>
    </row>
    <row r="1066" spans="1:27" x14ac:dyDescent="0.3">
      <c r="A1066" t="s">
        <v>27</v>
      </c>
      <c r="B1066" t="s">
        <v>82</v>
      </c>
      <c r="C1066">
        <v>2022</v>
      </c>
      <c r="D1066" t="s">
        <v>29</v>
      </c>
      <c r="E1066">
        <v>46348.56</v>
      </c>
      <c r="F1066">
        <v>90</v>
      </c>
      <c r="G1066">
        <v>333</v>
      </c>
      <c r="H1066">
        <v>203.6</v>
      </c>
      <c r="I1066">
        <v>3.69</v>
      </c>
      <c r="J1066">
        <v>188</v>
      </c>
      <c r="K1066">
        <v>334</v>
      </c>
      <c r="L1066">
        <v>294</v>
      </c>
      <c r="M1066" t="s">
        <v>54</v>
      </c>
      <c r="N1066">
        <v>5</v>
      </c>
      <c r="O1066" t="s">
        <v>40</v>
      </c>
      <c r="P1066">
        <v>62.6</v>
      </c>
      <c r="Q1066">
        <v>1513</v>
      </c>
      <c r="R1066">
        <v>4</v>
      </c>
      <c r="S1066">
        <v>1</v>
      </c>
      <c r="T1066" t="s">
        <v>32</v>
      </c>
      <c r="U1066" t="s">
        <v>42</v>
      </c>
      <c r="V1066">
        <v>219975</v>
      </c>
      <c r="W1066">
        <v>3.8</v>
      </c>
      <c r="X1066">
        <v>4</v>
      </c>
      <c r="Y1066" t="s">
        <v>34</v>
      </c>
      <c r="Z1066">
        <v>3.7</v>
      </c>
      <c r="AA1066" t="s">
        <v>35</v>
      </c>
    </row>
    <row r="1067" spans="1:27" x14ac:dyDescent="0.3">
      <c r="A1067" t="s">
        <v>44</v>
      </c>
      <c r="B1067" t="s">
        <v>126</v>
      </c>
      <c r="C1067">
        <v>2023</v>
      </c>
      <c r="D1067" t="s">
        <v>38</v>
      </c>
      <c r="E1067">
        <v>41711.199999999997</v>
      </c>
      <c r="F1067">
        <v>58.9</v>
      </c>
      <c r="G1067">
        <v>204</v>
      </c>
      <c r="H1067">
        <v>84.3</v>
      </c>
      <c r="I1067">
        <v>7.56</v>
      </c>
      <c r="J1067">
        <v>135</v>
      </c>
      <c r="K1067">
        <v>378</v>
      </c>
      <c r="L1067">
        <v>346</v>
      </c>
      <c r="M1067" t="s">
        <v>30</v>
      </c>
      <c r="N1067">
        <v>5</v>
      </c>
      <c r="O1067" t="s">
        <v>56</v>
      </c>
      <c r="P1067">
        <v>38.799999999999997</v>
      </c>
      <c r="Q1067">
        <v>1502</v>
      </c>
      <c r="R1067">
        <v>4</v>
      </c>
      <c r="S1067">
        <v>2</v>
      </c>
      <c r="T1067" t="s">
        <v>47</v>
      </c>
      <c r="U1067" t="s">
        <v>42</v>
      </c>
      <c r="V1067">
        <v>776</v>
      </c>
      <c r="W1067">
        <v>3.2</v>
      </c>
      <c r="X1067">
        <v>4</v>
      </c>
      <c r="Y1067" t="s">
        <v>61</v>
      </c>
      <c r="Z1067">
        <v>3.46</v>
      </c>
      <c r="AA1067" t="s">
        <v>69</v>
      </c>
    </row>
    <row r="1068" spans="1:27" x14ac:dyDescent="0.3">
      <c r="A1068" t="s">
        <v>71</v>
      </c>
      <c r="B1068" t="s">
        <v>75</v>
      </c>
      <c r="C1068">
        <v>2024</v>
      </c>
      <c r="D1068" t="s">
        <v>50</v>
      </c>
      <c r="E1068">
        <v>71451.87</v>
      </c>
      <c r="F1068">
        <v>76.8</v>
      </c>
      <c r="G1068">
        <v>260</v>
      </c>
      <c r="H1068">
        <v>148.9</v>
      </c>
      <c r="I1068">
        <v>5.84</v>
      </c>
      <c r="J1068">
        <v>166</v>
      </c>
      <c r="K1068">
        <v>788</v>
      </c>
      <c r="L1068">
        <v>761</v>
      </c>
      <c r="M1068" t="s">
        <v>54</v>
      </c>
      <c r="N1068">
        <v>5</v>
      </c>
      <c r="O1068" t="s">
        <v>46</v>
      </c>
      <c r="P1068">
        <v>77.099999999999994</v>
      </c>
      <c r="Q1068">
        <v>1540</v>
      </c>
      <c r="R1068">
        <v>5</v>
      </c>
      <c r="S1068">
        <v>2</v>
      </c>
      <c r="T1068" t="s">
        <v>73</v>
      </c>
      <c r="U1068" t="s">
        <v>38</v>
      </c>
      <c r="V1068">
        <v>111875</v>
      </c>
      <c r="W1068">
        <v>3.5</v>
      </c>
      <c r="X1068">
        <v>4</v>
      </c>
      <c r="Y1068" t="s">
        <v>43</v>
      </c>
      <c r="Z1068">
        <v>3.39</v>
      </c>
      <c r="AA1068" t="s">
        <v>35</v>
      </c>
    </row>
    <row r="1069" spans="1:27" x14ac:dyDescent="0.3">
      <c r="A1069" t="s">
        <v>52</v>
      </c>
      <c r="B1069" t="s">
        <v>80</v>
      </c>
      <c r="C1069">
        <v>2022</v>
      </c>
      <c r="D1069" t="s">
        <v>50</v>
      </c>
      <c r="E1069">
        <v>109130.05</v>
      </c>
      <c r="F1069">
        <v>91.6</v>
      </c>
      <c r="G1069">
        <v>339</v>
      </c>
      <c r="H1069">
        <v>207.9</v>
      </c>
      <c r="I1069">
        <v>5.51</v>
      </c>
      <c r="J1069">
        <v>160</v>
      </c>
      <c r="K1069">
        <v>720</v>
      </c>
      <c r="L1069">
        <v>650</v>
      </c>
      <c r="M1069" t="s">
        <v>39</v>
      </c>
      <c r="N1069">
        <v>7</v>
      </c>
      <c r="O1069" t="s">
        <v>31</v>
      </c>
      <c r="P1069">
        <v>78</v>
      </c>
      <c r="Q1069">
        <v>2513</v>
      </c>
      <c r="R1069">
        <v>5</v>
      </c>
      <c r="S1069">
        <v>3</v>
      </c>
      <c r="T1069" t="s">
        <v>47</v>
      </c>
      <c r="U1069" t="s">
        <v>33</v>
      </c>
      <c r="V1069">
        <v>161385</v>
      </c>
      <c r="W1069">
        <v>4.2</v>
      </c>
      <c r="X1069">
        <v>4</v>
      </c>
      <c r="Y1069" t="s">
        <v>43</v>
      </c>
      <c r="Z1069">
        <v>3.7</v>
      </c>
      <c r="AA1069" t="s">
        <v>35</v>
      </c>
    </row>
    <row r="1070" spans="1:27" x14ac:dyDescent="0.3">
      <c r="A1070" t="s">
        <v>71</v>
      </c>
      <c r="B1070" t="s">
        <v>104</v>
      </c>
      <c r="C1070">
        <v>2025</v>
      </c>
      <c r="D1070" t="s">
        <v>29</v>
      </c>
      <c r="E1070">
        <v>30282.11</v>
      </c>
      <c r="F1070">
        <v>100</v>
      </c>
      <c r="G1070">
        <v>331</v>
      </c>
      <c r="H1070">
        <v>243.7</v>
      </c>
      <c r="I1070">
        <v>2.59</v>
      </c>
      <c r="J1070">
        <v>200</v>
      </c>
      <c r="K1070">
        <v>289</v>
      </c>
      <c r="L1070">
        <v>286</v>
      </c>
      <c r="M1070" t="s">
        <v>54</v>
      </c>
      <c r="N1070">
        <v>7</v>
      </c>
      <c r="O1070" t="s">
        <v>46</v>
      </c>
      <c r="P1070">
        <v>77.2</v>
      </c>
      <c r="Q1070">
        <v>1897</v>
      </c>
      <c r="R1070">
        <v>5</v>
      </c>
      <c r="S1070">
        <v>2</v>
      </c>
      <c r="T1070" t="s">
        <v>73</v>
      </c>
      <c r="U1070" t="s">
        <v>74</v>
      </c>
      <c r="V1070">
        <v>180781</v>
      </c>
      <c r="W1070">
        <v>4</v>
      </c>
      <c r="X1070">
        <v>5</v>
      </c>
      <c r="Y1070" t="s">
        <v>34</v>
      </c>
      <c r="Z1070">
        <v>3.31</v>
      </c>
      <c r="AA1070" t="s">
        <v>35</v>
      </c>
    </row>
    <row r="1071" spans="1:27" x14ac:dyDescent="0.3">
      <c r="A1071" t="s">
        <v>71</v>
      </c>
      <c r="B1071" t="s">
        <v>104</v>
      </c>
      <c r="C1071">
        <v>2025</v>
      </c>
      <c r="D1071" t="s">
        <v>68</v>
      </c>
      <c r="E1071">
        <v>83813.38</v>
      </c>
      <c r="F1071">
        <v>70</v>
      </c>
      <c r="G1071">
        <v>271</v>
      </c>
      <c r="H1071">
        <v>90.1</v>
      </c>
      <c r="I1071">
        <v>5.34</v>
      </c>
      <c r="J1071">
        <v>166</v>
      </c>
      <c r="K1071">
        <v>960</v>
      </c>
      <c r="L1071">
        <v>881</v>
      </c>
      <c r="M1071" t="s">
        <v>54</v>
      </c>
      <c r="N1071">
        <v>5</v>
      </c>
      <c r="O1071" t="s">
        <v>40</v>
      </c>
      <c r="P1071">
        <v>35.9</v>
      </c>
      <c r="Q1071">
        <v>1784</v>
      </c>
      <c r="R1071">
        <v>3</v>
      </c>
      <c r="S1071">
        <v>0</v>
      </c>
      <c r="T1071" t="s">
        <v>73</v>
      </c>
      <c r="U1071" t="s">
        <v>38</v>
      </c>
      <c r="V1071">
        <v>193467</v>
      </c>
      <c r="W1071">
        <v>3.4</v>
      </c>
      <c r="X1071">
        <v>5</v>
      </c>
      <c r="Y1071" t="s">
        <v>43</v>
      </c>
      <c r="Z1071">
        <v>3.87</v>
      </c>
      <c r="AA1071" t="s">
        <v>35</v>
      </c>
    </row>
    <row r="1072" spans="1:27" x14ac:dyDescent="0.3">
      <c r="A1072" t="s">
        <v>71</v>
      </c>
      <c r="B1072" t="s">
        <v>75</v>
      </c>
      <c r="C1072">
        <v>2022</v>
      </c>
      <c r="D1072" t="s">
        <v>50</v>
      </c>
      <c r="E1072">
        <v>59084.31</v>
      </c>
      <c r="F1072">
        <v>100.3</v>
      </c>
      <c r="G1072">
        <v>349</v>
      </c>
      <c r="H1072">
        <v>128.5</v>
      </c>
      <c r="I1072">
        <v>4.97</v>
      </c>
      <c r="J1072">
        <v>182</v>
      </c>
      <c r="K1072">
        <v>657</v>
      </c>
      <c r="L1072">
        <v>521</v>
      </c>
      <c r="M1072" t="s">
        <v>39</v>
      </c>
      <c r="N1072">
        <v>7</v>
      </c>
      <c r="O1072" t="s">
        <v>56</v>
      </c>
      <c r="P1072">
        <v>27.6</v>
      </c>
      <c r="Q1072">
        <v>1597</v>
      </c>
      <c r="R1072">
        <v>4</v>
      </c>
      <c r="S1072">
        <v>0</v>
      </c>
      <c r="T1072" t="s">
        <v>73</v>
      </c>
      <c r="U1072" t="s">
        <v>42</v>
      </c>
      <c r="V1072">
        <v>242445</v>
      </c>
      <c r="W1072">
        <v>3.6</v>
      </c>
      <c r="X1072">
        <v>3</v>
      </c>
      <c r="Y1072" t="s">
        <v>43</v>
      </c>
      <c r="Z1072">
        <v>3.48</v>
      </c>
      <c r="AA1072" t="s">
        <v>35</v>
      </c>
    </row>
    <row r="1073" spans="1:27" x14ac:dyDescent="0.3">
      <c r="A1073" t="s">
        <v>71</v>
      </c>
      <c r="B1073" t="s">
        <v>104</v>
      </c>
      <c r="C1073">
        <v>2021</v>
      </c>
      <c r="D1073" t="s">
        <v>29</v>
      </c>
      <c r="E1073">
        <v>43985.87</v>
      </c>
      <c r="F1073">
        <v>97.2</v>
      </c>
      <c r="G1073">
        <v>348</v>
      </c>
      <c r="H1073">
        <v>222.4</v>
      </c>
      <c r="I1073">
        <v>3.07</v>
      </c>
      <c r="J1073">
        <v>200</v>
      </c>
      <c r="K1073">
        <v>466</v>
      </c>
      <c r="L1073">
        <v>418</v>
      </c>
      <c r="M1073" t="s">
        <v>54</v>
      </c>
      <c r="N1073">
        <v>5</v>
      </c>
      <c r="O1073" t="s">
        <v>57</v>
      </c>
      <c r="P1073">
        <v>24.5</v>
      </c>
      <c r="Q1073">
        <v>1505</v>
      </c>
      <c r="R1073">
        <v>4</v>
      </c>
      <c r="S1073">
        <v>1</v>
      </c>
      <c r="T1073" t="s">
        <v>73</v>
      </c>
      <c r="U1073" t="s">
        <v>42</v>
      </c>
      <c r="V1073">
        <v>213365</v>
      </c>
      <c r="W1073">
        <v>3.8</v>
      </c>
      <c r="X1073">
        <v>4</v>
      </c>
      <c r="Y1073" t="s">
        <v>34</v>
      </c>
      <c r="Z1073">
        <v>3.58</v>
      </c>
      <c r="AA1073" t="s">
        <v>35</v>
      </c>
    </row>
    <row r="1074" spans="1:27" x14ac:dyDescent="0.3">
      <c r="A1074" t="s">
        <v>52</v>
      </c>
      <c r="B1074" t="s">
        <v>55</v>
      </c>
      <c r="C1074">
        <v>2024</v>
      </c>
      <c r="D1074" t="s">
        <v>50</v>
      </c>
      <c r="E1074">
        <v>114549.61</v>
      </c>
      <c r="F1074">
        <v>101</v>
      </c>
      <c r="G1074">
        <v>338</v>
      </c>
      <c r="H1074">
        <v>259.5</v>
      </c>
      <c r="I1074">
        <v>4.38</v>
      </c>
      <c r="J1074">
        <v>178</v>
      </c>
      <c r="K1074">
        <v>800</v>
      </c>
      <c r="L1074">
        <v>756</v>
      </c>
      <c r="M1074" t="s">
        <v>39</v>
      </c>
      <c r="N1074">
        <v>5</v>
      </c>
      <c r="O1074" t="s">
        <v>57</v>
      </c>
      <c r="P1074">
        <v>34.299999999999997</v>
      </c>
      <c r="Q1074">
        <v>1663</v>
      </c>
      <c r="R1074">
        <v>5</v>
      </c>
      <c r="S1074">
        <v>2</v>
      </c>
      <c r="T1074" t="s">
        <v>47</v>
      </c>
      <c r="U1074" t="s">
        <v>33</v>
      </c>
      <c r="V1074">
        <v>473485</v>
      </c>
      <c r="W1074">
        <v>4.0999999999999996</v>
      </c>
      <c r="X1074">
        <v>4</v>
      </c>
      <c r="Y1074" t="s">
        <v>43</v>
      </c>
      <c r="Z1074">
        <v>3.35</v>
      </c>
      <c r="AA1074" t="s">
        <v>35</v>
      </c>
    </row>
    <row r="1075" spans="1:27" x14ac:dyDescent="0.3">
      <c r="A1075" t="s">
        <v>52</v>
      </c>
      <c r="B1075" t="s">
        <v>55</v>
      </c>
      <c r="C1075">
        <v>2025</v>
      </c>
      <c r="D1075" t="s">
        <v>29</v>
      </c>
      <c r="E1075">
        <v>63323.17</v>
      </c>
      <c r="F1075">
        <v>90.5</v>
      </c>
      <c r="G1075">
        <v>314</v>
      </c>
      <c r="H1075">
        <v>256.5</v>
      </c>
      <c r="I1075">
        <v>3.58</v>
      </c>
      <c r="J1075">
        <v>195</v>
      </c>
      <c r="K1075">
        <v>420</v>
      </c>
      <c r="L1075">
        <v>356</v>
      </c>
      <c r="M1075" t="s">
        <v>54</v>
      </c>
      <c r="N1075">
        <v>7</v>
      </c>
      <c r="O1075" t="s">
        <v>57</v>
      </c>
      <c r="P1075">
        <v>32.200000000000003</v>
      </c>
      <c r="Q1075">
        <v>1634</v>
      </c>
      <c r="R1075">
        <v>5</v>
      </c>
      <c r="S1075">
        <v>3</v>
      </c>
      <c r="T1075" t="s">
        <v>47</v>
      </c>
      <c r="U1075" t="s">
        <v>42</v>
      </c>
      <c r="V1075">
        <v>404935</v>
      </c>
      <c r="W1075">
        <v>3.9</v>
      </c>
      <c r="X1075">
        <v>5</v>
      </c>
      <c r="Y1075" t="s">
        <v>34</v>
      </c>
      <c r="Z1075">
        <v>3.47</v>
      </c>
      <c r="AA1075" t="s">
        <v>35</v>
      </c>
    </row>
    <row r="1076" spans="1:27" x14ac:dyDescent="0.3">
      <c r="A1076" t="s">
        <v>107</v>
      </c>
      <c r="B1076" t="s">
        <v>121</v>
      </c>
      <c r="C1076">
        <v>2024</v>
      </c>
      <c r="D1076" t="s">
        <v>38</v>
      </c>
      <c r="E1076">
        <v>143428.04999999999</v>
      </c>
      <c r="F1076">
        <v>66.099999999999994</v>
      </c>
      <c r="G1076">
        <v>213</v>
      </c>
      <c r="H1076">
        <v>221.1</v>
      </c>
      <c r="I1076">
        <v>6.87</v>
      </c>
      <c r="J1076">
        <v>148</v>
      </c>
      <c r="K1076">
        <v>640</v>
      </c>
      <c r="L1076">
        <v>521</v>
      </c>
      <c r="M1076" t="s">
        <v>30</v>
      </c>
      <c r="N1076">
        <v>7</v>
      </c>
      <c r="O1076" t="s">
        <v>57</v>
      </c>
      <c r="P1076">
        <v>37.200000000000003</v>
      </c>
      <c r="Q1076">
        <v>1500</v>
      </c>
      <c r="R1076">
        <v>4</v>
      </c>
      <c r="S1076">
        <v>2</v>
      </c>
      <c r="T1076" t="s">
        <v>32</v>
      </c>
      <c r="U1076" t="s">
        <v>33</v>
      </c>
      <c r="V1076">
        <v>6555</v>
      </c>
      <c r="W1076">
        <v>3.8</v>
      </c>
      <c r="X1076">
        <v>7</v>
      </c>
      <c r="Y1076" t="s">
        <v>43</v>
      </c>
      <c r="Z1076">
        <v>3.22</v>
      </c>
      <c r="AA1076" t="s">
        <v>43</v>
      </c>
    </row>
    <row r="1077" spans="1:27" x14ac:dyDescent="0.3">
      <c r="A1077" t="s">
        <v>27</v>
      </c>
      <c r="B1077" t="s">
        <v>83</v>
      </c>
      <c r="C1077">
        <v>2023</v>
      </c>
      <c r="D1077" t="s">
        <v>38</v>
      </c>
      <c r="E1077">
        <v>60337.62</v>
      </c>
      <c r="F1077">
        <v>44.2</v>
      </c>
      <c r="G1077">
        <v>158</v>
      </c>
      <c r="H1077">
        <v>70.599999999999994</v>
      </c>
      <c r="I1077">
        <v>5.68</v>
      </c>
      <c r="J1077">
        <v>175</v>
      </c>
      <c r="K1077">
        <v>580</v>
      </c>
      <c r="L1077">
        <v>557</v>
      </c>
      <c r="M1077" t="s">
        <v>54</v>
      </c>
      <c r="N1077">
        <v>7</v>
      </c>
      <c r="O1077" t="s">
        <v>56</v>
      </c>
      <c r="P1077">
        <v>32</v>
      </c>
      <c r="Q1077">
        <v>1500</v>
      </c>
      <c r="R1077">
        <v>5</v>
      </c>
      <c r="S1077">
        <v>1</v>
      </c>
      <c r="T1077" t="s">
        <v>32</v>
      </c>
      <c r="U1077" t="s">
        <v>42</v>
      </c>
      <c r="V1077">
        <v>201954</v>
      </c>
      <c r="W1077">
        <v>3.3</v>
      </c>
      <c r="X1077">
        <v>3</v>
      </c>
      <c r="Y1077" t="s">
        <v>43</v>
      </c>
      <c r="Z1077">
        <v>3.57</v>
      </c>
      <c r="AA1077" t="s">
        <v>35</v>
      </c>
    </row>
    <row r="1078" spans="1:27" x14ac:dyDescent="0.3">
      <c r="A1078" t="s">
        <v>27</v>
      </c>
      <c r="B1078" t="s">
        <v>93</v>
      </c>
      <c r="C1078">
        <v>2023</v>
      </c>
      <c r="D1078" t="s">
        <v>38</v>
      </c>
      <c r="E1078">
        <v>53064.54</v>
      </c>
      <c r="F1078">
        <v>68.099999999999994</v>
      </c>
      <c r="G1078">
        <v>226</v>
      </c>
      <c r="H1078">
        <v>140.6</v>
      </c>
      <c r="I1078">
        <v>7.09</v>
      </c>
      <c r="J1078">
        <v>141</v>
      </c>
      <c r="K1078">
        <v>464</v>
      </c>
      <c r="L1078">
        <v>379</v>
      </c>
      <c r="M1078" t="s">
        <v>54</v>
      </c>
      <c r="N1078">
        <v>7</v>
      </c>
      <c r="O1078" t="s">
        <v>31</v>
      </c>
      <c r="P1078">
        <v>57.8</v>
      </c>
      <c r="Q1078">
        <v>2506</v>
      </c>
      <c r="R1078">
        <v>3</v>
      </c>
      <c r="S1078">
        <v>0</v>
      </c>
      <c r="T1078" t="s">
        <v>32</v>
      </c>
      <c r="U1078" t="s">
        <v>42</v>
      </c>
      <c r="V1078">
        <v>243991</v>
      </c>
      <c r="W1078">
        <v>3.3</v>
      </c>
      <c r="X1078">
        <v>4</v>
      </c>
      <c r="Y1078" t="s">
        <v>61</v>
      </c>
      <c r="Z1078">
        <v>3.32</v>
      </c>
      <c r="AA1078" t="s">
        <v>35</v>
      </c>
    </row>
    <row r="1079" spans="1:27" x14ac:dyDescent="0.3">
      <c r="A1079" t="s">
        <v>91</v>
      </c>
      <c r="B1079" t="s">
        <v>122</v>
      </c>
      <c r="C1079">
        <v>2022</v>
      </c>
      <c r="D1079" t="s">
        <v>29</v>
      </c>
      <c r="E1079">
        <v>74178.539999999994</v>
      </c>
      <c r="F1079">
        <v>74</v>
      </c>
      <c r="G1079">
        <v>257</v>
      </c>
      <c r="H1079">
        <v>154.19999999999999</v>
      </c>
      <c r="I1079">
        <v>3.99</v>
      </c>
      <c r="J1079">
        <v>187</v>
      </c>
      <c r="K1079">
        <v>386</v>
      </c>
      <c r="L1079">
        <v>326</v>
      </c>
      <c r="M1079" t="s">
        <v>54</v>
      </c>
      <c r="N1079">
        <v>7</v>
      </c>
      <c r="O1079" t="s">
        <v>57</v>
      </c>
      <c r="P1079">
        <v>31.7</v>
      </c>
      <c r="Q1079">
        <v>1714</v>
      </c>
      <c r="R1079">
        <v>5</v>
      </c>
      <c r="S1079">
        <v>2</v>
      </c>
      <c r="T1079" t="s">
        <v>32</v>
      </c>
      <c r="U1079" t="s">
        <v>38</v>
      </c>
      <c r="V1079">
        <v>60959</v>
      </c>
      <c r="W1079">
        <v>3.3</v>
      </c>
      <c r="X1079">
        <v>5</v>
      </c>
      <c r="Y1079" t="s">
        <v>34</v>
      </c>
      <c r="Z1079">
        <v>3.47</v>
      </c>
      <c r="AA1079" t="s">
        <v>35</v>
      </c>
    </row>
    <row r="1080" spans="1:27" x14ac:dyDescent="0.3">
      <c r="A1080" t="s">
        <v>71</v>
      </c>
      <c r="B1080" t="s">
        <v>75</v>
      </c>
      <c r="C1080">
        <v>2025</v>
      </c>
      <c r="D1080" t="s">
        <v>50</v>
      </c>
      <c r="E1080">
        <v>51946.07</v>
      </c>
      <c r="F1080">
        <v>98.3</v>
      </c>
      <c r="G1080">
        <v>331</v>
      </c>
      <c r="H1080">
        <v>87.9</v>
      </c>
      <c r="I1080">
        <v>4.3499999999999996</v>
      </c>
      <c r="J1080">
        <v>185</v>
      </c>
      <c r="K1080">
        <v>593</v>
      </c>
      <c r="L1080">
        <v>555</v>
      </c>
      <c r="M1080" t="s">
        <v>30</v>
      </c>
      <c r="N1080">
        <v>7</v>
      </c>
      <c r="O1080" t="s">
        <v>65</v>
      </c>
      <c r="P1080">
        <v>31.7</v>
      </c>
      <c r="Q1080">
        <v>1785</v>
      </c>
      <c r="R1080">
        <v>5</v>
      </c>
      <c r="S1080">
        <v>1</v>
      </c>
      <c r="T1080" t="s">
        <v>73</v>
      </c>
      <c r="U1080" t="s">
        <v>42</v>
      </c>
      <c r="V1080">
        <v>247778</v>
      </c>
      <c r="W1080">
        <v>3.6</v>
      </c>
      <c r="X1080">
        <v>3</v>
      </c>
      <c r="Y1080" t="s">
        <v>43</v>
      </c>
      <c r="Z1080">
        <v>3.37</v>
      </c>
      <c r="AA1080" t="s">
        <v>35</v>
      </c>
    </row>
    <row r="1081" spans="1:27" x14ac:dyDescent="0.3">
      <c r="A1081" t="s">
        <v>36</v>
      </c>
      <c r="B1081" t="s">
        <v>37</v>
      </c>
      <c r="C1081">
        <v>2024</v>
      </c>
      <c r="D1081" t="s">
        <v>50</v>
      </c>
      <c r="E1081">
        <v>85221.63</v>
      </c>
      <c r="F1081">
        <v>86.5</v>
      </c>
      <c r="G1081">
        <v>314</v>
      </c>
      <c r="H1081">
        <v>126.8</v>
      </c>
      <c r="I1081">
        <v>4.78</v>
      </c>
      <c r="J1081">
        <v>181</v>
      </c>
      <c r="K1081">
        <v>1000</v>
      </c>
      <c r="L1081">
        <v>915</v>
      </c>
      <c r="M1081" t="s">
        <v>39</v>
      </c>
      <c r="N1081">
        <v>7</v>
      </c>
      <c r="O1081" t="s">
        <v>40</v>
      </c>
      <c r="P1081">
        <v>36.6</v>
      </c>
      <c r="Q1081">
        <v>2167</v>
      </c>
      <c r="R1081">
        <v>4</v>
      </c>
      <c r="S1081">
        <v>0</v>
      </c>
      <c r="T1081" t="s">
        <v>41</v>
      </c>
      <c r="U1081" t="s">
        <v>38</v>
      </c>
      <c r="V1081">
        <v>12454</v>
      </c>
      <c r="W1081">
        <v>3.6</v>
      </c>
      <c r="X1081">
        <v>4</v>
      </c>
      <c r="Y1081" t="s">
        <v>43</v>
      </c>
      <c r="Z1081">
        <v>3.63</v>
      </c>
      <c r="AA1081" t="s">
        <v>43</v>
      </c>
    </row>
    <row r="1082" spans="1:27" x14ac:dyDescent="0.3">
      <c r="A1082" t="s">
        <v>84</v>
      </c>
      <c r="B1082" t="s">
        <v>89</v>
      </c>
      <c r="C1082">
        <v>2025</v>
      </c>
      <c r="D1082" t="s">
        <v>68</v>
      </c>
      <c r="E1082">
        <v>44718.1</v>
      </c>
      <c r="F1082">
        <v>71.7</v>
      </c>
      <c r="G1082">
        <v>258</v>
      </c>
      <c r="H1082">
        <v>59.7</v>
      </c>
      <c r="I1082">
        <v>6.72</v>
      </c>
      <c r="J1082">
        <v>157</v>
      </c>
      <c r="K1082">
        <v>382</v>
      </c>
      <c r="L1082">
        <v>355</v>
      </c>
      <c r="M1082" t="s">
        <v>39</v>
      </c>
      <c r="N1082">
        <v>7</v>
      </c>
      <c r="O1082" t="s">
        <v>56</v>
      </c>
      <c r="P1082">
        <v>27.8</v>
      </c>
      <c r="Q1082">
        <v>1523</v>
      </c>
      <c r="R1082">
        <v>5</v>
      </c>
      <c r="S1082">
        <v>1</v>
      </c>
      <c r="T1082" t="s">
        <v>47</v>
      </c>
      <c r="U1082" t="s">
        <v>42</v>
      </c>
      <c r="V1082">
        <v>41551</v>
      </c>
      <c r="W1082">
        <v>3.5</v>
      </c>
      <c r="X1082">
        <v>3</v>
      </c>
      <c r="Y1082" t="s">
        <v>43</v>
      </c>
      <c r="Z1082">
        <v>3.6</v>
      </c>
      <c r="AA1082" t="s">
        <v>35</v>
      </c>
    </row>
    <row r="1083" spans="1:27" x14ac:dyDescent="0.3">
      <c r="A1083" t="s">
        <v>52</v>
      </c>
      <c r="B1083" t="s">
        <v>86</v>
      </c>
      <c r="C1083">
        <v>2024</v>
      </c>
      <c r="D1083" t="s">
        <v>38</v>
      </c>
      <c r="E1083">
        <v>57311.05</v>
      </c>
      <c r="F1083">
        <v>46.2</v>
      </c>
      <c r="G1083">
        <v>178</v>
      </c>
      <c r="H1083">
        <v>230.2</v>
      </c>
      <c r="I1083">
        <v>6.59</v>
      </c>
      <c r="J1083">
        <v>148</v>
      </c>
      <c r="K1083">
        <v>371</v>
      </c>
      <c r="L1083">
        <v>358</v>
      </c>
      <c r="M1083" t="s">
        <v>54</v>
      </c>
      <c r="N1083">
        <v>7</v>
      </c>
      <c r="O1083" t="s">
        <v>56</v>
      </c>
      <c r="P1083">
        <v>37.6</v>
      </c>
      <c r="Q1083">
        <v>1576</v>
      </c>
      <c r="R1083">
        <v>5</v>
      </c>
      <c r="S1083">
        <v>2</v>
      </c>
      <c r="T1083" t="s">
        <v>47</v>
      </c>
      <c r="U1083" t="s">
        <v>42</v>
      </c>
      <c r="V1083">
        <v>103833</v>
      </c>
      <c r="W1083">
        <v>3.5</v>
      </c>
      <c r="X1083">
        <v>5</v>
      </c>
      <c r="Y1083" t="s">
        <v>43</v>
      </c>
      <c r="Z1083">
        <v>3.85</v>
      </c>
      <c r="AA1083" t="s">
        <v>35</v>
      </c>
    </row>
    <row r="1084" spans="1:27" x14ac:dyDescent="0.3">
      <c r="A1084" t="s">
        <v>27</v>
      </c>
      <c r="B1084" t="s">
        <v>83</v>
      </c>
      <c r="C1084">
        <v>2025</v>
      </c>
      <c r="D1084" t="s">
        <v>38</v>
      </c>
      <c r="E1084">
        <v>112803.13</v>
      </c>
      <c r="F1084">
        <v>81.2</v>
      </c>
      <c r="G1084">
        <v>297</v>
      </c>
      <c r="H1084">
        <v>50.1</v>
      </c>
      <c r="I1084">
        <v>6.05</v>
      </c>
      <c r="J1084">
        <v>158</v>
      </c>
      <c r="K1084">
        <v>1000</v>
      </c>
      <c r="L1084">
        <v>906</v>
      </c>
      <c r="M1084" t="s">
        <v>30</v>
      </c>
      <c r="N1084">
        <v>7</v>
      </c>
      <c r="O1084" t="s">
        <v>31</v>
      </c>
      <c r="P1084">
        <v>79.8</v>
      </c>
      <c r="Q1084">
        <v>2658</v>
      </c>
      <c r="R1084">
        <v>4</v>
      </c>
      <c r="S1084">
        <v>1</v>
      </c>
      <c r="T1084" t="s">
        <v>32</v>
      </c>
      <c r="U1084" t="s">
        <v>33</v>
      </c>
      <c r="V1084">
        <v>225327</v>
      </c>
      <c r="W1084">
        <v>3.8</v>
      </c>
      <c r="X1084">
        <v>3</v>
      </c>
      <c r="Y1084" t="s">
        <v>43</v>
      </c>
      <c r="Z1084">
        <v>3.66</v>
      </c>
      <c r="AA1084" t="s">
        <v>35</v>
      </c>
    </row>
    <row r="1085" spans="1:27" x14ac:dyDescent="0.3">
      <c r="A1085" t="s">
        <v>94</v>
      </c>
      <c r="B1085" t="s">
        <v>95</v>
      </c>
      <c r="C1085">
        <v>2025</v>
      </c>
      <c r="D1085" t="s">
        <v>50</v>
      </c>
      <c r="E1085">
        <v>126392.96000000001</v>
      </c>
      <c r="F1085">
        <v>109.8</v>
      </c>
      <c r="G1085">
        <v>384</v>
      </c>
      <c r="H1085">
        <v>98.7</v>
      </c>
      <c r="I1085">
        <v>5.26</v>
      </c>
      <c r="J1085">
        <v>176</v>
      </c>
      <c r="K1085">
        <v>1000</v>
      </c>
      <c r="L1085">
        <v>873</v>
      </c>
      <c r="M1085" t="s">
        <v>39</v>
      </c>
      <c r="N1085">
        <v>7</v>
      </c>
      <c r="O1085" t="s">
        <v>65</v>
      </c>
      <c r="P1085">
        <v>22.8</v>
      </c>
      <c r="Q1085">
        <v>1500</v>
      </c>
      <c r="R1085">
        <v>4</v>
      </c>
      <c r="S1085">
        <v>2</v>
      </c>
      <c r="T1085" t="s">
        <v>32</v>
      </c>
      <c r="U1085" t="s">
        <v>33</v>
      </c>
      <c r="V1085">
        <v>38380</v>
      </c>
      <c r="W1085">
        <v>4</v>
      </c>
      <c r="X1085">
        <v>8</v>
      </c>
      <c r="Y1085" t="s">
        <v>43</v>
      </c>
      <c r="Z1085">
        <v>3.5</v>
      </c>
      <c r="AA1085" t="s">
        <v>35</v>
      </c>
    </row>
    <row r="1086" spans="1:27" x14ac:dyDescent="0.3">
      <c r="A1086" t="s">
        <v>36</v>
      </c>
      <c r="B1086" t="s">
        <v>37</v>
      </c>
      <c r="C1086">
        <v>2025</v>
      </c>
      <c r="D1086" t="s">
        <v>38</v>
      </c>
      <c r="E1086">
        <v>79560.179999999993</v>
      </c>
      <c r="F1086">
        <v>48.9</v>
      </c>
      <c r="G1086">
        <v>199</v>
      </c>
      <c r="H1086">
        <v>81.900000000000006</v>
      </c>
      <c r="I1086">
        <v>5.34</v>
      </c>
      <c r="J1086">
        <v>167</v>
      </c>
      <c r="K1086">
        <v>1000</v>
      </c>
      <c r="L1086">
        <v>917</v>
      </c>
      <c r="M1086" t="s">
        <v>54</v>
      </c>
      <c r="N1086">
        <v>7</v>
      </c>
      <c r="O1086" t="s">
        <v>40</v>
      </c>
      <c r="P1086">
        <v>39.299999999999997</v>
      </c>
      <c r="Q1086">
        <v>1681</v>
      </c>
      <c r="R1086">
        <v>5</v>
      </c>
      <c r="S1086">
        <v>0</v>
      </c>
      <c r="T1086" t="s">
        <v>41</v>
      </c>
      <c r="U1086" t="s">
        <v>38</v>
      </c>
      <c r="V1086">
        <v>12847</v>
      </c>
      <c r="W1086">
        <v>3</v>
      </c>
      <c r="X1086">
        <v>3</v>
      </c>
      <c r="Y1086" t="s">
        <v>43</v>
      </c>
      <c r="Z1086">
        <v>4.07</v>
      </c>
      <c r="AA1086" t="s">
        <v>43</v>
      </c>
    </row>
    <row r="1087" spans="1:27" x14ac:dyDescent="0.3">
      <c r="A1087" t="s">
        <v>76</v>
      </c>
      <c r="B1087" t="s">
        <v>98</v>
      </c>
      <c r="C1087">
        <v>2025</v>
      </c>
      <c r="D1087" t="s">
        <v>29</v>
      </c>
      <c r="E1087">
        <v>56648.45</v>
      </c>
      <c r="F1087">
        <v>77.2</v>
      </c>
      <c r="G1087">
        <v>256</v>
      </c>
      <c r="H1087">
        <v>156</v>
      </c>
      <c r="I1087">
        <v>3.07</v>
      </c>
      <c r="J1087">
        <v>200</v>
      </c>
      <c r="K1087">
        <v>651</v>
      </c>
      <c r="L1087">
        <v>571</v>
      </c>
      <c r="M1087" t="s">
        <v>30</v>
      </c>
      <c r="N1087">
        <v>7</v>
      </c>
      <c r="O1087" t="s">
        <v>31</v>
      </c>
      <c r="P1087">
        <v>51.4</v>
      </c>
      <c r="Q1087">
        <v>2444</v>
      </c>
      <c r="R1087">
        <v>4</v>
      </c>
      <c r="S1087">
        <v>1</v>
      </c>
      <c r="T1087" t="s">
        <v>51</v>
      </c>
      <c r="U1087" t="s">
        <v>42</v>
      </c>
      <c r="V1087">
        <v>120189</v>
      </c>
      <c r="W1087">
        <v>3.7</v>
      </c>
      <c r="X1087">
        <v>3</v>
      </c>
      <c r="Y1087" t="s">
        <v>34</v>
      </c>
      <c r="Z1087">
        <v>3.32</v>
      </c>
      <c r="AA1087" t="s">
        <v>35</v>
      </c>
    </row>
    <row r="1088" spans="1:27" x14ac:dyDescent="0.3">
      <c r="A1088" t="s">
        <v>48</v>
      </c>
      <c r="B1088" t="s">
        <v>88</v>
      </c>
      <c r="C1088">
        <v>2026</v>
      </c>
      <c r="D1088" t="s">
        <v>50</v>
      </c>
      <c r="E1088">
        <v>68589.740000000005</v>
      </c>
      <c r="F1088">
        <v>83.3</v>
      </c>
      <c r="G1088">
        <v>269</v>
      </c>
      <c r="H1088">
        <v>85.1</v>
      </c>
      <c r="I1088">
        <v>4.04</v>
      </c>
      <c r="J1088">
        <v>185</v>
      </c>
      <c r="K1088">
        <v>777</v>
      </c>
      <c r="L1088">
        <v>693</v>
      </c>
      <c r="M1088" t="s">
        <v>39</v>
      </c>
      <c r="N1088">
        <v>5</v>
      </c>
      <c r="O1088" t="s">
        <v>40</v>
      </c>
      <c r="P1088">
        <v>66</v>
      </c>
      <c r="Q1088">
        <v>1880</v>
      </c>
      <c r="R1088">
        <v>5</v>
      </c>
      <c r="S1088">
        <v>1</v>
      </c>
      <c r="T1088" t="s">
        <v>51</v>
      </c>
      <c r="U1088" t="s">
        <v>38</v>
      </c>
      <c r="V1088">
        <v>136116</v>
      </c>
      <c r="W1088">
        <v>3.3</v>
      </c>
      <c r="X1088">
        <v>3</v>
      </c>
      <c r="Y1088" t="s">
        <v>43</v>
      </c>
      <c r="Z1088">
        <v>3.23</v>
      </c>
      <c r="AA1088" t="s">
        <v>35</v>
      </c>
    </row>
    <row r="1089" spans="1:27" x14ac:dyDescent="0.3">
      <c r="A1089" t="s">
        <v>52</v>
      </c>
      <c r="B1089" t="s">
        <v>55</v>
      </c>
      <c r="C1089">
        <v>2025</v>
      </c>
      <c r="D1089" t="s">
        <v>38</v>
      </c>
      <c r="E1089">
        <v>126346.84</v>
      </c>
      <c r="F1089">
        <v>62.5</v>
      </c>
      <c r="G1089">
        <v>253</v>
      </c>
      <c r="H1089">
        <v>303.5</v>
      </c>
      <c r="I1089">
        <v>6.96</v>
      </c>
      <c r="J1089">
        <v>147</v>
      </c>
      <c r="K1089">
        <v>888</v>
      </c>
      <c r="L1089">
        <v>808</v>
      </c>
      <c r="M1089" t="s">
        <v>30</v>
      </c>
      <c r="N1089">
        <v>5</v>
      </c>
      <c r="O1089" t="s">
        <v>40</v>
      </c>
      <c r="P1089">
        <v>40</v>
      </c>
      <c r="Q1089">
        <v>1955</v>
      </c>
      <c r="R1089">
        <v>4</v>
      </c>
      <c r="S1089">
        <v>2</v>
      </c>
      <c r="T1089" t="s">
        <v>47</v>
      </c>
      <c r="U1089" t="s">
        <v>33</v>
      </c>
      <c r="V1089">
        <v>433007</v>
      </c>
      <c r="W1089">
        <v>3.9</v>
      </c>
      <c r="X1089">
        <v>5</v>
      </c>
      <c r="Y1089" t="s">
        <v>43</v>
      </c>
      <c r="Z1089">
        <v>4.05</v>
      </c>
      <c r="AA1089" t="s">
        <v>35</v>
      </c>
    </row>
    <row r="1090" spans="1:27" x14ac:dyDescent="0.3">
      <c r="A1090" t="s">
        <v>129</v>
      </c>
      <c r="B1090" t="s">
        <v>145</v>
      </c>
      <c r="C1090">
        <v>2025</v>
      </c>
      <c r="D1090" t="s">
        <v>50</v>
      </c>
      <c r="E1090">
        <v>79465</v>
      </c>
      <c r="F1090">
        <v>100.9</v>
      </c>
      <c r="G1090">
        <v>373</v>
      </c>
      <c r="H1090">
        <v>57.4</v>
      </c>
      <c r="I1090">
        <v>4.6399999999999997</v>
      </c>
      <c r="J1090">
        <v>183</v>
      </c>
      <c r="K1090">
        <v>617</v>
      </c>
      <c r="L1090">
        <v>519</v>
      </c>
      <c r="M1090" t="s">
        <v>39</v>
      </c>
      <c r="N1090">
        <v>5</v>
      </c>
      <c r="O1090" t="s">
        <v>46</v>
      </c>
      <c r="P1090">
        <v>70.099999999999994</v>
      </c>
      <c r="Q1090">
        <v>1500</v>
      </c>
      <c r="R1090">
        <v>5</v>
      </c>
      <c r="S1090">
        <v>0</v>
      </c>
      <c r="T1090" t="s">
        <v>131</v>
      </c>
      <c r="U1090" t="s">
        <v>38</v>
      </c>
      <c r="V1090">
        <v>9072</v>
      </c>
      <c r="W1090">
        <v>4</v>
      </c>
      <c r="X1090">
        <v>5</v>
      </c>
      <c r="Y1090" t="s">
        <v>43</v>
      </c>
      <c r="Z1090">
        <v>3.7</v>
      </c>
      <c r="AA1090" t="s">
        <v>43</v>
      </c>
    </row>
    <row r="1091" spans="1:27" x14ac:dyDescent="0.3">
      <c r="A1091" t="s">
        <v>71</v>
      </c>
      <c r="B1091" t="s">
        <v>115</v>
      </c>
      <c r="C1091">
        <v>2022</v>
      </c>
      <c r="D1091" t="s">
        <v>63</v>
      </c>
      <c r="E1091">
        <v>51140.49</v>
      </c>
      <c r="F1091">
        <v>58.3</v>
      </c>
      <c r="G1091">
        <v>209</v>
      </c>
      <c r="H1091">
        <v>72.900000000000006</v>
      </c>
      <c r="I1091">
        <v>5.05</v>
      </c>
      <c r="J1091">
        <v>182</v>
      </c>
      <c r="K1091">
        <v>572</v>
      </c>
      <c r="L1091">
        <v>450</v>
      </c>
      <c r="M1091" t="s">
        <v>30</v>
      </c>
      <c r="N1091">
        <v>5</v>
      </c>
      <c r="O1091" t="s">
        <v>46</v>
      </c>
      <c r="P1091">
        <v>75.599999999999994</v>
      </c>
      <c r="Q1091">
        <v>1639</v>
      </c>
      <c r="R1091">
        <v>5</v>
      </c>
      <c r="S1091">
        <v>0</v>
      </c>
      <c r="T1091" t="s">
        <v>73</v>
      </c>
      <c r="U1091" t="s">
        <v>42</v>
      </c>
      <c r="V1091">
        <v>122452</v>
      </c>
      <c r="W1091">
        <v>3.6</v>
      </c>
      <c r="X1091">
        <v>5</v>
      </c>
      <c r="Y1091" t="s">
        <v>43</v>
      </c>
      <c r="Z1091">
        <v>3.58</v>
      </c>
      <c r="AA1091" t="s">
        <v>35</v>
      </c>
    </row>
    <row r="1092" spans="1:27" x14ac:dyDescent="0.3">
      <c r="A1092" t="s">
        <v>100</v>
      </c>
      <c r="B1092" t="s">
        <v>118</v>
      </c>
      <c r="C1092">
        <v>2021</v>
      </c>
      <c r="D1092" t="s">
        <v>50</v>
      </c>
      <c r="E1092">
        <v>55221.99</v>
      </c>
      <c r="F1092">
        <v>108.2</v>
      </c>
      <c r="G1092">
        <v>383</v>
      </c>
      <c r="H1092">
        <v>59.8</v>
      </c>
      <c r="I1092">
        <v>4.1900000000000004</v>
      </c>
      <c r="J1092">
        <v>187</v>
      </c>
      <c r="K1092">
        <v>328</v>
      </c>
      <c r="L1092">
        <v>316</v>
      </c>
      <c r="M1092" t="s">
        <v>30</v>
      </c>
      <c r="N1092">
        <v>7</v>
      </c>
      <c r="O1092" t="s">
        <v>57</v>
      </c>
      <c r="P1092">
        <v>30</v>
      </c>
      <c r="Q1092">
        <v>1742</v>
      </c>
      <c r="R1092">
        <v>4</v>
      </c>
      <c r="S1092">
        <v>1</v>
      </c>
      <c r="T1092" t="s">
        <v>73</v>
      </c>
      <c r="U1092" t="s">
        <v>42</v>
      </c>
      <c r="V1092">
        <v>7302</v>
      </c>
      <c r="W1092">
        <v>3.7</v>
      </c>
      <c r="X1092">
        <v>3</v>
      </c>
      <c r="Y1092" t="s">
        <v>43</v>
      </c>
      <c r="Z1092">
        <v>3.54</v>
      </c>
      <c r="AA1092" t="s">
        <v>43</v>
      </c>
    </row>
    <row r="1093" spans="1:27" x14ac:dyDescent="0.3">
      <c r="A1093" t="s">
        <v>91</v>
      </c>
      <c r="B1093" t="s">
        <v>97</v>
      </c>
      <c r="C1093">
        <v>2024</v>
      </c>
      <c r="D1093" t="s">
        <v>38</v>
      </c>
      <c r="E1093">
        <v>79371.520000000004</v>
      </c>
      <c r="F1093">
        <v>75.599999999999994</v>
      </c>
      <c r="G1093">
        <v>287</v>
      </c>
      <c r="H1093">
        <v>120.4</v>
      </c>
      <c r="I1093">
        <v>5.58</v>
      </c>
      <c r="J1093">
        <v>165</v>
      </c>
      <c r="K1093">
        <v>455</v>
      </c>
      <c r="L1093">
        <v>425</v>
      </c>
      <c r="M1093" t="s">
        <v>30</v>
      </c>
      <c r="N1093">
        <v>5</v>
      </c>
      <c r="O1093" t="s">
        <v>56</v>
      </c>
      <c r="P1093">
        <v>26.8</v>
      </c>
      <c r="Q1093">
        <v>1500</v>
      </c>
      <c r="R1093">
        <v>5</v>
      </c>
      <c r="S1093">
        <v>1</v>
      </c>
      <c r="T1093" t="s">
        <v>32</v>
      </c>
      <c r="U1093" t="s">
        <v>38</v>
      </c>
      <c r="V1093">
        <v>73538</v>
      </c>
      <c r="W1093">
        <v>3.4</v>
      </c>
      <c r="X1093">
        <v>6</v>
      </c>
      <c r="Y1093" t="s">
        <v>43</v>
      </c>
      <c r="Z1093">
        <v>3.8</v>
      </c>
      <c r="AA1093" t="s">
        <v>35</v>
      </c>
    </row>
    <row r="1094" spans="1:27" x14ac:dyDescent="0.3">
      <c r="A1094" t="s">
        <v>48</v>
      </c>
      <c r="B1094" t="s">
        <v>79</v>
      </c>
      <c r="C1094">
        <v>2024</v>
      </c>
      <c r="D1094" t="s">
        <v>29</v>
      </c>
      <c r="E1094">
        <v>42779.06</v>
      </c>
      <c r="F1094">
        <v>92.5</v>
      </c>
      <c r="G1094">
        <v>294</v>
      </c>
      <c r="H1094">
        <v>225</v>
      </c>
      <c r="I1094">
        <v>3.85</v>
      </c>
      <c r="J1094">
        <v>195</v>
      </c>
      <c r="K1094">
        <v>378</v>
      </c>
      <c r="L1094">
        <v>354</v>
      </c>
      <c r="M1094" t="s">
        <v>39</v>
      </c>
      <c r="N1094">
        <v>5</v>
      </c>
      <c r="O1094" t="s">
        <v>40</v>
      </c>
      <c r="P1094">
        <v>69.8</v>
      </c>
      <c r="Q1094">
        <v>1837</v>
      </c>
      <c r="R1094">
        <v>4</v>
      </c>
      <c r="S1094">
        <v>0</v>
      </c>
      <c r="T1094" t="s">
        <v>51</v>
      </c>
      <c r="U1094" t="s">
        <v>42</v>
      </c>
      <c r="V1094">
        <v>60355</v>
      </c>
      <c r="W1094">
        <v>3.6</v>
      </c>
      <c r="X1094">
        <v>5</v>
      </c>
      <c r="Y1094" t="s">
        <v>34</v>
      </c>
      <c r="Z1094">
        <v>3.18</v>
      </c>
      <c r="AA1094" t="s">
        <v>35</v>
      </c>
    </row>
    <row r="1095" spans="1:27" x14ac:dyDescent="0.3">
      <c r="A1095" t="s">
        <v>76</v>
      </c>
      <c r="B1095" t="s">
        <v>87</v>
      </c>
      <c r="C1095">
        <v>2026</v>
      </c>
      <c r="D1095" t="s">
        <v>38</v>
      </c>
      <c r="E1095">
        <v>56433</v>
      </c>
      <c r="F1095">
        <v>62.7</v>
      </c>
      <c r="G1095">
        <v>241</v>
      </c>
      <c r="H1095">
        <v>133.30000000000001</v>
      </c>
      <c r="I1095">
        <v>5.85</v>
      </c>
      <c r="J1095">
        <v>161</v>
      </c>
      <c r="K1095">
        <v>621</v>
      </c>
      <c r="L1095">
        <v>572</v>
      </c>
      <c r="M1095" t="s">
        <v>54</v>
      </c>
      <c r="N1095">
        <v>5</v>
      </c>
      <c r="O1095" t="s">
        <v>31</v>
      </c>
      <c r="P1095">
        <v>51.5</v>
      </c>
      <c r="Q1095">
        <v>2171</v>
      </c>
      <c r="R1095">
        <v>4</v>
      </c>
      <c r="S1095">
        <v>0</v>
      </c>
      <c r="T1095" t="s">
        <v>51</v>
      </c>
      <c r="U1095" t="s">
        <v>42</v>
      </c>
      <c r="V1095">
        <v>82791</v>
      </c>
      <c r="W1095">
        <v>3.4</v>
      </c>
      <c r="X1095">
        <v>4</v>
      </c>
      <c r="Y1095" t="s">
        <v>43</v>
      </c>
      <c r="Z1095">
        <v>3.84</v>
      </c>
      <c r="AA1095" t="s">
        <v>35</v>
      </c>
    </row>
    <row r="1096" spans="1:27" x14ac:dyDescent="0.3">
      <c r="A1096" t="s">
        <v>71</v>
      </c>
      <c r="B1096" t="s">
        <v>75</v>
      </c>
      <c r="C1096">
        <v>2026</v>
      </c>
      <c r="D1096" t="s">
        <v>50</v>
      </c>
      <c r="E1096">
        <v>27583.09</v>
      </c>
      <c r="F1096">
        <v>88.1</v>
      </c>
      <c r="G1096">
        <v>308</v>
      </c>
      <c r="H1096">
        <v>146.5</v>
      </c>
      <c r="I1096">
        <v>5.01</v>
      </c>
      <c r="J1096">
        <v>181</v>
      </c>
      <c r="K1096">
        <v>239</v>
      </c>
      <c r="L1096">
        <v>200</v>
      </c>
      <c r="M1096" t="s">
        <v>39</v>
      </c>
      <c r="N1096">
        <v>5</v>
      </c>
      <c r="O1096" t="s">
        <v>31</v>
      </c>
      <c r="P1096">
        <v>78.900000000000006</v>
      </c>
      <c r="Q1096">
        <v>2795</v>
      </c>
      <c r="R1096">
        <v>5</v>
      </c>
      <c r="S1096">
        <v>0</v>
      </c>
      <c r="T1096" t="s">
        <v>73</v>
      </c>
      <c r="U1096" t="s">
        <v>74</v>
      </c>
      <c r="V1096">
        <v>122434</v>
      </c>
      <c r="W1096">
        <v>3.8</v>
      </c>
      <c r="X1096">
        <v>5</v>
      </c>
      <c r="Y1096" t="s">
        <v>43</v>
      </c>
      <c r="Z1096">
        <v>3.5</v>
      </c>
      <c r="AA1096" t="s">
        <v>35</v>
      </c>
    </row>
    <row r="1097" spans="1:27" x14ac:dyDescent="0.3">
      <c r="A1097" t="s">
        <v>52</v>
      </c>
      <c r="B1097" t="s">
        <v>64</v>
      </c>
      <c r="C1097">
        <v>2026</v>
      </c>
      <c r="D1097" t="s">
        <v>63</v>
      </c>
      <c r="E1097">
        <v>58826.879999999997</v>
      </c>
      <c r="F1097">
        <v>44.1</v>
      </c>
      <c r="G1097">
        <v>150</v>
      </c>
      <c r="H1097">
        <v>256</v>
      </c>
      <c r="I1097">
        <v>7.68</v>
      </c>
      <c r="J1097">
        <v>133</v>
      </c>
      <c r="K1097">
        <v>396</v>
      </c>
      <c r="L1097">
        <v>316</v>
      </c>
      <c r="M1097" t="s">
        <v>39</v>
      </c>
      <c r="N1097">
        <v>7</v>
      </c>
      <c r="O1097" t="s">
        <v>65</v>
      </c>
      <c r="P1097">
        <v>36.5</v>
      </c>
      <c r="Q1097">
        <v>1518</v>
      </c>
      <c r="R1097">
        <v>4</v>
      </c>
      <c r="S1097">
        <v>2</v>
      </c>
      <c r="T1097" t="s">
        <v>47</v>
      </c>
      <c r="U1097" t="s">
        <v>42</v>
      </c>
      <c r="V1097">
        <v>198300</v>
      </c>
      <c r="W1097">
        <v>3.5</v>
      </c>
      <c r="X1097">
        <v>5</v>
      </c>
      <c r="Y1097" t="s">
        <v>61</v>
      </c>
      <c r="Z1097">
        <v>3.4</v>
      </c>
      <c r="AA1097" t="s">
        <v>35</v>
      </c>
    </row>
    <row r="1098" spans="1:27" x14ac:dyDescent="0.3">
      <c r="A1098" t="s">
        <v>71</v>
      </c>
      <c r="B1098" t="s">
        <v>75</v>
      </c>
      <c r="C1098">
        <v>2024</v>
      </c>
      <c r="D1098" t="s">
        <v>38</v>
      </c>
      <c r="E1098">
        <v>65610.45</v>
      </c>
      <c r="F1098">
        <v>55.7</v>
      </c>
      <c r="G1098">
        <v>208</v>
      </c>
      <c r="H1098">
        <v>128.30000000000001</v>
      </c>
      <c r="I1098">
        <v>7.45</v>
      </c>
      <c r="J1098">
        <v>130</v>
      </c>
      <c r="K1098">
        <v>719</v>
      </c>
      <c r="L1098">
        <v>646</v>
      </c>
      <c r="M1098" t="s">
        <v>54</v>
      </c>
      <c r="N1098">
        <v>5</v>
      </c>
      <c r="O1098" t="s">
        <v>65</v>
      </c>
      <c r="P1098">
        <v>17.399999999999999</v>
      </c>
      <c r="Q1098">
        <v>1707</v>
      </c>
      <c r="R1098">
        <v>4</v>
      </c>
      <c r="S1098">
        <v>1</v>
      </c>
      <c r="T1098" t="s">
        <v>73</v>
      </c>
      <c r="U1098" t="s">
        <v>38</v>
      </c>
      <c r="V1098">
        <v>108967</v>
      </c>
      <c r="W1098">
        <v>3.4</v>
      </c>
      <c r="X1098">
        <v>5</v>
      </c>
      <c r="Y1098" t="s">
        <v>61</v>
      </c>
      <c r="Z1098">
        <v>3.73</v>
      </c>
      <c r="AA1098" t="s">
        <v>35</v>
      </c>
    </row>
    <row r="1099" spans="1:27" x14ac:dyDescent="0.3">
      <c r="A1099" t="s">
        <v>52</v>
      </c>
      <c r="B1099" t="s">
        <v>80</v>
      </c>
      <c r="C1099">
        <v>2024</v>
      </c>
      <c r="D1099" t="s">
        <v>50</v>
      </c>
      <c r="E1099">
        <v>71380.399999999994</v>
      </c>
      <c r="F1099">
        <v>86.4</v>
      </c>
      <c r="G1099">
        <v>314</v>
      </c>
      <c r="H1099">
        <v>201.5</v>
      </c>
      <c r="I1099">
        <v>4.79</v>
      </c>
      <c r="J1099">
        <v>179</v>
      </c>
      <c r="K1099">
        <v>495</v>
      </c>
      <c r="L1099">
        <v>479</v>
      </c>
      <c r="M1099" t="s">
        <v>54</v>
      </c>
      <c r="N1099">
        <v>7</v>
      </c>
      <c r="O1099" t="s">
        <v>31</v>
      </c>
      <c r="P1099">
        <v>56.2</v>
      </c>
      <c r="Q1099">
        <v>2926</v>
      </c>
      <c r="R1099">
        <v>5</v>
      </c>
      <c r="S1099">
        <v>3</v>
      </c>
      <c r="T1099" t="s">
        <v>47</v>
      </c>
      <c r="U1099" t="s">
        <v>38</v>
      </c>
      <c r="V1099">
        <v>213989</v>
      </c>
      <c r="W1099">
        <v>3.7</v>
      </c>
      <c r="X1099">
        <v>4</v>
      </c>
      <c r="Y1099" t="s">
        <v>43</v>
      </c>
      <c r="Z1099">
        <v>3.63</v>
      </c>
      <c r="AA1099" t="s">
        <v>35</v>
      </c>
    </row>
    <row r="1100" spans="1:27" x14ac:dyDescent="0.3">
      <c r="A1100" t="s">
        <v>84</v>
      </c>
      <c r="B1100" t="s">
        <v>99</v>
      </c>
      <c r="C1100">
        <v>2024</v>
      </c>
      <c r="D1100" t="s">
        <v>38</v>
      </c>
      <c r="E1100">
        <v>79235.67</v>
      </c>
      <c r="F1100">
        <v>56.8</v>
      </c>
      <c r="G1100">
        <v>213</v>
      </c>
      <c r="H1100">
        <v>107.9</v>
      </c>
      <c r="I1100">
        <v>7.58</v>
      </c>
      <c r="J1100">
        <v>142</v>
      </c>
      <c r="K1100">
        <v>929</v>
      </c>
      <c r="L1100">
        <v>817</v>
      </c>
      <c r="M1100" t="s">
        <v>30</v>
      </c>
      <c r="N1100">
        <v>2</v>
      </c>
      <c r="O1100" t="s">
        <v>31</v>
      </c>
      <c r="P1100">
        <v>74.7</v>
      </c>
      <c r="Q1100">
        <v>2579</v>
      </c>
      <c r="R1100">
        <v>4</v>
      </c>
      <c r="S1100">
        <v>0</v>
      </c>
      <c r="T1100" t="s">
        <v>47</v>
      </c>
      <c r="U1100" t="s">
        <v>38</v>
      </c>
      <c r="V1100">
        <v>59746</v>
      </c>
      <c r="W1100">
        <v>3.3</v>
      </c>
      <c r="X1100">
        <v>4</v>
      </c>
      <c r="Y1100" t="s">
        <v>61</v>
      </c>
      <c r="Z1100">
        <v>3.75</v>
      </c>
      <c r="AA1100" t="s">
        <v>35</v>
      </c>
    </row>
    <row r="1101" spans="1:27" x14ac:dyDescent="0.3">
      <c r="A1101" t="s">
        <v>71</v>
      </c>
      <c r="B1101" t="s">
        <v>96</v>
      </c>
      <c r="C1101">
        <v>2024</v>
      </c>
      <c r="D1101" t="s">
        <v>38</v>
      </c>
      <c r="E1101">
        <v>88218.65</v>
      </c>
      <c r="F1101">
        <v>54.7</v>
      </c>
      <c r="G1101">
        <v>210</v>
      </c>
      <c r="H1101">
        <v>74</v>
      </c>
      <c r="I1101">
        <v>5.67</v>
      </c>
      <c r="J1101">
        <v>158</v>
      </c>
      <c r="K1101">
        <v>1000</v>
      </c>
      <c r="L1101">
        <v>882</v>
      </c>
      <c r="M1101" t="s">
        <v>30</v>
      </c>
      <c r="N1101">
        <v>7</v>
      </c>
      <c r="O1101" t="s">
        <v>57</v>
      </c>
      <c r="P1101">
        <v>37.1</v>
      </c>
      <c r="Q1101">
        <v>1709</v>
      </c>
      <c r="R1101">
        <v>4</v>
      </c>
      <c r="S1101">
        <v>0</v>
      </c>
      <c r="T1101" t="s">
        <v>73</v>
      </c>
      <c r="U1101" t="s">
        <v>38</v>
      </c>
      <c r="V1101">
        <v>227690</v>
      </c>
      <c r="W1101">
        <v>3.4</v>
      </c>
      <c r="X1101">
        <v>4</v>
      </c>
      <c r="Y1101" t="s">
        <v>43</v>
      </c>
      <c r="Z1101">
        <v>3.84</v>
      </c>
      <c r="AA1101" t="s">
        <v>35</v>
      </c>
    </row>
    <row r="1102" spans="1:27" x14ac:dyDescent="0.3">
      <c r="A1102" t="s">
        <v>52</v>
      </c>
      <c r="B1102" t="s">
        <v>64</v>
      </c>
      <c r="C1102">
        <v>2020</v>
      </c>
      <c r="D1102" t="s">
        <v>29</v>
      </c>
      <c r="E1102">
        <v>164703.81</v>
      </c>
      <c r="F1102">
        <v>113.2</v>
      </c>
      <c r="G1102">
        <v>397</v>
      </c>
      <c r="H1102">
        <v>200.6</v>
      </c>
      <c r="I1102">
        <v>4.08</v>
      </c>
      <c r="J1102">
        <v>187</v>
      </c>
      <c r="K1102">
        <v>1000</v>
      </c>
      <c r="L1102">
        <v>877</v>
      </c>
      <c r="M1102" t="s">
        <v>54</v>
      </c>
      <c r="N1102">
        <v>7</v>
      </c>
      <c r="O1102" t="s">
        <v>65</v>
      </c>
      <c r="P1102">
        <v>21.9</v>
      </c>
      <c r="Q1102">
        <v>1900</v>
      </c>
      <c r="R1102">
        <v>5</v>
      </c>
      <c r="S1102">
        <v>2</v>
      </c>
      <c r="T1102" t="s">
        <v>47</v>
      </c>
      <c r="U1102" t="s">
        <v>33</v>
      </c>
      <c r="V1102">
        <v>159470</v>
      </c>
      <c r="W1102">
        <v>4.0999999999999996</v>
      </c>
      <c r="X1102">
        <v>4</v>
      </c>
      <c r="Y1102" t="s">
        <v>43</v>
      </c>
      <c r="Z1102">
        <v>3.51</v>
      </c>
      <c r="AA1102" t="s">
        <v>35</v>
      </c>
    </row>
    <row r="1103" spans="1:27" x14ac:dyDescent="0.3">
      <c r="A1103" t="s">
        <v>66</v>
      </c>
      <c r="B1103" t="s">
        <v>67</v>
      </c>
      <c r="C1103">
        <v>2026</v>
      </c>
      <c r="D1103" t="s">
        <v>68</v>
      </c>
      <c r="E1103">
        <v>93652.94</v>
      </c>
      <c r="F1103">
        <v>54.5</v>
      </c>
      <c r="G1103">
        <v>193</v>
      </c>
      <c r="H1103">
        <v>144.4</v>
      </c>
      <c r="I1103">
        <v>5.24</v>
      </c>
      <c r="J1103">
        <v>177</v>
      </c>
      <c r="K1103">
        <v>823</v>
      </c>
      <c r="L1103">
        <v>743</v>
      </c>
      <c r="M1103" t="s">
        <v>39</v>
      </c>
      <c r="N1103">
        <v>5</v>
      </c>
      <c r="O1103" t="s">
        <v>65</v>
      </c>
      <c r="P1103">
        <v>21.3</v>
      </c>
      <c r="Q1103">
        <v>1675</v>
      </c>
      <c r="R1103">
        <v>3</v>
      </c>
      <c r="S1103">
        <v>0</v>
      </c>
      <c r="T1103" t="s">
        <v>47</v>
      </c>
      <c r="U1103" t="s">
        <v>38</v>
      </c>
      <c r="V1103">
        <v>24709</v>
      </c>
      <c r="W1103">
        <v>3.3</v>
      </c>
      <c r="X1103">
        <v>5</v>
      </c>
      <c r="Y1103" t="s">
        <v>43</v>
      </c>
      <c r="Z1103">
        <v>3.54</v>
      </c>
      <c r="AA1103" t="s">
        <v>35</v>
      </c>
    </row>
    <row r="1104" spans="1:27" x14ac:dyDescent="0.3">
      <c r="A1104" t="s">
        <v>94</v>
      </c>
      <c r="B1104" t="s">
        <v>95</v>
      </c>
      <c r="C1104">
        <v>2024</v>
      </c>
      <c r="D1104" t="s">
        <v>29</v>
      </c>
      <c r="E1104">
        <v>121871.7</v>
      </c>
      <c r="F1104">
        <v>86.2</v>
      </c>
      <c r="G1104">
        <v>305</v>
      </c>
      <c r="H1104">
        <v>248</v>
      </c>
      <c r="I1104">
        <v>2.63</v>
      </c>
      <c r="J1104">
        <v>200</v>
      </c>
      <c r="K1104">
        <v>1000</v>
      </c>
      <c r="L1104">
        <v>889</v>
      </c>
      <c r="M1104" t="s">
        <v>30</v>
      </c>
      <c r="N1104">
        <v>5</v>
      </c>
      <c r="O1104" t="s">
        <v>46</v>
      </c>
      <c r="P1104">
        <v>71.599999999999994</v>
      </c>
      <c r="Q1104">
        <v>1664</v>
      </c>
      <c r="R1104">
        <v>5</v>
      </c>
      <c r="S1104">
        <v>2</v>
      </c>
      <c r="T1104" t="s">
        <v>32</v>
      </c>
      <c r="U1104" t="s">
        <v>33</v>
      </c>
      <c r="V1104">
        <v>31338</v>
      </c>
      <c r="W1104">
        <v>3.6</v>
      </c>
      <c r="X1104">
        <v>7</v>
      </c>
      <c r="Y1104" t="s">
        <v>34</v>
      </c>
      <c r="Z1104">
        <v>3.54</v>
      </c>
      <c r="AA1104" t="s">
        <v>35</v>
      </c>
    </row>
    <row r="1105" spans="1:27" x14ac:dyDescent="0.3">
      <c r="A1105" t="s">
        <v>102</v>
      </c>
      <c r="B1105" t="s">
        <v>136</v>
      </c>
      <c r="C1105">
        <v>2022</v>
      </c>
      <c r="D1105" t="s">
        <v>38</v>
      </c>
      <c r="E1105">
        <v>102878.64</v>
      </c>
      <c r="F1105">
        <v>67.400000000000006</v>
      </c>
      <c r="G1105">
        <v>249</v>
      </c>
      <c r="H1105">
        <v>56.8</v>
      </c>
      <c r="I1105">
        <v>6.37</v>
      </c>
      <c r="J1105">
        <v>161</v>
      </c>
      <c r="K1105">
        <v>1000</v>
      </c>
      <c r="L1105">
        <v>930</v>
      </c>
      <c r="M1105" t="s">
        <v>30</v>
      </c>
      <c r="N1105">
        <v>5</v>
      </c>
      <c r="O1105" t="s">
        <v>65</v>
      </c>
      <c r="P1105">
        <v>39.700000000000003</v>
      </c>
      <c r="Q1105">
        <v>1640</v>
      </c>
      <c r="R1105">
        <v>5</v>
      </c>
      <c r="S1105">
        <v>0</v>
      </c>
      <c r="T1105" t="s">
        <v>47</v>
      </c>
      <c r="U1105" t="s">
        <v>33</v>
      </c>
      <c r="V1105">
        <v>27062</v>
      </c>
      <c r="W1105">
        <v>3.2</v>
      </c>
      <c r="X1105">
        <v>5</v>
      </c>
      <c r="Y1105" t="s">
        <v>43</v>
      </c>
      <c r="Z1105">
        <v>3.69</v>
      </c>
      <c r="AA1105" t="s">
        <v>35</v>
      </c>
    </row>
    <row r="1106" spans="1:27" x14ac:dyDescent="0.3">
      <c r="A1106" t="s">
        <v>129</v>
      </c>
      <c r="B1106" t="s">
        <v>130</v>
      </c>
      <c r="C1106">
        <v>2022</v>
      </c>
      <c r="D1106" t="s">
        <v>29</v>
      </c>
      <c r="E1106">
        <v>74428.14</v>
      </c>
      <c r="F1106">
        <v>86.1</v>
      </c>
      <c r="G1106">
        <v>316</v>
      </c>
      <c r="H1106">
        <v>151.1</v>
      </c>
      <c r="I1106">
        <v>3.78</v>
      </c>
      <c r="J1106">
        <v>191</v>
      </c>
      <c r="K1106">
        <v>584</v>
      </c>
      <c r="L1106">
        <v>519</v>
      </c>
      <c r="M1106" t="s">
        <v>54</v>
      </c>
      <c r="N1106">
        <v>5</v>
      </c>
      <c r="O1106" t="s">
        <v>31</v>
      </c>
      <c r="P1106">
        <v>74.099999999999994</v>
      </c>
      <c r="Q1106">
        <v>2794</v>
      </c>
      <c r="R1106">
        <v>5</v>
      </c>
      <c r="S1106">
        <v>2</v>
      </c>
      <c r="T1106" t="s">
        <v>131</v>
      </c>
      <c r="U1106" t="s">
        <v>38</v>
      </c>
      <c r="V1106">
        <v>3031</v>
      </c>
      <c r="W1106">
        <v>3.5</v>
      </c>
      <c r="X1106">
        <v>3</v>
      </c>
      <c r="Y1106" t="s">
        <v>34</v>
      </c>
      <c r="Z1106">
        <v>3.67</v>
      </c>
      <c r="AA1106" t="s">
        <v>69</v>
      </c>
    </row>
    <row r="1107" spans="1:27" x14ac:dyDescent="0.3">
      <c r="A1107" t="s">
        <v>52</v>
      </c>
      <c r="B1107" t="s">
        <v>53</v>
      </c>
      <c r="C1107">
        <v>2026</v>
      </c>
      <c r="D1107" t="s">
        <v>29</v>
      </c>
      <c r="E1107">
        <v>112274.6</v>
      </c>
      <c r="F1107">
        <v>73.599999999999994</v>
      </c>
      <c r="G1107">
        <v>242</v>
      </c>
      <c r="H1107">
        <v>325.8</v>
      </c>
      <c r="I1107">
        <v>4.0199999999999996</v>
      </c>
      <c r="J1107">
        <v>190</v>
      </c>
      <c r="K1107">
        <v>781</v>
      </c>
      <c r="L1107">
        <v>662</v>
      </c>
      <c r="M1107" t="s">
        <v>30</v>
      </c>
      <c r="N1107">
        <v>7</v>
      </c>
      <c r="O1107" t="s">
        <v>56</v>
      </c>
      <c r="P1107">
        <v>18.3</v>
      </c>
      <c r="Q1107">
        <v>1825</v>
      </c>
      <c r="R1107">
        <v>4</v>
      </c>
      <c r="S1107">
        <v>2</v>
      </c>
      <c r="T1107" t="s">
        <v>47</v>
      </c>
      <c r="U1107" t="s">
        <v>33</v>
      </c>
      <c r="V1107">
        <v>193133</v>
      </c>
      <c r="W1107">
        <v>3.9</v>
      </c>
      <c r="X1107">
        <v>5</v>
      </c>
      <c r="Y1107" t="s">
        <v>43</v>
      </c>
      <c r="Z1107">
        <v>3.29</v>
      </c>
      <c r="AA1107" t="s">
        <v>35</v>
      </c>
    </row>
    <row r="1108" spans="1:27" x14ac:dyDescent="0.3">
      <c r="A1108" t="s">
        <v>27</v>
      </c>
      <c r="B1108" t="s">
        <v>28</v>
      </c>
      <c r="C1108">
        <v>2025</v>
      </c>
      <c r="D1108" t="s">
        <v>50</v>
      </c>
      <c r="E1108">
        <v>97039.06</v>
      </c>
      <c r="F1108">
        <v>100.7</v>
      </c>
      <c r="G1108">
        <v>357</v>
      </c>
      <c r="H1108">
        <v>140.30000000000001</v>
      </c>
      <c r="I1108">
        <v>4.1100000000000003</v>
      </c>
      <c r="J1108">
        <v>191</v>
      </c>
      <c r="K1108">
        <v>1000</v>
      </c>
      <c r="L1108">
        <v>891</v>
      </c>
      <c r="M1108" t="s">
        <v>39</v>
      </c>
      <c r="N1108">
        <v>5</v>
      </c>
      <c r="O1108" t="s">
        <v>57</v>
      </c>
      <c r="P1108">
        <v>21.4</v>
      </c>
      <c r="Q1108">
        <v>1712</v>
      </c>
      <c r="R1108">
        <v>4</v>
      </c>
      <c r="S1108">
        <v>1</v>
      </c>
      <c r="T1108" t="s">
        <v>32</v>
      </c>
      <c r="U1108" t="s">
        <v>38</v>
      </c>
      <c r="V1108">
        <v>224398</v>
      </c>
      <c r="W1108">
        <v>3.8</v>
      </c>
      <c r="X1108">
        <v>3</v>
      </c>
      <c r="Y1108" t="s">
        <v>43</v>
      </c>
      <c r="Z1108">
        <v>3.55</v>
      </c>
      <c r="AA1108" t="s">
        <v>35</v>
      </c>
    </row>
    <row r="1109" spans="1:27" x14ac:dyDescent="0.3">
      <c r="A1109" t="s">
        <v>44</v>
      </c>
      <c r="B1109" t="s">
        <v>126</v>
      </c>
      <c r="C1109">
        <v>2021</v>
      </c>
      <c r="D1109" t="s">
        <v>38</v>
      </c>
      <c r="E1109">
        <v>53395.89</v>
      </c>
      <c r="F1109">
        <v>42.6</v>
      </c>
      <c r="G1109">
        <v>150</v>
      </c>
      <c r="H1109">
        <v>144.9</v>
      </c>
      <c r="I1109">
        <v>6.26</v>
      </c>
      <c r="J1109">
        <v>163</v>
      </c>
      <c r="K1109">
        <v>624</v>
      </c>
      <c r="L1109">
        <v>587</v>
      </c>
      <c r="M1109" t="s">
        <v>30</v>
      </c>
      <c r="N1109">
        <v>5</v>
      </c>
      <c r="O1109" t="s">
        <v>65</v>
      </c>
      <c r="P1109">
        <v>32</v>
      </c>
      <c r="Q1109">
        <v>1519</v>
      </c>
      <c r="R1109">
        <v>4</v>
      </c>
      <c r="S1109">
        <v>1</v>
      </c>
      <c r="T1109" t="s">
        <v>47</v>
      </c>
      <c r="U1109" t="s">
        <v>42</v>
      </c>
      <c r="V1109">
        <v>1550</v>
      </c>
      <c r="W1109">
        <v>3.2</v>
      </c>
      <c r="X1109">
        <v>4</v>
      </c>
      <c r="Y1109" t="s">
        <v>43</v>
      </c>
      <c r="Z1109">
        <v>3.52</v>
      </c>
      <c r="AA1109" t="s">
        <v>69</v>
      </c>
    </row>
    <row r="1110" spans="1:27" x14ac:dyDescent="0.3">
      <c r="A1110" t="s">
        <v>44</v>
      </c>
      <c r="B1110" t="s">
        <v>62</v>
      </c>
      <c r="C1110">
        <v>2025</v>
      </c>
      <c r="D1110" t="s">
        <v>38</v>
      </c>
      <c r="E1110">
        <v>80502.600000000006</v>
      </c>
      <c r="F1110">
        <v>78.599999999999994</v>
      </c>
      <c r="G1110">
        <v>262</v>
      </c>
      <c r="H1110">
        <v>121.3</v>
      </c>
      <c r="I1110">
        <v>5.67</v>
      </c>
      <c r="J1110">
        <v>176</v>
      </c>
      <c r="K1110">
        <v>1000</v>
      </c>
      <c r="L1110">
        <v>888</v>
      </c>
      <c r="M1110" t="s">
        <v>54</v>
      </c>
      <c r="N1110">
        <v>5</v>
      </c>
      <c r="O1110" t="s">
        <v>65</v>
      </c>
      <c r="P1110">
        <v>32.5</v>
      </c>
      <c r="Q1110">
        <v>1721</v>
      </c>
      <c r="R1110">
        <v>3</v>
      </c>
      <c r="S1110">
        <v>0</v>
      </c>
      <c r="T1110" t="s">
        <v>47</v>
      </c>
      <c r="U1110" t="s">
        <v>38</v>
      </c>
      <c r="V1110">
        <v>14992</v>
      </c>
      <c r="W1110">
        <v>3.6</v>
      </c>
      <c r="X1110">
        <v>4</v>
      </c>
      <c r="Y1110" t="s">
        <v>43</v>
      </c>
      <c r="Z1110">
        <v>3.33</v>
      </c>
      <c r="AA1110" t="s">
        <v>43</v>
      </c>
    </row>
    <row r="1111" spans="1:27" x14ac:dyDescent="0.3">
      <c r="A1111" t="s">
        <v>52</v>
      </c>
      <c r="B1111" t="s">
        <v>53</v>
      </c>
      <c r="C1111">
        <v>2025</v>
      </c>
      <c r="D1111" t="s">
        <v>50</v>
      </c>
      <c r="E1111">
        <v>31639.64</v>
      </c>
      <c r="F1111">
        <v>77.2</v>
      </c>
      <c r="G1111">
        <v>287</v>
      </c>
      <c r="H1111">
        <v>221.7</v>
      </c>
      <c r="I1111">
        <v>5.1100000000000003</v>
      </c>
      <c r="J1111">
        <v>172</v>
      </c>
      <c r="K1111">
        <v>168</v>
      </c>
      <c r="L1111">
        <v>200</v>
      </c>
      <c r="M1111" t="s">
        <v>39</v>
      </c>
      <c r="N1111">
        <v>7</v>
      </c>
      <c r="O1111" t="s">
        <v>57</v>
      </c>
      <c r="P1111">
        <v>37.299999999999997</v>
      </c>
      <c r="Q1111">
        <v>1602</v>
      </c>
      <c r="R1111">
        <v>5</v>
      </c>
      <c r="S1111">
        <v>2</v>
      </c>
      <c r="T1111" t="s">
        <v>47</v>
      </c>
      <c r="U1111" t="s">
        <v>74</v>
      </c>
      <c r="V1111">
        <v>146342</v>
      </c>
      <c r="W1111">
        <v>4</v>
      </c>
      <c r="X1111">
        <v>4</v>
      </c>
      <c r="Y1111" t="s">
        <v>43</v>
      </c>
      <c r="Z1111">
        <v>3.72</v>
      </c>
      <c r="AA1111" t="s">
        <v>35</v>
      </c>
    </row>
    <row r="1112" spans="1:27" x14ac:dyDescent="0.3">
      <c r="A1112" t="s">
        <v>84</v>
      </c>
      <c r="B1112" t="s">
        <v>99</v>
      </c>
      <c r="C1112">
        <v>2023</v>
      </c>
      <c r="D1112" t="s">
        <v>29</v>
      </c>
      <c r="E1112">
        <v>69526.3</v>
      </c>
      <c r="F1112">
        <v>114.5</v>
      </c>
      <c r="G1112">
        <v>415</v>
      </c>
      <c r="H1112">
        <v>202.7</v>
      </c>
      <c r="I1112">
        <v>2.68</v>
      </c>
      <c r="J1112">
        <v>200</v>
      </c>
      <c r="K1112">
        <v>822</v>
      </c>
      <c r="L1112">
        <v>735</v>
      </c>
      <c r="M1112" t="s">
        <v>30</v>
      </c>
      <c r="N1112">
        <v>2</v>
      </c>
      <c r="O1112" t="s">
        <v>31</v>
      </c>
      <c r="P1112">
        <v>57.7</v>
      </c>
      <c r="Q1112">
        <v>2445</v>
      </c>
      <c r="R1112">
        <v>5</v>
      </c>
      <c r="S1112">
        <v>2</v>
      </c>
      <c r="T1112" t="s">
        <v>47</v>
      </c>
      <c r="U1112" t="s">
        <v>38</v>
      </c>
      <c r="V1112">
        <v>23821</v>
      </c>
      <c r="W1112">
        <v>3.8</v>
      </c>
      <c r="X1112">
        <v>3</v>
      </c>
      <c r="Y1112" t="s">
        <v>34</v>
      </c>
      <c r="Z1112">
        <v>3.62</v>
      </c>
      <c r="AA1112" t="s">
        <v>35</v>
      </c>
    </row>
    <row r="1113" spans="1:27" x14ac:dyDescent="0.3">
      <c r="A1113" t="s">
        <v>71</v>
      </c>
      <c r="B1113" t="s">
        <v>75</v>
      </c>
      <c r="C1113">
        <v>2025</v>
      </c>
      <c r="D1113" t="s">
        <v>29</v>
      </c>
      <c r="E1113">
        <v>81358.02</v>
      </c>
      <c r="F1113">
        <v>82.4</v>
      </c>
      <c r="G1113">
        <v>282</v>
      </c>
      <c r="H1113">
        <v>193.2</v>
      </c>
      <c r="I1113">
        <v>3.65</v>
      </c>
      <c r="J1113">
        <v>195</v>
      </c>
      <c r="K1113">
        <v>889</v>
      </c>
      <c r="L1113">
        <v>778</v>
      </c>
      <c r="M1113" t="s">
        <v>30</v>
      </c>
      <c r="N1113">
        <v>5</v>
      </c>
      <c r="O1113" t="s">
        <v>65</v>
      </c>
      <c r="P1113">
        <v>22.8</v>
      </c>
      <c r="Q1113">
        <v>1500</v>
      </c>
      <c r="R1113">
        <v>4</v>
      </c>
      <c r="S1113">
        <v>1</v>
      </c>
      <c r="T1113" t="s">
        <v>73</v>
      </c>
      <c r="U1113" t="s">
        <v>38</v>
      </c>
      <c r="V1113">
        <v>108251</v>
      </c>
      <c r="W1113">
        <v>3.7</v>
      </c>
      <c r="X1113">
        <v>4</v>
      </c>
      <c r="Y1113" t="s">
        <v>34</v>
      </c>
      <c r="Z1113">
        <v>3.42</v>
      </c>
      <c r="AA1113" t="s">
        <v>35</v>
      </c>
    </row>
    <row r="1114" spans="1:27" x14ac:dyDescent="0.3">
      <c r="A1114" t="s">
        <v>71</v>
      </c>
      <c r="B1114" t="s">
        <v>115</v>
      </c>
      <c r="C1114">
        <v>2026</v>
      </c>
      <c r="D1114" t="s">
        <v>63</v>
      </c>
      <c r="E1114">
        <v>45158.26</v>
      </c>
      <c r="F1114">
        <v>84</v>
      </c>
      <c r="G1114">
        <v>315</v>
      </c>
      <c r="H1114">
        <v>53</v>
      </c>
      <c r="I1114">
        <v>7.08</v>
      </c>
      <c r="J1114">
        <v>140</v>
      </c>
      <c r="K1114">
        <v>469</v>
      </c>
      <c r="L1114">
        <v>441</v>
      </c>
      <c r="M1114" t="s">
        <v>30</v>
      </c>
      <c r="N1114">
        <v>5</v>
      </c>
      <c r="O1114" t="s">
        <v>40</v>
      </c>
      <c r="P1114">
        <v>49.5</v>
      </c>
      <c r="Q1114">
        <v>1873</v>
      </c>
      <c r="R1114">
        <v>5</v>
      </c>
      <c r="S1114">
        <v>1</v>
      </c>
      <c r="T1114" t="s">
        <v>73</v>
      </c>
      <c r="U1114" t="s">
        <v>42</v>
      </c>
      <c r="V1114">
        <v>119766</v>
      </c>
      <c r="W1114">
        <v>3.6</v>
      </c>
      <c r="X1114">
        <v>4</v>
      </c>
      <c r="Y1114" t="s">
        <v>61</v>
      </c>
      <c r="Z1114">
        <v>3.75</v>
      </c>
      <c r="AA1114" t="s">
        <v>35</v>
      </c>
    </row>
    <row r="1115" spans="1:27" x14ac:dyDescent="0.3">
      <c r="A1115" t="s">
        <v>76</v>
      </c>
      <c r="B1115" t="s">
        <v>98</v>
      </c>
      <c r="C1115">
        <v>2023</v>
      </c>
      <c r="D1115" t="s">
        <v>68</v>
      </c>
      <c r="E1115">
        <v>73470.2</v>
      </c>
      <c r="F1115">
        <v>61.6</v>
      </c>
      <c r="G1115">
        <v>217</v>
      </c>
      <c r="H1115">
        <v>144.30000000000001</v>
      </c>
      <c r="I1115">
        <v>6.2</v>
      </c>
      <c r="J1115">
        <v>167</v>
      </c>
      <c r="K1115">
        <v>902</v>
      </c>
      <c r="L1115">
        <v>779</v>
      </c>
      <c r="M1115" t="s">
        <v>54</v>
      </c>
      <c r="N1115">
        <v>5</v>
      </c>
      <c r="O1115" t="s">
        <v>31</v>
      </c>
      <c r="P1115">
        <v>66.3</v>
      </c>
      <c r="Q1115">
        <v>2647</v>
      </c>
      <c r="R1115">
        <v>5</v>
      </c>
      <c r="S1115">
        <v>1</v>
      </c>
      <c r="T1115" t="s">
        <v>51</v>
      </c>
      <c r="U1115" t="s">
        <v>38</v>
      </c>
      <c r="V1115">
        <v>142666</v>
      </c>
      <c r="W1115">
        <v>3.2</v>
      </c>
      <c r="X1115">
        <v>4</v>
      </c>
      <c r="Y1115" t="s">
        <v>43</v>
      </c>
      <c r="Z1115">
        <v>3.52</v>
      </c>
      <c r="AA1115" t="s">
        <v>35</v>
      </c>
    </row>
    <row r="1116" spans="1:27" x14ac:dyDescent="0.3">
      <c r="A1116" t="s">
        <v>48</v>
      </c>
      <c r="B1116" t="s">
        <v>49</v>
      </c>
      <c r="C1116">
        <v>2024</v>
      </c>
      <c r="D1116" t="s">
        <v>68</v>
      </c>
      <c r="E1116">
        <v>31797.34</v>
      </c>
      <c r="F1116">
        <v>45.6</v>
      </c>
      <c r="G1116">
        <v>150</v>
      </c>
      <c r="H1116">
        <v>78.7</v>
      </c>
      <c r="I1116">
        <v>6.94</v>
      </c>
      <c r="J1116">
        <v>145</v>
      </c>
      <c r="K1116">
        <v>233</v>
      </c>
      <c r="L1116">
        <v>200</v>
      </c>
      <c r="M1116" t="s">
        <v>39</v>
      </c>
      <c r="N1116">
        <v>5</v>
      </c>
      <c r="O1116" t="s">
        <v>40</v>
      </c>
      <c r="P1116">
        <v>37.6</v>
      </c>
      <c r="Q1116">
        <v>2224</v>
      </c>
      <c r="R1116">
        <v>4</v>
      </c>
      <c r="S1116">
        <v>0</v>
      </c>
      <c r="T1116" t="s">
        <v>51</v>
      </c>
      <c r="U1116" t="s">
        <v>74</v>
      </c>
      <c r="V1116">
        <v>131619</v>
      </c>
      <c r="W1116">
        <v>3.3</v>
      </c>
      <c r="X1116">
        <v>3</v>
      </c>
      <c r="Y1116" t="s">
        <v>43</v>
      </c>
      <c r="Z1116">
        <v>3.29</v>
      </c>
      <c r="AA1116" t="s">
        <v>35</v>
      </c>
    </row>
    <row r="1117" spans="1:27" x14ac:dyDescent="0.3">
      <c r="A1117" t="s">
        <v>48</v>
      </c>
      <c r="B1117" t="s">
        <v>88</v>
      </c>
      <c r="C1117">
        <v>2022</v>
      </c>
      <c r="D1117" t="s">
        <v>50</v>
      </c>
      <c r="E1117">
        <v>73675.86</v>
      </c>
      <c r="F1117">
        <v>96</v>
      </c>
      <c r="G1117">
        <v>333</v>
      </c>
      <c r="H1117">
        <v>92.8</v>
      </c>
      <c r="I1117">
        <v>4.4800000000000004</v>
      </c>
      <c r="J1117">
        <v>183</v>
      </c>
      <c r="K1117">
        <v>868</v>
      </c>
      <c r="L1117">
        <v>792</v>
      </c>
      <c r="M1117" t="s">
        <v>30</v>
      </c>
      <c r="N1117">
        <v>5</v>
      </c>
      <c r="O1117" t="s">
        <v>40</v>
      </c>
      <c r="P1117">
        <v>43.9</v>
      </c>
      <c r="Q1117">
        <v>1945</v>
      </c>
      <c r="R1117">
        <v>5</v>
      </c>
      <c r="S1117">
        <v>2</v>
      </c>
      <c r="T1117" t="s">
        <v>51</v>
      </c>
      <c r="U1117" t="s">
        <v>38</v>
      </c>
      <c r="V1117">
        <v>89937</v>
      </c>
      <c r="W1117">
        <v>3.6</v>
      </c>
      <c r="X1117">
        <v>3</v>
      </c>
      <c r="Y1117" t="s">
        <v>43</v>
      </c>
      <c r="Z1117">
        <v>3.47</v>
      </c>
      <c r="AA1117" t="s">
        <v>35</v>
      </c>
    </row>
    <row r="1118" spans="1:27" x14ac:dyDescent="0.3">
      <c r="A1118" t="s">
        <v>52</v>
      </c>
      <c r="B1118" t="s">
        <v>64</v>
      </c>
      <c r="C1118">
        <v>2023</v>
      </c>
      <c r="D1118" t="s">
        <v>29</v>
      </c>
      <c r="E1118">
        <v>105706.18</v>
      </c>
      <c r="F1118">
        <v>114.7</v>
      </c>
      <c r="G1118">
        <v>391</v>
      </c>
      <c r="H1118">
        <v>331.8</v>
      </c>
      <c r="I1118">
        <v>2.63</v>
      </c>
      <c r="J1118">
        <v>200</v>
      </c>
      <c r="K1118">
        <v>742</v>
      </c>
      <c r="L1118">
        <v>663</v>
      </c>
      <c r="M1118" t="s">
        <v>54</v>
      </c>
      <c r="N1118">
        <v>5</v>
      </c>
      <c r="O1118" t="s">
        <v>57</v>
      </c>
      <c r="P1118">
        <v>37.9</v>
      </c>
      <c r="Q1118">
        <v>1802</v>
      </c>
      <c r="R1118">
        <v>3</v>
      </c>
      <c r="S1118">
        <v>2</v>
      </c>
      <c r="T1118" t="s">
        <v>47</v>
      </c>
      <c r="U1118" t="s">
        <v>33</v>
      </c>
      <c r="V1118">
        <v>247669</v>
      </c>
      <c r="W1118">
        <v>4.2</v>
      </c>
      <c r="X1118">
        <v>5</v>
      </c>
      <c r="Y1118" t="s">
        <v>34</v>
      </c>
      <c r="Z1118">
        <v>3.41</v>
      </c>
      <c r="AA1118" t="s">
        <v>35</v>
      </c>
    </row>
    <row r="1119" spans="1:27" x14ac:dyDescent="0.3">
      <c r="A1119" t="s">
        <v>94</v>
      </c>
      <c r="B1119" t="s">
        <v>116</v>
      </c>
      <c r="C1119">
        <v>2024</v>
      </c>
      <c r="D1119" t="s">
        <v>50</v>
      </c>
      <c r="E1119">
        <v>123736.19</v>
      </c>
      <c r="F1119">
        <v>81.7</v>
      </c>
      <c r="G1119">
        <v>310</v>
      </c>
      <c r="H1119">
        <v>113.3</v>
      </c>
      <c r="I1119">
        <v>5.2</v>
      </c>
      <c r="J1119">
        <v>174</v>
      </c>
      <c r="K1119">
        <v>965</v>
      </c>
      <c r="L1119">
        <v>897</v>
      </c>
      <c r="M1119" t="s">
        <v>39</v>
      </c>
      <c r="N1119">
        <v>5</v>
      </c>
      <c r="O1119" t="s">
        <v>57</v>
      </c>
      <c r="P1119">
        <v>33.700000000000003</v>
      </c>
      <c r="Q1119">
        <v>1758</v>
      </c>
      <c r="R1119">
        <v>5</v>
      </c>
      <c r="S1119">
        <v>1</v>
      </c>
      <c r="T1119" t="s">
        <v>32</v>
      </c>
      <c r="U1119" t="s">
        <v>33</v>
      </c>
      <c r="V1119">
        <v>45413</v>
      </c>
      <c r="W1119">
        <v>3.8</v>
      </c>
      <c r="X1119">
        <v>6</v>
      </c>
      <c r="Y1119" t="s">
        <v>43</v>
      </c>
      <c r="Z1119">
        <v>3.79</v>
      </c>
      <c r="AA1119" t="s">
        <v>35</v>
      </c>
    </row>
    <row r="1120" spans="1:27" x14ac:dyDescent="0.3">
      <c r="A1120" t="s">
        <v>71</v>
      </c>
      <c r="B1120" t="s">
        <v>104</v>
      </c>
      <c r="C1120">
        <v>2025</v>
      </c>
      <c r="D1120" t="s">
        <v>63</v>
      </c>
      <c r="E1120">
        <v>73207.320000000007</v>
      </c>
      <c r="F1120">
        <v>69.3</v>
      </c>
      <c r="G1120">
        <v>232</v>
      </c>
      <c r="H1120">
        <v>84.9</v>
      </c>
      <c r="I1120">
        <v>6.7</v>
      </c>
      <c r="J1120">
        <v>152</v>
      </c>
      <c r="K1120">
        <v>814</v>
      </c>
      <c r="L1120">
        <v>744</v>
      </c>
      <c r="M1120" t="s">
        <v>30</v>
      </c>
      <c r="N1120">
        <v>5</v>
      </c>
      <c r="O1120" t="s">
        <v>56</v>
      </c>
      <c r="P1120">
        <v>34.9</v>
      </c>
      <c r="Q1120">
        <v>1500</v>
      </c>
      <c r="R1120">
        <v>4</v>
      </c>
      <c r="S1120">
        <v>0</v>
      </c>
      <c r="T1120" t="s">
        <v>73</v>
      </c>
      <c r="U1120" t="s">
        <v>38</v>
      </c>
      <c r="V1120">
        <v>205374</v>
      </c>
      <c r="W1120">
        <v>3.2</v>
      </c>
      <c r="X1120">
        <v>4</v>
      </c>
      <c r="Y1120" t="s">
        <v>43</v>
      </c>
      <c r="Z1120">
        <v>3.35</v>
      </c>
      <c r="AA1120" t="s">
        <v>35</v>
      </c>
    </row>
    <row r="1121" spans="1:27" x14ac:dyDescent="0.3">
      <c r="A1121" t="s">
        <v>52</v>
      </c>
      <c r="B1121" t="s">
        <v>64</v>
      </c>
      <c r="C1121">
        <v>2023</v>
      </c>
      <c r="D1121" t="s">
        <v>68</v>
      </c>
      <c r="E1121">
        <v>95125.11</v>
      </c>
      <c r="F1121">
        <v>45.3</v>
      </c>
      <c r="G1121">
        <v>150</v>
      </c>
      <c r="H1121">
        <v>285.89999999999998</v>
      </c>
      <c r="I1121">
        <v>7.3</v>
      </c>
      <c r="J1121">
        <v>135</v>
      </c>
      <c r="K1121">
        <v>730</v>
      </c>
      <c r="L1121">
        <v>670</v>
      </c>
      <c r="M1121" t="s">
        <v>30</v>
      </c>
      <c r="N1121">
        <v>7</v>
      </c>
      <c r="O1121" t="s">
        <v>56</v>
      </c>
      <c r="P1121">
        <v>36.4</v>
      </c>
      <c r="Q1121">
        <v>1713</v>
      </c>
      <c r="R1121">
        <v>3</v>
      </c>
      <c r="S1121">
        <v>3</v>
      </c>
      <c r="T1121" t="s">
        <v>47</v>
      </c>
      <c r="U1121" t="s">
        <v>38</v>
      </c>
      <c r="V1121">
        <v>116755</v>
      </c>
      <c r="W1121">
        <v>3.3</v>
      </c>
      <c r="X1121">
        <v>5</v>
      </c>
      <c r="Y1121" t="s">
        <v>61</v>
      </c>
      <c r="Z1121">
        <v>3.31</v>
      </c>
      <c r="AA1121" t="s">
        <v>35</v>
      </c>
    </row>
    <row r="1122" spans="1:27" x14ac:dyDescent="0.3">
      <c r="A1122" t="s">
        <v>94</v>
      </c>
      <c r="B1122" t="s">
        <v>95</v>
      </c>
      <c r="C1122">
        <v>2023</v>
      </c>
      <c r="D1122" t="s">
        <v>50</v>
      </c>
      <c r="E1122">
        <v>64643.29</v>
      </c>
      <c r="F1122">
        <v>83.8</v>
      </c>
      <c r="G1122">
        <v>293</v>
      </c>
      <c r="H1122">
        <v>113</v>
      </c>
      <c r="I1122">
        <v>5.39</v>
      </c>
      <c r="J1122">
        <v>173</v>
      </c>
      <c r="K1122">
        <v>269</v>
      </c>
      <c r="L1122">
        <v>202</v>
      </c>
      <c r="M1122" t="s">
        <v>39</v>
      </c>
      <c r="N1122">
        <v>5</v>
      </c>
      <c r="O1122" t="s">
        <v>40</v>
      </c>
      <c r="P1122">
        <v>53</v>
      </c>
      <c r="Q1122">
        <v>2231</v>
      </c>
      <c r="R1122">
        <v>5</v>
      </c>
      <c r="S1122">
        <v>2</v>
      </c>
      <c r="T1122" t="s">
        <v>32</v>
      </c>
      <c r="U1122" t="s">
        <v>42</v>
      </c>
      <c r="V1122">
        <v>67458</v>
      </c>
      <c r="W1122">
        <v>3.6</v>
      </c>
      <c r="X1122">
        <v>5</v>
      </c>
      <c r="Y1122" t="s">
        <v>43</v>
      </c>
      <c r="Z1122">
        <v>3.5</v>
      </c>
      <c r="AA1122" t="s">
        <v>35</v>
      </c>
    </row>
    <row r="1123" spans="1:27" x14ac:dyDescent="0.3">
      <c r="A1123" t="s">
        <v>36</v>
      </c>
      <c r="B1123" t="s">
        <v>120</v>
      </c>
      <c r="C1123">
        <v>2022</v>
      </c>
      <c r="D1123" t="s">
        <v>63</v>
      </c>
      <c r="E1123">
        <v>35115.72</v>
      </c>
      <c r="F1123">
        <v>61.4</v>
      </c>
      <c r="G1123">
        <v>238</v>
      </c>
      <c r="H1123">
        <v>145.30000000000001</v>
      </c>
      <c r="I1123">
        <v>7.26</v>
      </c>
      <c r="J1123">
        <v>138</v>
      </c>
      <c r="K1123">
        <v>150</v>
      </c>
      <c r="L1123">
        <v>200</v>
      </c>
      <c r="M1123" t="s">
        <v>39</v>
      </c>
      <c r="N1123">
        <v>5</v>
      </c>
      <c r="O1123" t="s">
        <v>56</v>
      </c>
      <c r="P1123">
        <v>34.200000000000003</v>
      </c>
      <c r="Q1123">
        <v>1689</v>
      </c>
      <c r="R1123">
        <v>4</v>
      </c>
      <c r="S1123">
        <v>0</v>
      </c>
      <c r="T1123" t="s">
        <v>41</v>
      </c>
      <c r="U1123" t="s">
        <v>42</v>
      </c>
      <c r="V1123">
        <v>3528</v>
      </c>
      <c r="W1123">
        <v>3.7</v>
      </c>
      <c r="X1123">
        <v>3</v>
      </c>
      <c r="Y1123" t="s">
        <v>61</v>
      </c>
      <c r="Z1123">
        <v>3.88</v>
      </c>
      <c r="AA1123" t="s">
        <v>69</v>
      </c>
    </row>
    <row r="1124" spans="1:27" x14ac:dyDescent="0.3">
      <c r="A1124" t="s">
        <v>58</v>
      </c>
      <c r="B1124" t="s">
        <v>134</v>
      </c>
      <c r="C1124">
        <v>2025</v>
      </c>
      <c r="D1124" t="s">
        <v>38</v>
      </c>
      <c r="E1124">
        <v>112650.99</v>
      </c>
      <c r="F1124">
        <v>53.9</v>
      </c>
      <c r="G1124">
        <v>165</v>
      </c>
      <c r="H1124">
        <v>122.5</v>
      </c>
      <c r="I1124">
        <v>6.48</v>
      </c>
      <c r="J1124">
        <v>148</v>
      </c>
      <c r="K1124">
        <v>587</v>
      </c>
      <c r="L1124">
        <v>561</v>
      </c>
      <c r="M1124" t="s">
        <v>54</v>
      </c>
      <c r="N1124">
        <v>7</v>
      </c>
      <c r="O1124" t="s">
        <v>40</v>
      </c>
      <c r="P1124">
        <v>69.599999999999994</v>
      </c>
      <c r="Q1124">
        <v>2158</v>
      </c>
      <c r="R1124">
        <v>4</v>
      </c>
      <c r="S1124">
        <v>2</v>
      </c>
      <c r="T1124" t="s">
        <v>32</v>
      </c>
      <c r="U1124" t="s">
        <v>33</v>
      </c>
      <c r="V1124">
        <v>79068</v>
      </c>
      <c r="W1124">
        <v>3.4</v>
      </c>
      <c r="X1124">
        <v>6</v>
      </c>
      <c r="Y1124" t="s">
        <v>43</v>
      </c>
      <c r="Z1124">
        <v>3.06</v>
      </c>
      <c r="AA1124" t="s">
        <v>35</v>
      </c>
    </row>
    <row r="1125" spans="1:27" x14ac:dyDescent="0.3">
      <c r="A1125" t="s">
        <v>84</v>
      </c>
      <c r="B1125" t="s">
        <v>106</v>
      </c>
      <c r="C1125">
        <v>2024</v>
      </c>
      <c r="D1125" t="s">
        <v>38</v>
      </c>
      <c r="E1125">
        <v>80541.59</v>
      </c>
      <c r="F1125">
        <v>73.3</v>
      </c>
      <c r="G1125">
        <v>280</v>
      </c>
      <c r="H1125">
        <v>80.3</v>
      </c>
      <c r="I1125">
        <v>7.12</v>
      </c>
      <c r="J1125">
        <v>141</v>
      </c>
      <c r="K1125">
        <v>984</v>
      </c>
      <c r="L1125">
        <v>864</v>
      </c>
      <c r="M1125" t="s">
        <v>54</v>
      </c>
      <c r="N1125">
        <v>7</v>
      </c>
      <c r="O1125" t="s">
        <v>57</v>
      </c>
      <c r="P1125">
        <v>30.1</v>
      </c>
      <c r="Q1125">
        <v>1500</v>
      </c>
      <c r="R1125">
        <v>5</v>
      </c>
      <c r="S1125">
        <v>0</v>
      </c>
      <c r="T1125" t="s">
        <v>47</v>
      </c>
      <c r="U1125" t="s">
        <v>38</v>
      </c>
      <c r="V1125">
        <v>37698</v>
      </c>
      <c r="W1125">
        <v>3.4</v>
      </c>
      <c r="X1125">
        <v>3</v>
      </c>
      <c r="Y1125" t="s">
        <v>61</v>
      </c>
      <c r="Z1125">
        <v>3.82</v>
      </c>
      <c r="AA1125" t="s">
        <v>35</v>
      </c>
    </row>
    <row r="1126" spans="1:27" x14ac:dyDescent="0.3">
      <c r="A1126" t="s">
        <v>91</v>
      </c>
      <c r="B1126" t="s">
        <v>124</v>
      </c>
      <c r="C1126">
        <v>2022</v>
      </c>
      <c r="D1126" t="s">
        <v>68</v>
      </c>
      <c r="E1126">
        <v>99869.64</v>
      </c>
      <c r="F1126">
        <v>50.6</v>
      </c>
      <c r="G1126">
        <v>193</v>
      </c>
      <c r="H1126">
        <v>90.9</v>
      </c>
      <c r="I1126">
        <v>7.8</v>
      </c>
      <c r="J1126">
        <v>135</v>
      </c>
      <c r="K1126">
        <v>812</v>
      </c>
      <c r="L1126">
        <v>735</v>
      </c>
      <c r="M1126" t="s">
        <v>30</v>
      </c>
      <c r="N1126">
        <v>5</v>
      </c>
      <c r="O1126" t="s">
        <v>57</v>
      </c>
      <c r="P1126">
        <v>37.700000000000003</v>
      </c>
      <c r="Q1126">
        <v>1807</v>
      </c>
      <c r="R1126">
        <v>4</v>
      </c>
      <c r="S1126">
        <v>2</v>
      </c>
      <c r="T1126" t="s">
        <v>32</v>
      </c>
      <c r="U1126" t="s">
        <v>38</v>
      </c>
      <c r="V1126">
        <v>76842</v>
      </c>
      <c r="W1126">
        <v>3.6</v>
      </c>
      <c r="X1126">
        <v>5</v>
      </c>
      <c r="Y1126" t="s">
        <v>61</v>
      </c>
      <c r="Z1126">
        <v>3.81</v>
      </c>
      <c r="AA1126" t="s">
        <v>35</v>
      </c>
    </row>
    <row r="1127" spans="1:27" x14ac:dyDescent="0.3">
      <c r="A1127" t="s">
        <v>48</v>
      </c>
      <c r="B1127" t="s">
        <v>79</v>
      </c>
      <c r="C1127">
        <v>2021</v>
      </c>
      <c r="D1127" t="s">
        <v>29</v>
      </c>
      <c r="E1127">
        <v>106510.25</v>
      </c>
      <c r="F1127">
        <v>75.099999999999994</v>
      </c>
      <c r="G1127">
        <v>275</v>
      </c>
      <c r="H1127">
        <v>220.3</v>
      </c>
      <c r="I1127">
        <v>3.27</v>
      </c>
      <c r="J1127">
        <v>200</v>
      </c>
      <c r="K1127">
        <v>1000</v>
      </c>
      <c r="L1127">
        <v>847</v>
      </c>
      <c r="M1127" t="s">
        <v>30</v>
      </c>
      <c r="N1127">
        <v>7</v>
      </c>
      <c r="O1127" t="s">
        <v>46</v>
      </c>
      <c r="P1127">
        <v>72.8</v>
      </c>
      <c r="Q1127">
        <v>1618</v>
      </c>
      <c r="R1127">
        <v>5</v>
      </c>
      <c r="S1127">
        <v>0</v>
      </c>
      <c r="T1127" t="s">
        <v>51</v>
      </c>
      <c r="U1127" t="s">
        <v>33</v>
      </c>
      <c r="V1127">
        <v>120403</v>
      </c>
      <c r="W1127">
        <v>3.4</v>
      </c>
      <c r="X1127">
        <v>3</v>
      </c>
      <c r="Y1127" t="s">
        <v>34</v>
      </c>
      <c r="Z1127">
        <v>3.66</v>
      </c>
      <c r="AA1127" t="s">
        <v>35</v>
      </c>
    </row>
    <row r="1128" spans="1:27" x14ac:dyDescent="0.3">
      <c r="A1128" t="s">
        <v>52</v>
      </c>
      <c r="B1128" t="s">
        <v>64</v>
      </c>
      <c r="C1128">
        <v>2025</v>
      </c>
      <c r="D1128" t="s">
        <v>68</v>
      </c>
      <c r="E1128">
        <v>58831.27</v>
      </c>
      <c r="F1128">
        <v>45</v>
      </c>
      <c r="G1128">
        <v>150</v>
      </c>
      <c r="H1128">
        <v>213</v>
      </c>
      <c r="I1128">
        <v>7.32</v>
      </c>
      <c r="J1128">
        <v>147</v>
      </c>
      <c r="K1128">
        <v>431</v>
      </c>
      <c r="L1128">
        <v>362</v>
      </c>
      <c r="M1128" t="s">
        <v>39</v>
      </c>
      <c r="N1128">
        <v>5</v>
      </c>
      <c r="O1128" t="s">
        <v>65</v>
      </c>
      <c r="P1128">
        <v>17.7</v>
      </c>
      <c r="Q1128">
        <v>1837</v>
      </c>
      <c r="R1128">
        <v>5</v>
      </c>
      <c r="S1128">
        <v>2</v>
      </c>
      <c r="T1128" t="s">
        <v>47</v>
      </c>
      <c r="U1128" t="s">
        <v>42</v>
      </c>
      <c r="V1128">
        <v>150860</v>
      </c>
      <c r="W1128">
        <v>3.4</v>
      </c>
      <c r="X1128">
        <v>5</v>
      </c>
      <c r="Y1128" t="s">
        <v>61</v>
      </c>
      <c r="Z1128">
        <v>3.33</v>
      </c>
      <c r="AA1128" t="s">
        <v>35</v>
      </c>
    </row>
    <row r="1129" spans="1:27" x14ac:dyDescent="0.3">
      <c r="A1129" t="s">
        <v>27</v>
      </c>
      <c r="B1129" t="s">
        <v>93</v>
      </c>
      <c r="C1129">
        <v>2025</v>
      </c>
      <c r="D1129" t="s">
        <v>50</v>
      </c>
      <c r="E1129">
        <v>70858.100000000006</v>
      </c>
      <c r="F1129">
        <v>90.5</v>
      </c>
      <c r="G1129">
        <v>274</v>
      </c>
      <c r="H1129">
        <v>104.1</v>
      </c>
      <c r="I1129">
        <v>5.78</v>
      </c>
      <c r="J1129">
        <v>163</v>
      </c>
      <c r="K1129">
        <v>786</v>
      </c>
      <c r="L1129">
        <v>732</v>
      </c>
      <c r="M1129" t="s">
        <v>39</v>
      </c>
      <c r="N1129">
        <v>7</v>
      </c>
      <c r="O1129" t="s">
        <v>31</v>
      </c>
      <c r="P1129">
        <v>78.900000000000006</v>
      </c>
      <c r="Q1129">
        <v>2795</v>
      </c>
      <c r="R1129">
        <v>5</v>
      </c>
      <c r="S1129">
        <v>2</v>
      </c>
      <c r="T1129" t="s">
        <v>32</v>
      </c>
      <c r="U1129" t="s">
        <v>38</v>
      </c>
      <c r="V1129">
        <v>251846</v>
      </c>
      <c r="W1129">
        <v>3.6</v>
      </c>
      <c r="X1129">
        <v>4</v>
      </c>
      <c r="Y1129" t="s">
        <v>43</v>
      </c>
      <c r="Z1129">
        <v>3.03</v>
      </c>
      <c r="AA1129" t="s">
        <v>35</v>
      </c>
    </row>
    <row r="1130" spans="1:27" x14ac:dyDescent="0.3">
      <c r="A1130" t="s">
        <v>27</v>
      </c>
      <c r="B1130" t="s">
        <v>28</v>
      </c>
      <c r="C1130">
        <v>2024</v>
      </c>
      <c r="D1130" t="s">
        <v>68</v>
      </c>
      <c r="E1130">
        <v>46173.34</v>
      </c>
      <c r="F1130">
        <v>51.5</v>
      </c>
      <c r="G1130">
        <v>190</v>
      </c>
      <c r="H1130">
        <v>131.5</v>
      </c>
      <c r="I1130">
        <v>6.36</v>
      </c>
      <c r="J1130">
        <v>148</v>
      </c>
      <c r="K1130">
        <v>394</v>
      </c>
      <c r="L1130">
        <v>352</v>
      </c>
      <c r="M1130" t="s">
        <v>30</v>
      </c>
      <c r="N1130">
        <v>5</v>
      </c>
      <c r="O1130" t="s">
        <v>65</v>
      </c>
      <c r="P1130">
        <v>18.7</v>
      </c>
      <c r="Q1130">
        <v>1533</v>
      </c>
      <c r="R1130">
        <v>5</v>
      </c>
      <c r="S1130">
        <v>0</v>
      </c>
      <c r="T1130" t="s">
        <v>32</v>
      </c>
      <c r="U1130" t="s">
        <v>42</v>
      </c>
      <c r="V1130">
        <v>274696</v>
      </c>
      <c r="W1130">
        <v>3.4</v>
      </c>
      <c r="X1130">
        <v>3</v>
      </c>
      <c r="Y1130" t="s">
        <v>43</v>
      </c>
      <c r="Z1130">
        <v>3.69</v>
      </c>
      <c r="AA1130" t="s">
        <v>35</v>
      </c>
    </row>
    <row r="1131" spans="1:27" x14ac:dyDescent="0.3">
      <c r="A1131" t="s">
        <v>71</v>
      </c>
      <c r="B1131" t="s">
        <v>81</v>
      </c>
      <c r="C1131">
        <v>2025</v>
      </c>
      <c r="D1131" t="s">
        <v>63</v>
      </c>
      <c r="E1131">
        <v>73712.39</v>
      </c>
      <c r="F1131">
        <v>44.1</v>
      </c>
      <c r="G1131">
        <v>173</v>
      </c>
      <c r="H1131">
        <v>145.80000000000001</v>
      </c>
      <c r="I1131">
        <v>7.94</v>
      </c>
      <c r="J1131">
        <v>126</v>
      </c>
      <c r="K1131">
        <v>781</v>
      </c>
      <c r="L1131">
        <v>718</v>
      </c>
      <c r="M1131" t="s">
        <v>30</v>
      </c>
      <c r="N1131">
        <v>7</v>
      </c>
      <c r="O1131" t="s">
        <v>65</v>
      </c>
      <c r="P1131">
        <v>29.9</v>
      </c>
      <c r="Q1131">
        <v>1812</v>
      </c>
      <c r="R1131">
        <v>4</v>
      </c>
      <c r="S1131">
        <v>0</v>
      </c>
      <c r="T1131" t="s">
        <v>73</v>
      </c>
      <c r="U1131" t="s">
        <v>38</v>
      </c>
      <c r="V1131">
        <v>243890</v>
      </c>
      <c r="W1131">
        <v>3.1</v>
      </c>
      <c r="X1131">
        <v>4</v>
      </c>
      <c r="Y1131" t="s">
        <v>61</v>
      </c>
      <c r="Z1131">
        <v>3.92</v>
      </c>
      <c r="AA1131" t="s">
        <v>35</v>
      </c>
    </row>
    <row r="1132" spans="1:27" x14ac:dyDescent="0.3">
      <c r="A1132" t="s">
        <v>44</v>
      </c>
      <c r="B1132" t="s">
        <v>126</v>
      </c>
      <c r="C1132">
        <v>2023</v>
      </c>
      <c r="D1132" t="s">
        <v>38</v>
      </c>
      <c r="E1132">
        <v>73891.199999999997</v>
      </c>
      <c r="F1132">
        <v>45</v>
      </c>
      <c r="G1132">
        <v>150</v>
      </c>
      <c r="H1132">
        <v>95.2</v>
      </c>
      <c r="I1132">
        <v>7.9</v>
      </c>
      <c r="J1132">
        <v>134</v>
      </c>
      <c r="K1132">
        <v>1000</v>
      </c>
      <c r="L1132">
        <v>883</v>
      </c>
      <c r="M1132" t="s">
        <v>30</v>
      </c>
      <c r="N1132">
        <v>5</v>
      </c>
      <c r="O1132" t="s">
        <v>40</v>
      </c>
      <c r="P1132">
        <v>65.5</v>
      </c>
      <c r="Q1132">
        <v>1762</v>
      </c>
      <c r="R1132">
        <v>5</v>
      </c>
      <c r="S1132">
        <v>1</v>
      </c>
      <c r="T1132" t="s">
        <v>47</v>
      </c>
      <c r="U1132" t="s">
        <v>38</v>
      </c>
      <c r="V1132">
        <v>7223</v>
      </c>
      <c r="W1132">
        <v>3.4</v>
      </c>
      <c r="X1132">
        <v>4</v>
      </c>
      <c r="Y1132" t="s">
        <v>61</v>
      </c>
      <c r="Z1132">
        <v>3.33</v>
      </c>
      <c r="AA1132" t="s">
        <v>43</v>
      </c>
    </row>
    <row r="1133" spans="1:27" x14ac:dyDescent="0.3">
      <c r="A1133" t="s">
        <v>76</v>
      </c>
      <c r="B1133" t="s">
        <v>98</v>
      </c>
      <c r="C1133">
        <v>2025</v>
      </c>
      <c r="D1133" t="s">
        <v>68</v>
      </c>
      <c r="E1133">
        <v>65291.37</v>
      </c>
      <c r="F1133">
        <v>83.7</v>
      </c>
      <c r="G1133">
        <v>283</v>
      </c>
      <c r="H1133">
        <v>74.5</v>
      </c>
      <c r="I1133">
        <v>6.79</v>
      </c>
      <c r="J1133">
        <v>150</v>
      </c>
      <c r="K1133">
        <v>754</v>
      </c>
      <c r="L1133">
        <v>610</v>
      </c>
      <c r="M1133" t="s">
        <v>54</v>
      </c>
      <c r="N1133">
        <v>5</v>
      </c>
      <c r="O1133" t="s">
        <v>46</v>
      </c>
      <c r="P1133">
        <v>68.8</v>
      </c>
      <c r="Q1133">
        <v>1742</v>
      </c>
      <c r="R1133">
        <v>5</v>
      </c>
      <c r="S1133">
        <v>2</v>
      </c>
      <c r="T1133" t="s">
        <v>51</v>
      </c>
      <c r="U1133" t="s">
        <v>38</v>
      </c>
      <c r="V1133">
        <v>99183</v>
      </c>
      <c r="W1133">
        <v>3.6</v>
      </c>
      <c r="X1133">
        <v>3</v>
      </c>
      <c r="Y1133" t="s">
        <v>43</v>
      </c>
      <c r="Z1133">
        <v>3.38</v>
      </c>
      <c r="AA1133" t="s">
        <v>35</v>
      </c>
    </row>
    <row r="1134" spans="1:27" x14ac:dyDescent="0.3">
      <c r="A1134" t="s">
        <v>52</v>
      </c>
      <c r="B1134" t="s">
        <v>55</v>
      </c>
      <c r="C1134">
        <v>2024</v>
      </c>
      <c r="D1134" t="s">
        <v>38</v>
      </c>
      <c r="E1134">
        <v>137035.03</v>
      </c>
      <c r="F1134">
        <v>58.5</v>
      </c>
      <c r="G1134">
        <v>224</v>
      </c>
      <c r="H1134">
        <v>212.5</v>
      </c>
      <c r="I1134">
        <v>6.59</v>
      </c>
      <c r="J1134">
        <v>151</v>
      </c>
      <c r="K1134">
        <v>984</v>
      </c>
      <c r="L1134">
        <v>852</v>
      </c>
      <c r="M1134" t="s">
        <v>54</v>
      </c>
      <c r="N1134">
        <v>5</v>
      </c>
      <c r="O1134" t="s">
        <v>56</v>
      </c>
      <c r="P1134">
        <v>30.3</v>
      </c>
      <c r="Q1134">
        <v>1769</v>
      </c>
      <c r="R1134">
        <v>4</v>
      </c>
      <c r="S1134">
        <v>3</v>
      </c>
      <c r="T1134" t="s">
        <v>47</v>
      </c>
      <c r="U1134" t="s">
        <v>33</v>
      </c>
      <c r="V1134">
        <v>429314</v>
      </c>
      <c r="W1134">
        <v>3.7</v>
      </c>
      <c r="X1134">
        <v>4</v>
      </c>
      <c r="Y1134" t="s">
        <v>43</v>
      </c>
      <c r="Z1134">
        <v>3.83</v>
      </c>
      <c r="AA1134" t="s">
        <v>35</v>
      </c>
    </row>
    <row r="1135" spans="1:27" x14ac:dyDescent="0.3">
      <c r="A1135" t="s">
        <v>71</v>
      </c>
      <c r="B1135" t="s">
        <v>81</v>
      </c>
      <c r="C1135">
        <v>2023</v>
      </c>
      <c r="D1135" t="s">
        <v>63</v>
      </c>
      <c r="E1135">
        <v>36015.660000000003</v>
      </c>
      <c r="F1135">
        <v>52.4</v>
      </c>
      <c r="G1135">
        <v>178</v>
      </c>
      <c r="H1135">
        <v>74.599999999999994</v>
      </c>
      <c r="I1135">
        <v>6.02</v>
      </c>
      <c r="J1135">
        <v>160</v>
      </c>
      <c r="K1135">
        <v>377</v>
      </c>
      <c r="L1135">
        <v>393</v>
      </c>
      <c r="M1135" t="s">
        <v>54</v>
      </c>
      <c r="N1135">
        <v>5</v>
      </c>
      <c r="O1135" t="s">
        <v>40</v>
      </c>
      <c r="P1135">
        <v>36.200000000000003</v>
      </c>
      <c r="Q1135">
        <v>2000</v>
      </c>
      <c r="R1135">
        <v>5</v>
      </c>
      <c r="S1135">
        <v>2</v>
      </c>
      <c r="T1135" t="s">
        <v>73</v>
      </c>
      <c r="U1135" t="s">
        <v>42</v>
      </c>
      <c r="V1135">
        <v>143487</v>
      </c>
      <c r="W1135">
        <v>3.4</v>
      </c>
      <c r="X1135">
        <v>4</v>
      </c>
      <c r="Y1135" t="s">
        <v>43</v>
      </c>
      <c r="Z1135">
        <v>3.4</v>
      </c>
      <c r="AA1135" t="s">
        <v>35</v>
      </c>
    </row>
    <row r="1136" spans="1:27" x14ac:dyDescent="0.3">
      <c r="A1136" t="s">
        <v>91</v>
      </c>
      <c r="B1136" t="s">
        <v>124</v>
      </c>
      <c r="C1136">
        <v>2024</v>
      </c>
      <c r="D1136" t="s">
        <v>68</v>
      </c>
      <c r="E1136">
        <v>96459.23</v>
      </c>
      <c r="F1136">
        <v>81</v>
      </c>
      <c r="G1136">
        <v>288</v>
      </c>
      <c r="H1136">
        <v>96.7</v>
      </c>
      <c r="I1136">
        <v>7.78</v>
      </c>
      <c r="J1136">
        <v>121</v>
      </c>
      <c r="K1136">
        <v>788</v>
      </c>
      <c r="L1136">
        <v>724</v>
      </c>
      <c r="M1136" t="s">
        <v>30</v>
      </c>
      <c r="N1136">
        <v>7</v>
      </c>
      <c r="O1136" t="s">
        <v>31</v>
      </c>
      <c r="P1136">
        <v>50.7</v>
      </c>
      <c r="Q1136">
        <v>2534</v>
      </c>
      <c r="R1136">
        <v>4</v>
      </c>
      <c r="S1136">
        <v>2</v>
      </c>
      <c r="T1136" t="s">
        <v>32</v>
      </c>
      <c r="U1136" t="s">
        <v>38</v>
      </c>
      <c r="V1136">
        <v>64056</v>
      </c>
      <c r="W1136">
        <v>3.5</v>
      </c>
      <c r="X1136">
        <v>5</v>
      </c>
      <c r="Y1136" t="s">
        <v>61</v>
      </c>
      <c r="Z1136">
        <v>3.56</v>
      </c>
      <c r="AA1136" t="s">
        <v>35</v>
      </c>
    </row>
    <row r="1137" spans="1:27" x14ac:dyDescent="0.3">
      <c r="A1137" t="s">
        <v>52</v>
      </c>
      <c r="B1137" t="s">
        <v>80</v>
      </c>
      <c r="C1137">
        <v>2025</v>
      </c>
      <c r="D1137" t="s">
        <v>63</v>
      </c>
      <c r="E1137">
        <v>64862.04</v>
      </c>
      <c r="F1137">
        <v>68.099999999999994</v>
      </c>
      <c r="G1137">
        <v>237</v>
      </c>
      <c r="H1137">
        <v>321.3</v>
      </c>
      <c r="I1137">
        <v>7.35</v>
      </c>
      <c r="J1137">
        <v>145</v>
      </c>
      <c r="K1137">
        <v>455</v>
      </c>
      <c r="L1137">
        <v>329</v>
      </c>
      <c r="M1137" t="s">
        <v>54</v>
      </c>
      <c r="N1137">
        <v>5</v>
      </c>
      <c r="O1137" t="s">
        <v>31</v>
      </c>
      <c r="P1137">
        <v>76.7</v>
      </c>
      <c r="Q1137">
        <v>2349</v>
      </c>
      <c r="R1137">
        <v>5</v>
      </c>
      <c r="S1137">
        <v>2</v>
      </c>
      <c r="T1137" t="s">
        <v>47</v>
      </c>
      <c r="U1137" t="s">
        <v>42</v>
      </c>
      <c r="V1137">
        <v>237113</v>
      </c>
      <c r="W1137">
        <v>3.9</v>
      </c>
      <c r="X1137">
        <v>5</v>
      </c>
      <c r="Y1137" t="s">
        <v>61</v>
      </c>
      <c r="Z1137">
        <v>3.48</v>
      </c>
      <c r="AA1137" t="s">
        <v>35</v>
      </c>
    </row>
    <row r="1138" spans="1:27" x14ac:dyDescent="0.3">
      <c r="A1138" t="s">
        <v>58</v>
      </c>
      <c r="B1138" t="s">
        <v>59</v>
      </c>
      <c r="C1138">
        <v>2025</v>
      </c>
      <c r="D1138" t="s">
        <v>68</v>
      </c>
      <c r="E1138">
        <v>131964.76</v>
      </c>
      <c r="F1138">
        <v>47</v>
      </c>
      <c r="G1138">
        <v>157</v>
      </c>
      <c r="H1138">
        <v>136.5</v>
      </c>
      <c r="I1138">
        <v>5.89</v>
      </c>
      <c r="J1138">
        <v>160</v>
      </c>
      <c r="K1138">
        <v>817</v>
      </c>
      <c r="L1138">
        <v>752</v>
      </c>
      <c r="M1138" t="s">
        <v>54</v>
      </c>
      <c r="N1138">
        <v>5</v>
      </c>
      <c r="O1138" t="s">
        <v>57</v>
      </c>
      <c r="P1138">
        <v>26.2</v>
      </c>
      <c r="Q1138">
        <v>1776</v>
      </c>
      <c r="R1138">
        <v>4</v>
      </c>
      <c r="S1138">
        <v>1</v>
      </c>
      <c r="T1138" t="s">
        <v>32</v>
      </c>
      <c r="U1138" t="s">
        <v>33</v>
      </c>
      <c r="V1138">
        <v>62952</v>
      </c>
      <c r="W1138">
        <v>3.6</v>
      </c>
      <c r="X1138">
        <v>6</v>
      </c>
      <c r="Y1138" t="s">
        <v>43</v>
      </c>
      <c r="Z1138">
        <v>3.34</v>
      </c>
      <c r="AA1138" t="s">
        <v>35</v>
      </c>
    </row>
    <row r="1139" spans="1:27" x14ac:dyDescent="0.3">
      <c r="A1139" t="s">
        <v>76</v>
      </c>
      <c r="B1139" t="s">
        <v>77</v>
      </c>
      <c r="C1139">
        <v>2024</v>
      </c>
      <c r="D1139" t="s">
        <v>38</v>
      </c>
      <c r="E1139">
        <v>97251.62</v>
      </c>
      <c r="F1139">
        <v>60.7</v>
      </c>
      <c r="G1139">
        <v>196</v>
      </c>
      <c r="H1139">
        <v>79.8</v>
      </c>
      <c r="I1139">
        <v>6.87</v>
      </c>
      <c r="J1139">
        <v>148</v>
      </c>
      <c r="K1139">
        <v>1000</v>
      </c>
      <c r="L1139">
        <v>936</v>
      </c>
      <c r="M1139" t="s">
        <v>30</v>
      </c>
      <c r="N1139">
        <v>5</v>
      </c>
      <c r="O1139" t="s">
        <v>40</v>
      </c>
      <c r="P1139">
        <v>69.3</v>
      </c>
      <c r="Q1139">
        <v>2108</v>
      </c>
      <c r="R1139">
        <v>5</v>
      </c>
      <c r="S1139">
        <v>1</v>
      </c>
      <c r="T1139" t="s">
        <v>51</v>
      </c>
      <c r="U1139" t="s">
        <v>38</v>
      </c>
      <c r="V1139">
        <v>59030</v>
      </c>
      <c r="W1139">
        <v>3.1</v>
      </c>
      <c r="X1139">
        <v>4</v>
      </c>
      <c r="Y1139" t="s">
        <v>43</v>
      </c>
      <c r="Z1139">
        <v>3.23</v>
      </c>
      <c r="AA1139" t="s">
        <v>35</v>
      </c>
    </row>
    <row r="1140" spans="1:27" x14ac:dyDescent="0.3">
      <c r="A1140" t="s">
        <v>76</v>
      </c>
      <c r="B1140" t="s">
        <v>117</v>
      </c>
      <c r="C1140">
        <v>2024</v>
      </c>
      <c r="D1140" t="s">
        <v>50</v>
      </c>
      <c r="E1140">
        <v>63320.42</v>
      </c>
      <c r="F1140">
        <v>102.7</v>
      </c>
      <c r="G1140">
        <v>353</v>
      </c>
      <c r="H1140">
        <v>56</v>
      </c>
      <c r="I1140">
        <v>5.85</v>
      </c>
      <c r="J1140">
        <v>160</v>
      </c>
      <c r="K1140">
        <v>723</v>
      </c>
      <c r="L1140">
        <v>634</v>
      </c>
      <c r="M1140" t="s">
        <v>39</v>
      </c>
      <c r="N1140">
        <v>7</v>
      </c>
      <c r="O1140" t="s">
        <v>65</v>
      </c>
      <c r="P1140">
        <v>33</v>
      </c>
      <c r="Q1140">
        <v>1930</v>
      </c>
      <c r="R1140">
        <v>5</v>
      </c>
      <c r="S1140">
        <v>1</v>
      </c>
      <c r="T1140" t="s">
        <v>51</v>
      </c>
      <c r="U1140" t="s">
        <v>42</v>
      </c>
      <c r="V1140">
        <v>132537</v>
      </c>
      <c r="W1140">
        <v>3.8</v>
      </c>
      <c r="X1140">
        <v>3</v>
      </c>
      <c r="Y1140" t="s">
        <v>43</v>
      </c>
      <c r="Z1140">
        <v>3.44</v>
      </c>
      <c r="AA1140" t="s">
        <v>35</v>
      </c>
    </row>
    <row r="1141" spans="1:27" x14ac:dyDescent="0.3">
      <c r="A1141" t="s">
        <v>48</v>
      </c>
      <c r="B1141" t="s">
        <v>88</v>
      </c>
      <c r="C1141">
        <v>2023</v>
      </c>
      <c r="D1141" t="s">
        <v>68</v>
      </c>
      <c r="E1141">
        <v>63386.57</v>
      </c>
      <c r="F1141">
        <v>61.3</v>
      </c>
      <c r="G1141">
        <v>218</v>
      </c>
      <c r="H1141">
        <v>117.8</v>
      </c>
      <c r="I1141">
        <v>5.51</v>
      </c>
      <c r="J1141">
        <v>167</v>
      </c>
      <c r="K1141">
        <v>725</v>
      </c>
      <c r="L1141">
        <v>679</v>
      </c>
      <c r="M1141" t="s">
        <v>54</v>
      </c>
      <c r="N1141">
        <v>5</v>
      </c>
      <c r="O1141" t="s">
        <v>40</v>
      </c>
      <c r="P1141">
        <v>69.599999999999994</v>
      </c>
      <c r="Q1141">
        <v>2057</v>
      </c>
      <c r="R1141">
        <v>5</v>
      </c>
      <c r="S1141">
        <v>0</v>
      </c>
      <c r="T1141" t="s">
        <v>51</v>
      </c>
      <c r="U1141" t="s">
        <v>42</v>
      </c>
      <c r="V1141">
        <v>97503</v>
      </c>
      <c r="W1141">
        <v>3.2</v>
      </c>
      <c r="X1141">
        <v>5</v>
      </c>
      <c r="Y1141" t="s">
        <v>43</v>
      </c>
      <c r="Z1141">
        <v>3.56</v>
      </c>
      <c r="AA1141" t="s">
        <v>35</v>
      </c>
    </row>
    <row r="1142" spans="1:27" x14ac:dyDescent="0.3">
      <c r="A1142" t="s">
        <v>58</v>
      </c>
      <c r="B1142" t="s">
        <v>134</v>
      </c>
      <c r="C1142">
        <v>2021</v>
      </c>
      <c r="D1142" t="s">
        <v>68</v>
      </c>
      <c r="E1142">
        <v>115665.62</v>
      </c>
      <c r="F1142">
        <v>57.4</v>
      </c>
      <c r="G1142">
        <v>162</v>
      </c>
      <c r="H1142">
        <v>116.6</v>
      </c>
      <c r="I1142">
        <v>5.16</v>
      </c>
      <c r="J1142">
        <v>169</v>
      </c>
      <c r="K1142">
        <v>608</v>
      </c>
      <c r="L1142">
        <v>588</v>
      </c>
      <c r="M1142" t="s">
        <v>54</v>
      </c>
      <c r="N1142">
        <v>7</v>
      </c>
      <c r="O1142" t="s">
        <v>56</v>
      </c>
      <c r="P1142">
        <v>39.799999999999997</v>
      </c>
      <c r="Q1142">
        <v>1500</v>
      </c>
      <c r="R1142">
        <v>4</v>
      </c>
      <c r="S1142">
        <v>1</v>
      </c>
      <c r="T1142" t="s">
        <v>32</v>
      </c>
      <c r="U1142" t="s">
        <v>33</v>
      </c>
      <c r="V1142">
        <v>25083</v>
      </c>
      <c r="W1142">
        <v>3.3</v>
      </c>
      <c r="X1142">
        <v>7</v>
      </c>
      <c r="Y1142" t="s">
        <v>43</v>
      </c>
      <c r="Z1142">
        <v>2.82</v>
      </c>
      <c r="AA1142" t="s">
        <v>35</v>
      </c>
    </row>
    <row r="1143" spans="1:27" x14ac:dyDescent="0.3">
      <c r="A1143" t="s">
        <v>71</v>
      </c>
      <c r="B1143" t="s">
        <v>104</v>
      </c>
      <c r="C1143">
        <v>2022</v>
      </c>
      <c r="D1143" t="s">
        <v>68</v>
      </c>
      <c r="E1143">
        <v>30805.35</v>
      </c>
      <c r="F1143">
        <v>40</v>
      </c>
      <c r="G1143">
        <v>150</v>
      </c>
      <c r="H1143">
        <v>107.8</v>
      </c>
      <c r="I1143">
        <v>7.18</v>
      </c>
      <c r="J1143">
        <v>141</v>
      </c>
      <c r="K1143">
        <v>377</v>
      </c>
      <c r="L1143">
        <v>392</v>
      </c>
      <c r="M1143" t="s">
        <v>54</v>
      </c>
      <c r="N1143">
        <v>7</v>
      </c>
      <c r="O1143" t="s">
        <v>31</v>
      </c>
      <c r="P1143">
        <v>68.099999999999994</v>
      </c>
      <c r="Q1143">
        <v>2193</v>
      </c>
      <c r="R1143">
        <v>5</v>
      </c>
      <c r="S1143">
        <v>1</v>
      </c>
      <c r="T1143" t="s">
        <v>73</v>
      </c>
      <c r="U1143" t="s">
        <v>74</v>
      </c>
      <c r="V1143">
        <v>133529</v>
      </c>
      <c r="W1143">
        <v>3.4</v>
      </c>
      <c r="X1143">
        <v>3</v>
      </c>
      <c r="Y1143" t="s">
        <v>61</v>
      </c>
      <c r="Z1143">
        <v>3.75</v>
      </c>
      <c r="AA1143" t="s">
        <v>35</v>
      </c>
    </row>
    <row r="1144" spans="1:27" x14ac:dyDescent="0.3">
      <c r="A1144" t="s">
        <v>91</v>
      </c>
      <c r="B1144" t="s">
        <v>124</v>
      </c>
      <c r="C1144">
        <v>2026</v>
      </c>
      <c r="D1144" t="s">
        <v>38</v>
      </c>
      <c r="E1144">
        <v>103491.15</v>
      </c>
      <c r="F1144">
        <v>48.4</v>
      </c>
      <c r="G1144">
        <v>152</v>
      </c>
      <c r="H1144">
        <v>97</v>
      </c>
      <c r="I1144">
        <v>7.03</v>
      </c>
      <c r="J1144">
        <v>147</v>
      </c>
      <c r="K1144">
        <v>887</v>
      </c>
      <c r="L1144">
        <v>802</v>
      </c>
      <c r="M1144" t="s">
        <v>30</v>
      </c>
      <c r="N1144">
        <v>5</v>
      </c>
      <c r="O1144" t="s">
        <v>65</v>
      </c>
      <c r="P1144">
        <v>35.200000000000003</v>
      </c>
      <c r="Q1144">
        <v>1837</v>
      </c>
      <c r="R1144">
        <v>5</v>
      </c>
      <c r="S1144">
        <v>2</v>
      </c>
      <c r="T1144" t="s">
        <v>32</v>
      </c>
      <c r="U1144" t="s">
        <v>33</v>
      </c>
      <c r="V1144">
        <v>42817</v>
      </c>
      <c r="W1144">
        <v>3.4</v>
      </c>
      <c r="X1144">
        <v>7</v>
      </c>
      <c r="Y1144" t="s">
        <v>61</v>
      </c>
      <c r="Z1144">
        <v>3.14</v>
      </c>
      <c r="AA1144" t="s">
        <v>35</v>
      </c>
    </row>
    <row r="1145" spans="1:27" x14ac:dyDescent="0.3">
      <c r="A1145" t="s">
        <v>48</v>
      </c>
      <c r="B1145" t="s">
        <v>60</v>
      </c>
      <c r="C1145">
        <v>2026</v>
      </c>
      <c r="D1145" t="s">
        <v>50</v>
      </c>
      <c r="E1145">
        <v>67363.850000000006</v>
      </c>
      <c r="F1145">
        <v>101</v>
      </c>
      <c r="G1145">
        <v>376</v>
      </c>
      <c r="H1145">
        <v>95.1</v>
      </c>
      <c r="I1145">
        <v>5.97</v>
      </c>
      <c r="J1145">
        <v>160</v>
      </c>
      <c r="K1145">
        <v>740</v>
      </c>
      <c r="L1145">
        <v>658</v>
      </c>
      <c r="M1145" t="s">
        <v>39</v>
      </c>
      <c r="N1145">
        <v>5</v>
      </c>
      <c r="O1145" t="s">
        <v>40</v>
      </c>
      <c r="P1145">
        <v>53.4</v>
      </c>
      <c r="Q1145">
        <v>2072</v>
      </c>
      <c r="R1145">
        <v>3</v>
      </c>
      <c r="S1145">
        <v>1</v>
      </c>
      <c r="T1145" t="s">
        <v>51</v>
      </c>
      <c r="U1145" t="s">
        <v>38</v>
      </c>
      <c r="V1145">
        <v>128059</v>
      </c>
      <c r="W1145">
        <v>4</v>
      </c>
      <c r="X1145">
        <v>4</v>
      </c>
      <c r="Y1145" t="s">
        <v>43</v>
      </c>
      <c r="Z1145">
        <v>3.72</v>
      </c>
      <c r="AA1145" t="s">
        <v>35</v>
      </c>
    </row>
    <row r="1146" spans="1:27" x14ac:dyDescent="0.3">
      <c r="A1146" t="s">
        <v>71</v>
      </c>
      <c r="B1146" t="s">
        <v>72</v>
      </c>
      <c r="C1146">
        <v>2025</v>
      </c>
      <c r="D1146" t="s">
        <v>68</v>
      </c>
      <c r="E1146">
        <v>37099.25</v>
      </c>
      <c r="F1146">
        <v>64.7</v>
      </c>
      <c r="G1146">
        <v>205</v>
      </c>
      <c r="H1146">
        <v>132.69999999999999</v>
      </c>
      <c r="I1146">
        <v>5.49</v>
      </c>
      <c r="J1146">
        <v>171</v>
      </c>
      <c r="K1146">
        <v>393</v>
      </c>
      <c r="L1146">
        <v>350</v>
      </c>
      <c r="M1146" t="s">
        <v>30</v>
      </c>
      <c r="N1146">
        <v>5</v>
      </c>
      <c r="O1146" t="s">
        <v>56</v>
      </c>
      <c r="P1146">
        <v>19</v>
      </c>
      <c r="Q1146">
        <v>1783</v>
      </c>
      <c r="R1146">
        <v>5</v>
      </c>
      <c r="S1146">
        <v>0</v>
      </c>
      <c r="T1146" t="s">
        <v>73</v>
      </c>
      <c r="U1146" t="s">
        <v>42</v>
      </c>
      <c r="V1146">
        <v>163441</v>
      </c>
      <c r="W1146">
        <v>3.7</v>
      </c>
      <c r="X1146">
        <v>4</v>
      </c>
      <c r="Y1146" t="s">
        <v>43</v>
      </c>
      <c r="Z1146">
        <v>3.17</v>
      </c>
      <c r="AA1146" t="s">
        <v>35</v>
      </c>
    </row>
    <row r="1147" spans="1:27" x14ac:dyDescent="0.3">
      <c r="A1147" t="s">
        <v>94</v>
      </c>
      <c r="B1147" t="s">
        <v>125</v>
      </c>
      <c r="C1147">
        <v>2025</v>
      </c>
      <c r="D1147" t="s">
        <v>68</v>
      </c>
      <c r="E1147">
        <v>55204.45</v>
      </c>
      <c r="F1147">
        <v>65.400000000000006</v>
      </c>
      <c r="G1147">
        <v>223</v>
      </c>
      <c r="H1147">
        <v>116.2</v>
      </c>
      <c r="I1147">
        <v>5.47</v>
      </c>
      <c r="J1147">
        <v>164</v>
      </c>
      <c r="K1147">
        <v>243</v>
      </c>
      <c r="L1147">
        <v>200</v>
      </c>
      <c r="M1147" t="s">
        <v>39</v>
      </c>
      <c r="N1147">
        <v>5</v>
      </c>
      <c r="O1147" t="s">
        <v>56</v>
      </c>
      <c r="P1147">
        <v>31.1</v>
      </c>
      <c r="Q1147">
        <v>1500</v>
      </c>
      <c r="R1147">
        <v>4</v>
      </c>
      <c r="S1147">
        <v>1</v>
      </c>
      <c r="T1147" t="s">
        <v>32</v>
      </c>
      <c r="U1147" t="s">
        <v>42</v>
      </c>
      <c r="V1147">
        <v>48087</v>
      </c>
      <c r="W1147">
        <v>3.2</v>
      </c>
      <c r="X1147">
        <v>7</v>
      </c>
      <c r="Y1147" t="s">
        <v>43</v>
      </c>
      <c r="Z1147">
        <v>3.41</v>
      </c>
      <c r="AA1147" t="s">
        <v>35</v>
      </c>
    </row>
    <row r="1148" spans="1:27" x14ac:dyDescent="0.3">
      <c r="A1148" t="s">
        <v>84</v>
      </c>
      <c r="B1148" t="s">
        <v>89</v>
      </c>
      <c r="C1148">
        <v>2025</v>
      </c>
      <c r="D1148" t="s">
        <v>68</v>
      </c>
      <c r="E1148">
        <v>63604.01</v>
      </c>
      <c r="F1148">
        <v>40</v>
      </c>
      <c r="G1148">
        <v>150</v>
      </c>
      <c r="H1148">
        <v>81.2</v>
      </c>
      <c r="I1148">
        <v>6.78</v>
      </c>
      <c r="J1148">
        <v>148</v>
      </c>
      <c r="K1148">
        <v>705</v>
      </c>
      <c r="L1148">
        <v>676</v>
      </c>
      <c r="M1148" t="s">
        <v>39</v>
      </c>
      <c r="N1148">
        <v>5</v>
      </c>
      <c r="O1148" t="s">
        <v>56</v>
      </c>
      <c r="P1148">
        <v>15.9</v>
      </c>
      <c r="Q1148">
        <v>1508</v>
      </c>
      <c r="R1148">
        <v>4</v>
      </c>
      <c r="S1148">
        <v>1</v>
      </c>
      <c r="T1148" t="s">
        <v>47</v>
      </c>
      <c r="U1148" t="s">
        <v>42</v>
      </c>
      <c r="V1148">
        <v>36824</v>
      </c>
      <c r="W1148">
        <v>3.2</v>
      </c>
      <c r="X1148">
        <v>4</v>
      </c>
      <c r="Y1148" t="s">
        <v>43</v>
      </c>
      <c r="Z1148">
        <v>3.75</v>
      </c>
      <c r="AA1148" t="s">
        <v>35</v>
      </c>
    </row>
    <row r="1149" spans="1:27" x14ac:dyDescent="0.3">
      <c r="A1149" t="s">
        <v>91</v>
      </c>
      <c r="B1149" t="s">
        <v>112</v>
      </c>
      <c r="C1149">
        <v>2023</v>
      </c>
      <c r="D1149" t="s">
        <v>29</v>
      </c>
      <c r="E1149">
        <v>101590.86</v>
      </c>
      <c r="F1149">
        <v>116.4</v>
      </c>
      <c r="G1149">
        <v>426</v>
      </c>
      <c r="H1149">
        <v>201.3</v>
      </c>
      <c r="I1149">
        <v>4.3499999999999996</v>
      </c>
      <c r="J1149">
        <v>174</v>
      </c>
      <c r="K1149">
        <v>818</v>
      </c>
      <c r="L1149">
        <v>765</v>
      </c>
      <c r="M1149" t="s">
        <v>54</v>
      </c>
      <c r="N1149">
        <v>7</v>
      </c>
      <c r="O1149" t="s">
        <v>46</v>
      </c>
      <c r="P1149">
        <v>78</v>
      </c>
      <c r="Q1149">
        <v>1688</v>
      </c>
      <c r="R1149">
        <v>5</v>
      </c>
      <c r="S1149">
        <v>2</v>
      </c>
      <c r="T1149" t="s">
        <v>32</v>
      </c>
      <c r="U1149" t="s">
        <v>33</v>
      </c>
      <c r="V1149">
        <v>73116</v>
      </c>
      <c r="W1149">
        <v>4</v>
      </c>
      <c r="X1149">
        <v>5</v>
      </c>
      <c r="Y1149" t="s">
        <v>43</v>
      </c>
      <c r="Z1149">
        <v>3.66</v>
      </c>
      <c r="AA1149" t="s">
        <v>35</v>
      </c>
    </row>
    <row r="1150" spans="1:27" x14ac:dyDescent="0.3">
      <c r="A1150" t="s">
        <v>58</v>
      </c>
      <c r="B1150" t="s">
        <v>111</v>
      </c>
      <c r="C1150">
        <v>2024</v>
      </c>
      <c r="D1150" t="s">
        <v>63</v>
      </c>
      <c r="E1150">
        <v>62600.82</v>
      </c>
      <c r="F1150">
        <v>55.9</v>
      </c>
      <c r="G1150">
        <v>179</v>
      </c>
      <c r="H1150">
        <v>122</v>
      </c>
      <c r="I1150">
        <v>7.46</v>
      </c>
      <c r="J1150">
        <v>145</v>
      </c>
      <c r="K1150">
        <v>160</v>
      </c>
      <c r="L1150">
        <v>205</v>
      </c>
      <c r="M1150" t="s">
        <v>30</v>
      </c>
      <c r="N1150">
        <v>5</v>
      </c>
      <c r="O1150" t="s">
        <v>46</v>
      </c>
      <c r="P1150">
        <v>75.3</v>
      </c>
      <c r="Q1150">
        <v>1500</v>
      </c>
      <c r="R1150">
        <v>3</v>
      </c>
      <c r="S1150">
        <v>2</v>
      </c>
      <c r="T1150" t="s">
        <v>32</v>
      </c>
      <c r="U1150" t="s">
        <v>42</v>
      </c>
      <c r="V1150">
        <v>69358</v>
      </c>
      <c r="W1150">
        <v>3.7</v>
      </c>
      <c r="X1150">
        <v>7</v>
      </c>
      <c r="Y1150" t="s">
        <v>61</v>
      </c>
      <c r="Z1150">
        <v>3.2</v>
      </c>
      <c r="AA1150" t="s">
        <v>35</v>
      </c>
    </row>
    <row r="1151" spans="1:27" x14ac:dyDescent="0.3">
      <c r="A1151" t="s">
        <v>58</v>
      </c>
      <c r="B1151" t="s">
        <v>59</v>
      </c>
      <c r="C1151">
        <v>2025</v>
      </c>
      <c r="D1151" t="s">
        <v>68</v>
      </c>
      <c r="E1151">
        <v>99348.31</v>
      </c>
      <c r="F1151">
        <v>48.9</v>
      </c>
      <c r="G1151">
        <v>189</v>
      </c>
      <c r="H1151">
        <v>54.9</v>
      </c>
      <c r="I1151">
        <v>6.79</v>
      </c>
      <c r="J1151">
        <v>150</v>
      </c>
      <c r="K1151">
        <v>535</v>
      </c>
      <c r="L1151">
        <v>532</v>
      </c>
      <c r="M1151" t="s">
        <v>39</v>
      </c>
      <c r="N1151">
        <v>7</v>
      </c>
      <c r="O1151" t="s">
        <v>57</v>
      </c>
      <c r="P1151">
        <v>25.6</v>
      </c>
      <c r="Q1151">
        <v>1578</v>
      </c>
      <c r="R1151">
        <v>4</v>
      </c>
      <c r="S1151">
        <v>1</v>
      </c>
      <c r="T1151" t="s">
        <v>32</v>
      </c>
      <c r="U1151" t="s">
        <v>38</v>
      </c>
      <c r="V1151">
        <v>79812</v>
      </c>
      <c r="W1151">
        <v>3.8</v>
      </c>
      <c r="X1151">
        <v>7</v>
      </c>
      <c r="Y1151" t="s">
        <v>43</v>
      </c>
      <c r="Z1151">
        <v>3.87</v>
      </c>
      <c r="AA1151" t="s">
        <v>35</v>
      </c>
    </row>
    <row r="1152" spans="1:27" x14ac:dyDescent="0.3">
      <c r="A1152" t="s">
        <v>44</v>
      </c>
      <c r="B1152" t="s">
        <v>109</v>
      </c>
      <c r="C1152">
        <v>2021</v>
      </c>
      <c r="D1152" t="s">
        <v>63</v>
      </c>
      <c r="E1152">
        <v>40119.64</v>
      </c>
      <c r="F1152">
        <v>79</v>
      </c>
      <c r="G1152">
        <v>282</v>
      </c>
      <c r="H1152">
        <v>117.9</v>
      </c>
      <c r="I1152">
        <v>6.97</v>
      </c>
      <c r="J1152">
        <v>141</v>
      </c>
      <c r="K1152">
        <v>451</v>
      </c>
      <c r="L1152">
        <v>389</v>
      </c>
      <c r="M1152" t="s">
        <v>30</v>
      </c>
      <c r="N1152">
        <v>5</v>
      </c>
      <c r="O1152" t="s">
        <v>40</v>
      </c>
      <c r="P1152">
        <v>46.1</v>
      </c>
      <c r="Q1152">
        <v>1980</v>
      </c>
      <c r="R1152">
        <v>5</v>
      </c>
      <c r="S1152">
        <v>1</v>
      </c>
      <c r="T1152" t="s">
        <v>47</v>
      </c>
      <c r="U1152" t="s">
        <v>42</v>
      </c>
      <c r="V1152">
        <v>25340</v>
      </c>
      <c r="W1152">
        <v>3.4</v>
      </c>
      <c r="X1152">
        <v>4</v>
      </c>
      <c r="Y1152" t="s">
        <v>43</v>
      </c>
      <c r="Z1152">
        <v>3.57</v>
      </c>
      <c r="AA1152" t="s">
        <v>35</v>
      </c>
    </row>
    <row r="1153" spans="1:27" x14ac:dyDescent="0.3">
      <c r="A1153" t="s">
        <v>58</v>
      </c>
      <c r="B1153" t="s">
        <v>105</v>
      </c>
      <c r="C1153">
        <v>2025</v>
      </c>
      <c r="D1153" t="s">
        <v>63</v>
      </c>
      <c r="E1153">
        <v>124226.17</v>
      </c>
      <c r="F1153">
        <v>74.2</v>
      </c>
      <c r="G1153">
        <v>253</v>
      </c>
      <c r="H1153">
        <v>77.2</v>
      </c>
      <c r="I1153">
        <v>5.89</v>
      </c>
      <c r="J1153">
        <v>164</v>
      </c>
      <c r="K1153">
        <v>687</v>
      </c>
      <c r="L1153">
        <v>619</v>
      </c>
      <c r="M1153" t="s">
        <v>39</v>
      </c>
      <c r="N1153">
        <v>5</v>
      </c>
      <c r="O1153" t="s">
        <v>40</v>
      </c>
      <c r="P1153">
        <v>63.1</v>
      </c>
      <c r="Q1153">
        <v>1728</v>
      </c>
      <c r="R1153">
        <v>4</v>
      </c>
      <c r="S1153">
        <v>2</v>
      </c>
      <c r="T1153" t="s">
        <v>32</v>
      </c>
      <c r="U1153" t="s">
        <v>33</v>
      </c>
      <c r="V1153">
        <v>40173</v>
      </c>
      <c r="W1153">
        <v>3.7</v>
      </c>
      <c r="X1153">
        <v>8</v>
      </c>
      <c r="Y1153" t="s">
        <v>43</v>
      </c>
      <c r="Z1153">
        <v>3.41</v>
      </c>
      <c r="AA1153" t="s">
        <v>35</v>
      </c>
    </row>
    <row r="1154" spans="1:27" x14ac:dyDescent="0.3">
      <c r="A1154" t="s">
        <v>44</v>
      </c>
      <c r="B1154" t="s">
        <v>62</v>
      </c>
      <c r="C1154">
        <v>2025</v>
      </c>
      <c r="D1154" t="s">
        <v>63</v>
      </c>
      <c r="E1154">
        <v>34616.61</v>
      </c>
      <c r="F1154">
        <v>73.900000000000006</v>
      </c>
      <c r="G1154">
        <v>287</v>
      </c>
      <c r="H1154">
        <v>116.2</v>
      </c>
      <c r="I1154">
        <v>5.33</v>
      </c>
      <c r="J1154">
        <v>167</v>
      </c>
      <c r="K1154">
        <v>306</v>
      </c>
      <c r="L1154">
        <v>303</v>
      </c>
      <c r="M1154" t="s">
        <v>54</v>
      </c>
      <c r="N1154">
        <v>5</v>
      </c>
      <c r="O1154" t="s">
        <v>57</v>
      </c>
      <c r="P1154">
        <v>15</v>
      </c>
      <c r="Q1154">
        <v>1685</v>
      </c>
      <c r="R1154">
        <v>4</v>
      </c>
      <c r="S1154">
        <v>0</v>
      </c>
      <c r="T1154" t="s">
        <v>47</v>
      </c>
      <c r="U1154" t="s">
        <v>74</v>
      </c>
      <c r="V1154">
        <v>24423</v>
      </c>
      <c r="W1154">
        <v>3.8</v>
      </c>
      <c r="X1154">
        <v>4</v>
      </c>
      <c r="Y1154" t="s">
        <v>43</v>
      </c>
      <c r="Z1154">
        <v>3.88</v>
      </c>
      <c r="AA1154" t="s">
        <v>35</v>
      </c>
    </row>
    <row r="1155" spans="1:27" x14ac:dyDescent="0.3">
      <c r="A1155" t="s">
        <v>91</v>
      </c>
      <c r="B1155" t="s">
        <v>92</v>
      </c>
      <c r="C1155">
        <v>2021</v>
      </c>
      <c r="D1155" t="s">
        <v>50</v>
      </c>
      <c r="E1155">
        <v>75380.59</v>
      </c>
      <c r="F1155">
        <v>109</v>
      </c>
      <c r="G1155">
        <v>366</v>
      </c>
      <c r="H1155">
        <v>90.6</v>
      </c>
      <c r="I1155">
        <v>4.66</v>
      </c>
      <c r="J1155">
        <v>181</v>
      </c>
      <c r="K1155">
        <v>482</v>
      </c>
      <c r="L1155">
        <v>442</v>
      </c>
      <c r="M1155" t="s">
        <v>39</v>
      </c>
      <c r="N1155">
        <v>7</v>
      </c>
      <c r="O1155" t="s">
        <v>40</v>
      </c>
      <c r="P1155">
        <v>36.9</v>
      </c>
      <c r="Q1155">
        <v>2165</v>
      </c>
      <c r="R1155">
        <v>4</v>
      </c>
      <c r="S1155">
        <v>1</v>
      </c>
      <c r="T1155" t="s">
        <v>32</v>
      </c>
      <c r="U1155" t="s">
        <v>38</v>
      </c>
      <c r="V1155">
        <v>62356</v>
      </c>
      <c r="W1155">
        <v>3.9</v>
      </c>
      <c r="X1155">
        <v>7</v>
      </c>
      <c r="Y1155" t="s">
        <v>43</v>
      </c>
      <c r="Z1155">
        <v>3.36</v>
      </c>
      <c r="AA1155" t="s">
        <v>35</v>
      </c>
    </row>
    <row r="1156" spans="1:27" x14ac:dyDescent="0.3">
      <c r="A1156" t="s">
        <v>48</v>
      </c>
      <c r="B1156" t="s">
        <v>88</v>
      </c>
      <c r="C1156">
        <v>2021</v>
      </c>
      <c r="D1156" t="s">
        <v>68</v>
      </c>
      <c r="E1156">
        <v>32210.63</v>
      </c>
      <c r="F1156">
        <v>78.099999999999994</v>
      </c>
      <c r="G1156">
        <v>270</v>
      </c>
      <c r="H1156">
        <v>121.5</v>
      </c>
      <c r="I1156">
        <v>7.59</v>
      </c>
      <c r="J1156">
        <v>137</v>
      </c>
      <c r="K1156">
        <v>210</v>
      </c>
      <c r="L1156">
        <v>200</v>
      </c>
      <c r="M1156" t="s">
        <v>54</v>
      </c>
      <c r="N1156">
        <v>7</v>
      </c>
      <c r="O1156" t="s">
        <v>40</v>
      </c>
      <c r="P1156">
        <v>48.2</v>
      </c>
      <c r="Q1156">
        <v>1957</v>
      </c>
      <c r="R1156">
        <v>5</v>
      </c>
      <c r="S1156">
        <v>0</v>
      </c>
      <c r="T1156" t="s">
        <v>51</v>
      </c>
      <c r="U1156" t="s">
        <v>74</v>
      </c>
      <c r="V1156">
        <v>60096</v>
      </c>
      <c r="W1156">
        <v>3.2</v>
      </c>
      <c r="X1156">
        <v>5</v>
      </c>
      <c r="Y1156" t="s">
        <v>61</v>
      </c>
      <c r="Z1156">
        <v>3.46</v>
      </c>
      <c r="AA1156" t="s">
        <v>35</v>
      </c>
    </row>
    <row r="1157" spans="1:27" x14ac:dyDescent="0.3">
      <c r="A1157" t="s">
        <v>44</v>
      </c>
      <c r="B1157" t="s">
        <v>126</v>
      </c>
      <c r="C1157">
        <v>2026</v>
      </c>
      <c r="D1157" t="s">
        <v>38</v>
      </c>
      <c r="E1157">
        <v>68395.009999999995</v>
      </c>
      <c r="F1157">
        <v>46</v>
      </c>
      <c r="G1157">
        <v>165</v>
      </c>
      <c r="H1157">
        <v>142.4</v>
      </c>
      <c r="I1157">
        <v>7.05</v>
      </c>
      <c r="J1157">
        <v>146</v>
      </c>
      <c r="K1157">
        <v>903</v>
      </c>
      <c r="L1157">
        <v>784</v>
      </c>
      <c r="M1157" t="s">
        <v>30</v>
      </c>
      <c r="N1157">
        <v>7</v>
      </c>
      <c r="O1157" t="s">
        <v>57</v>
      </c>
      <c r="P1157">
        <v>34.1</v>
      </c>
      <c r="Q1157">
        <v>1500</v>
      </c>
      <c r="R1157">
        <v>4</v>
      </c>
      <c r="S1157">
        <v>1</v>
      </c>
      <c r="T1157" t="s">
        <v>47</v>
      </c>
      <c r="U1157" t="s">
        <v>38</v>
      </c>
      <c r="V1157">
        <v>27929</v>
      </c>
      <c r="W1157">
        <v>3</v>
      </c>
      <c r="X1157">
        <v>5</v>
      </c>
      <c r="Y1157" t="s">
        <v>61</v>
      </c>
      <c r="Z1157">
        <v>3.59</v>
      </c>
      <c r="AA1157" t="s">
        <v>35</v>
      </c>
    </row>
    <row r="1158" spans="1:27" x14ac:dyDescent="0.3">
      <c r="A1158" t="s">
        <v>52</v>
      </c>
      <c r="B1158" t="s">
        <v>64</v>
      </c>
      <c r="C1158">
        <v>2024</v>
      </c>
      <c r="D1158" t="s">
        <v>50</v>
      </c>
      <c r="E1158">
        <v>156702.49</v>
      </c>
      <c r="F1158">
        <v>102.8</v>
      </c>
      <c r="G1158">
        <v>353</v>
      </c>
      <c r="H1158">
        <v>339.7</v>
      </c>
      <c r="I1158">
        <v>5.34</v>
      </c>
      <c r="J1158">
        <v>157</v>
      </c>
      <c r="K1158">
        <v>1000</v>
      </c>
      <c r="L1158">
        <v>867</v>
      </c>
      <c r="M1158" t="s">
        <v>30</v>
      </c>
      <c r="N1158">
        <v>7</v>
      </c>
      <c r="O1158" t="s">
        <v>65</v>
      </c>
      <c r="P1158">
        <v>26.1</v>
      </c>
      <c r="Q1158">
        <v>1500</v>
      </c>
      <c r="R1158">
        <v>5</v>
      </c>
      <c r="S1158">
        <v>2</v>
      </c>
      <c r="T1158" t="s">
        <v>47</v>
      </c>
      <c r="U1158" t="s">
        <v>33</v>
      </c>
      <c r="V1158">
        <v>132013</v>
      </c>
      <c r="W1158">
        <v>3.9</v>
      </c>
      <c r="X1158">
        <v>5</v>
      </c>
      <c r="Y1158" t="s">
        <v>43</v>
      </c>
      <c r="Z1158">
        <v>3.43</v>
      </c>
      <c r="AA1158" t="s">
        <v>35</v>
      </c>
    </row>
    <row r="1159" spans="1:27" x14ac:dyDescent="0.3">
      <c r="A1159" t="s">
        <v>94</v>
      </c>
      <c r="B1159" t="s">
        <v>116</v>
      </c>
      <c r="C1159">
        <v>2026</v>
      </c>
      <c r="D1159" t="s">
        <v>63</v>
      </c>
      <c r="E1159">
        <v>97863.03</v>
      </c>
      <c r="F1159">
        <v>41.7</v>
      </c>
      <c r="G1159">
        <v>166</v>
      </c>
      <c r="H1159">
        <v>140.5</v>
      </c>
      <c r="I1159">
        <v>6.81</v>
      </c>
      <c r="J1159">
        <v>145</v>
      </c>
      <c r="K1159">
        <v>693</v>
      </c>
      <c r="L1159">
        <v>607</v>
      </c>
      <c r="M1159" t="s">
        <v>30</v>
      </c>
      <c r="N1159">
        <v>7</v>
      </c>
      <c r="O1159" t="s">
        <v>57</v>
      </c>
      <c r="P1159">
        <v>35.1</v>
      </c>
      <c r="Q1159">
        <v>1509</v>
      </c>
      <c r="R1159">
        <v>5</v>
      </c>
      <c r="S1159">
        <v>1</v>
      </c>
      <c r="T1159" t="s">
        <v>32</v>
      </c>
      <c r="U1159" t="s">
        <v>38</v>
      </c>
      <c r="V1159">
        <v>24216</v>
      </c>
      <c r="W1159">
        <v>3.4</v>
      </c>
      <c r="X1159">
        <v>7</v>
      </c>
      <c r="Y1159" t="s">
        <v>43</v>
      </c>
      <c r="Z1159">
        <v>3.98</v>
      </c>
      <c r="AA1159" t="s">
        <v>35</v>
      </c>
    </row>
    <row r="1160" spans="1:27" x14ac:dyDescent="0.3">
      <c r="A1160" t="s">
        <v>58</v>
      </c>
      <c r="B1160" t="s">
        <v>59</v>
      </c>
      <c r="C1160">
        <v>2025</v>
      </c>
      <c r="D1160" t="s">
        <v>50</v>
      </c>
      <c r="E1160">
        <v>183986.43</v>
      </c>
      <c r="F1160">
        <v>100.6</v>
      </c>
      <c r="G1160">
        <v>365</v>
      </c>
      <c r="H1160">
        <v>124.5</v>
      </c>
      <c r="I1160">
        <v>4.04</v>
      </c>
      <c r="J1160">
        <v>193</v>
      </c>
      <c r="K1160">
        <v>1000</v>
      </c>
      <c r="L1160">
        <v>849</v>
      </c>
      <c r="M1160" t="s">
        <v>39</v>
      </c>
      <c r="N1160">
        <v>5</v>
      </c>
      <c r="O1160" t="s">
        <v>56</v>
      </c>
      <c r="P1160">
        <v>25.9</v>
      </c>
      <c r="Q1160">
        <v>1663</v>
      </c>
      <c r="R1160">
        <v>5</v>
      </c>
      <c r="S1160">
        <v>1</v>
      </c>
      <c r="T1160" t="s">
        <v>32</v>
      </c>
      <c r="U1160" t="s">
        <v>33</v>
      </c>
      <c r="V1160">
        <v>50432</v>
      </c>
      <c r="W1160">
        <v>4.0999999999999996</v>
      </c>
      <c r="X1160">
        <v>5</v>
      </c>
      <c r="Y1160" t="s">
        <v>43</v>
      </c>
      <c r="Z1160">
        <v>3.63</v>
      </c>
      <c r="AA1160" t="s">
        <v>35</v>
      </c>
    </row>
    <row r="1161" spans="1:27" x14ac:dyDescent="0.3">
      <c r="A1161" t="s">
        <v>52</v>
      </c>
      <c r="B1161" t="s">
        <v>80</v>
      </c>
      <c r="C1161">
        <v>2025</v>
      </c>
      <c r="D1161" t="s">
        <v>29</v>
      </c>
      <c r="E1161">
        <v>56352.74</v>
      </c>
      <c r="F1161">
        <v>82.9</v>
      </c>
      <c r="G1161">
        <v>297</v>
      </c>
      <c r="H1161">
        <v>312.39999999999998</v>
      </c>
      <c r="I1161">
        <v>2.74</v>
      </c>
      <c r="J1161">
        <v>200</v>
      </c>
      <c r="K1161">
        <v>305</v>
      </c>
      <c r="L1161">
        <v>299</v>
      </c>
      <c r="M1161" t="s">
        <v>30</v>
      </c>
      <c r="N1161">
        <v>7</v>
      </c>
      <c r="O1161" t="s">
        <v>31</v>
      </c>
      <c r="P1161">
        <v>63.9</v>
      </c>
      <c r="Q1161">
        <v>2480</v>
      </c>
      <c r="R1161">
        <v>4</v>
      </c>
      <c r="S1161">
        <v>3</v>
      </c>
      <c r="T1161" t="s">
        <v>47</v>
      </c>
      <c r="U1161" t="s">
        <v>42</v>
      </c>
      <c r="V1161">
        <v>197115</v>
      </c>
      <c r="W1161">
        <v>3.9</v>
      </c>
      <c r="X1161">
        <v>5</v>
      </c>
      <c r="Y1161" t="s">
        <v>34</v>
      </c>
      <c r="Z1161">
        <v>3.58</v>
      </c>
      <c r="AA1161" t="s">
        <v>35</v>
      </c>
    </row>
    <row r="1162" spans="1:27" x14ac:dyDescent="0.3">
      <c r="A1162" t="s">
        <v>58</v>
      </c>
      <c r="B1162" t="s">
        <v>70</v>
      </c>
      <c r="C1162">
        <v>2022</v>
      </c>
      <c r="D1162" t="s">
        <v>68</v>
      </c>
      <c r="E1162">
        <v>126403.53</v>
      </c>
      <c r="F1162">
        <v>64.900000000000006</v>
      </c>
      <c r="G1162">
        <v>225</v>
      </c>
      <c r="H1162">
        <v>136</v>
      </c>
      <c r="I1162">
        <v>7.73</v>
      </c>
      <c r="J1162">
        <v>137</v>
      </c>
      <c r="K1162">
        <v>706</v>
      </c>
      <c r="L1162">
        <v>626</v>
      </c>
      <c r="M1162" t="s">
        <v>39</v>
      </c>
      <c r="N1162">
        <v>7</v>
      </c>
      <c r="O1162" t="s">
        <v>40</v>
      </c>
      <c r="P1162">
        <v>42.5</v>
      </c>
      <c r="Q1162">
        <v>2048</v>
      </c>
      <c r="R1162">
        <v>4</v>
      </c>
      <c r="S1162">
        <v>1</v>
      </c>
      <c r="T1162" t="s">
        <v>32</v>
      </c>
      <c r="U1162" t="s">
        <v>33</v>
      </c>
      <c r="V1162">
        <v>37272</v>
      </c>
      <c r="W1162">
        <v>3.8</v>
      </c>
      <c r="X1162">
        <v>7</v>
      </c>
      <c r="Y1162" t="s">
        <v>61</v>
      </c>
      <c r="Z1162">
        <v>3.47</v>
      </c>
      <c r="AA1162" t="s">
        <v>35</v>
      </c>
    </row>
    <row r="1163" spans="1:27" x14ac:dyDescent="0.3">
      <c r="A1163" t="s">
        <v>52</v>
      </c>
      <c r="B1163" t="s">
        <v>53</v>
      </c>
      <c r="C1163">
        <v>2023</v>
      </c>
      <c r="D1163" t="s">
        <v>38</v>
      </c>
      <c r="E1163">
        <v>67810.929999999993</v>
      </c>
      <c r="F1163">
        <v>55.5</v>
      </c>
      <c r="G1163">
        <v>175</v>
      </c>
      <c r="H1163">
        <v>235.1</v>
      </c>
      <c r="I1163">
        <v>5.86</v>
      </c>
      <c r="J1163">
        <v>166</v>
      </c>
      <c r="K1163">
        <v>470</v>
      </c>
      <c r="L1163">
        <v>501</v>
      </c>
      <c r="M1163" t="s">
        <v>54</v>
      </c>
      <c r="N1163">
        <v>7</v>
      </c>
      <c r="O1163" t="s">
        <v>65</v>
      </c>
      <c r="P1163">
        <v>30.9</v>
      </c>
      <c r="Q1163">
        <v>1618</v>
      </c>
      <c r="R1163">
        <v>5</v>
      </c>
      <c r="S1163">
        <v>2</v>
      </c>
      <c r="T1163" t="s">
        <v>47</v>
      </c>
      <c r="U1163" t="s">
        <v>38</v>
      </c>
      <c r="V1163">
        <v>194039</v>
      </c>
      <c r="W1163">
        <v>3.6</v>
      </c>
      <c r="X1163">
        <v>4</v>
      </c>
      <c r="Y1163" t="s">
        <v>43</v>
      </c>
      <c r="Z1163">
        <v>3.15</v>
      </c>
      <c r="AA1163" t="s">
        <v>35</v>
      </c>
    </row>
    <row r="1164" spans="1:27" x14ac:dyDescent="0.3">
      <c r="A1164" t="s">
        <v>71</v>
      </c>
      <c r="B1164" t="s">
        <v>72</v>
      </c>
      <c r="C1164">
        <v>2022</v>
      </c>
      <c r="D1164" t="s">
        <v>50</v>
      </c>
      <c r="E1164">
        <v>53237.26</v>
      </c>
      <c r="F1164">
        <v>103</v>
      </c>
      <c r="G1164">
        <v>376</v>
      </c>
      <c r="H1164">
        <v>147.19999999999999</v>
      </c>
      <c r="I1164">
        <v>4.3</v>
      </c>
      <c r="J1164">
        <v>186</v>
      </c>
      <c r="K1164">
        <v>620</v>
      </c>
      <c r="L1164">
        <v>527</v>
      </c>
      <c r="M1164" t="s">
        <v>39</v>
      </c>
      <c r="N1164">
        <v>5</v>
      </c>
      <c r="O1164" t="s">
        <v>31</v>
      </c>
      <c r="P1164">
        <v>73.8</v>
      </c>
      <c r="Q1164">
        <v>2247</v>
      </c>
      <c r="R1164">
        <v>5</v>
      </c>
      <c r="S1164">
        <v>0</v>
      </c>
      <c r="T1164" t="s">
        <v>73</v>
      </c>
      <c r="U1164" t="s">
        <v>42</v>
      </c>
      <c r="V1164">
        <v>163016</v>
      </c>
      <c r="W1164">
        <v>3.8</v>
      </c>
      <c r="X1164">
        <v>3</v>
      </c>
      <c r="Y1164" t="s">
        <v>43</v>
      </c>
      <c r="Z1164">
        <v>3.65</v>
      </c>
      <c r="AA1164" t="s">
        <v>35</v>
      </c>
    </row>
    <row r="1165" spans="1:27" x14ac:dyDescent="0.3">
      <c r="A1165" t="s">
        <v>44</v>
      </c>
      <c r="B1165" t="s">
        <v>62</v>
      </c>
      <c r="C1165">
        <v>2025</v>
      </c>
      <c r="D1165" t="s">
        <v>63</v>
      </c>
      <c r="E1165">
        <v>63436.73</v>
      </c>
      <c r="F1165">
        <v>52.8</v>
      </c>
      <c r="G1165">
        <v>186</v>
      </c>
      <c r="H1165">
        <v>77.8</v>
      </c>
      <c r="I1165">
        <v>7.75</v>
      </c>
      <c r="J1165">
        <v>130</v>
      </c>
      <c r="K1165">
        <v>856</v>
      </c>
      <c r="L1165">
        <v>767</v>
      </c>
      <c r="M1165" t="s">
        <v>30</v>
      </c>
      <c r="N1165">
        <v>5</v>
      </c>
      <c r="O1165" t="s">
        <v>31</v>
      </c>
      <c r="P1165">
        <v>56</v>
      </c>
      <c r="Q1165">
        <v>2127</v>
      </c>
      <c r="R1165">
        <v>5</v>
      </c>
      <c r="S1165">
        <v>0</v>
      </c>
      <c r="T1165" t="s">
        <v>47</v>
      </c>
      <c r="U1165" t="s">
        <v>42</v>
      </c>
      <c r="V1165">
        <v>13397</v>
      </c>
      <c r="W1165">
        <v>3.5</v>
      </c>
      <c r="X1165">
        <v>4</v>
      </c>
      <c r="Y1165" t="s">
        <v>61</v>
      </c>
      <c r="Z1165">
        <v>3.52</v>
      </c>
      <c r="AA1165" t="s">
        <v>43</v>
      </c>
    </row>
    <row r="1166" spans="1:27" x14ac:dyDescent="0.3">
      <c r="A1166" t="s">
        <v>52</v>
      </c>
      <c r="B1166" t="s">
        <v>80</v>
      </c>
      <c r="C1166">
        <v>2024</v>
      </c>
      <c r="D1166" t="s">
        <v>68</v>
      </c>
      <c r="E1166">
        <v>101208.82</v>
      </c>
      <c r="F1166">
        <v>52.4</v>
      </c>
      <c r="G1166">
        <v>172</v>
      </c>
      <c r="H1166">
        <v>331.1</v>
      </c>
      <c r="I1166">
        <v>6.55</v>
      </c>
      <c r="J1166">
        <v>147</v>
      </c>
      <c r="K1166">
        <v>744</v>
      </c>
      <c r="L1166">
        <v>653</v>
      </c>
      <c r="M1166" t="s">
        <v>30</v>
      </c>
      <c r="N1166">
        <v>5</v>
      </c>
      <c r="O1166" t="s">
        <v>31</v>
      </c>
      <c r="P1166">
        <v>67</v>
      </c>
      <c r="Q1166">
        <v>2359</v>
      </c>
      <c r="R1166">
        <v>5</v>
      </c>
      <c r="S1166">
        <v>2</v>
      </c>
      <c r="T1166" t="s">
        <v>47</v>
      </c>
      <c r="U1166" t="s">
        <v>33</v>
      </c>
      <c r="V1166">
        <v>248389</v>
      </c>
      <c r="W1166">
        <v>3.6</v>
      </c>
      <c r="X1166">
        <v>5</v>
      </c>
      <c r="Y1166" t="s">
        <v>43</v>
      </c>
      <c r="Z1166">
        <v>3.28</v>
      </c>
      <c r="AA1166" t="s">
        <v>35</v>
      </c>
    </row>
    <row r="1167" spans="1:27" x14ac:dyDescent="0.3">
      <c r="A1167" t="s">
        <v>84</v>
      </c>
      <c r="B1167" t="s">
        <v>106</v>
      </c>
      <c r="C1167">
        <v>2023</v>
      </c>
      <c r="D1167" t="s">
        <v>68</v>
      </c>
      <c r="E1167">
        <v>37298.339999999997</v>
      </c>
      <c r="F1167">
        <v>72.7</v>
      </c>
      <c r="G1167">
        <v>262</v>
      </c>
      <c r="H1167">
        <v>80.099999999999994</v>
      </c>
      <c r="I1167">
        <v>6.53</v>
      </c>
      <c r="J1167">
        <v>154</v>
      </c>
      <c r="K1167">
        <v>244</v>
      </c>
      <c r="L1167">
        <v>225</v>
      </c>
      <c r="M1167" t="s">
        <v>54</v>
      </c>
      <c r="N1167">
        <v>5</v>
      </c>
      <c r="O1167" t="s">
        <v>40</v>
      </c>
      <c r="P1167">
        <v>65.900000000000006</v>
      </c>
      <c r="Q1167">
        <v>2136</v>
      </c>
      <c r="R1167">
        <v>4</v>
      </c>
      <c r="S1167">
        <v>0</v>
      </c>
      <c r="T1167" t="s">
        <v>47</v>
      </c>
      <c r="U1167" t="s">
        <v>42</v>
      </c>
      <c r="V1167">
        <v>60230</v>
      </c>
      <c r="W1167">
        <v>3.6</v>
      </c>
      <c r="X1167">
        <v>4</v>
      </c>
      <c r="Y1167" t="s">
        <v>43</v>
      </c>
      <c r="Z1167">
        <v>3.6</v>
      </c>
      <c r="AA1167" t="s">
        <v>35</v>
      </c>
    </row>
    <row r="1168" spans="1:27" x14ac:dyDescent="0.3">
      <c r="A1168" t="s">
        <v>58</v>
      </c>
      <c r="B1168" t="s">
        <v>105</v>
      </c>
      <c r="C1168">
        <v>2022</v>
      </c>
      <c r="D1168" t="s">
        <v>38</v>
      </c>
      <c r="E1168">
        <v>155446.31</v>
      </c>
      <c r="F1168">
        <v>72.7</v>
      </c>
      <c r="G1168">
        <v>265</v>
      </c>
      <c r="H1168">
        <v>130.30000000000001</v>
      </c>
      <c r="I1168">
        <v>5.37</v>
      </c>
      <c r="J1168">
        <v>175</v>
      </c>
      <c r="K1168">
        <v>987</v>
      </c>
      <c r="L1168">
        <v>922</v>
      </c>
      <c r="M1168" t="s">
        <v>39</v>
      </c>
      <c r="N1168">
        <v>5</v>
      </c>
      <c r="O1168" t="s">
        <v>65</v>
      </c>
      <c r="P1168">
        <v>23.7</v>
      </c>
      <c r="Q1168">
        <v>1500</v>
      </c>
      <c r="R1168">
        <v>5</v>
      </c>
      <c r="S1168">
        <v>2</v>
      </c>
      <c r="T1168" t="s">
        <v>32</v>
      </c>
      <c r="U1168" t="s">
        <v>33</v>
      </c>
      <c r="V1168">
        <v>41853</v>
      </c>
      <c r="W1168">
        <v>3.8</v>
      </c>
      <c r="X1168">
        <v>5</v>
      </c>
      <c r="Y1168" t="s">
        <v>43</v>
      </c>
      <c r="Z1168">
        <v>3.65</v>
      </c>
      <c r="AA1168" t="s">
        <v>35</v>
      </c>
    </row>
    <row r="1169" spans="1:27" x14ac:dyDescent="0.3">
      <c r="A1169" t="s">
        <v>76</v>
      </c>
      <c r="B1169" t="s">
        <v>114</v>
      </c>
      <c r="C1169">
        <v>2022</v>
      </c>
      <c r="D1169" t="s">
        <v>38</v>
      </c>
      <c r="E1169">
        <v>55487.47</v>
      </c>
      <c r="F1169">
        <v>41.2</v>
      </c>
      <c r="G1169">
        <v>154</v>
      </c>
      <c r="H1169">
        <v>148.9</v>
      </c>
      <c r="I1169">
        <v>5.04</v>
      </c>
      <c r="J1169">
        <v>169</v>
      </c>
      <c r="K1169">
        <v>606</v>
      </c>
      <c r="L1169">
        <v>541</v>
      </c>
      <c r="M1169" t="s">
        <v>30</v>
      </c>
      <c r="N1169">
        <v>5</v>
      </c>
      <c r="O1169" t="s">
        <v>65</v>
      </c>
      <c r="P1169">
        <v>26.6</v>
      </c>
      <c r="Q1169">
        <v>1768</v>
      </c>
      <c r="R1169">
        <v>3</v>
      </c>
      <c r="S1169">
        <v>0</v>
      </c>
      <c r="T1169" t="s">
        <v>51</v>
      </c>
      <c r="U1169" t="s">
        <v>42</v>
      </c>
      <c r="V1169">
        <v>52238</v>
      </c>
      <c r="W1169">
        <v>3.2</v>
      </c>
      <c r="X1169">
        <v>4</v>
      </c>
      <c r="Y1169" t="s">
        <v>43</v>
      </c>
      <c r="Z1169">
        <v>3.74</v>
      </c>
      <c r="AA1169" t="s">
        <v>35</v>
      </c>
    </row>
    <row r="1170" spans="1:27" x14ac:dyDescent="0.3">
      <c r="A1170" t="s">
        <v>52</v>
      </c>
      <c r="B1170" t="s">
        <v>53</v>
      </c>
      <c r="C1170">
        <v>2020</v>
      </c>
      <c r="D1170" t="s">
        <v>50</v>
      </c>
      <c r="E1170">
        <v>65735.100000000006</v>
      </c>
      <c r="F1170">
        <v>91.3</v>
      </c>
      <c r="G1170">
        <v>319</v>
      </c>
      <c r="H1170">
        <v>237.2</v>
      </c>
      <c r="I1170">
        <v>4.55</v>
      </c>
      <c r="J1170">
        <v>178</v>
      </c>
      <c r="K1170">
        <v>401</v>
      </c>
      <c r="L1170">
        <v>349</v>
      </c>
      <c r="M1170" t="s">
        <v>54</v>
      </c>
      <c r="N1170">
        <v>5</v>
      </c>
      <c r="O1170" t="s">
        <v>57</v>
      </c>
      <c r="P1170">
        <v>39</v>
      </c>
      <c r="Q1170">
        <v>1684</v>
      </c>
      <c r="R1170">
        <v>3</v>
      </c>
      <c r="S1170">
        <v>2</v>
      </c>
      <c r="T1170" t="s">
        <v>47</v>
      </c>
      <c r="U1170" t="s">
        <v>38</v>
      </c>
      <c r="V1170">
        <v>120134</v>
      </c>
      <c r="W1170">
        <v>4.0999999999999996</v>
      </c>
      <c r="X1170">
        <v>4</v>
      </c>
      <c r="Y1170" t="s">
        <v>43</v>
      </c>
      <c r="Z1170">
        <v>3.49</v>
      </c>
      <c r="AA1170" t="s">
        <v>35</v>
      </c>
    </row>
    <row r="1171" spans="1:27" x14ac:dyDescent="0.3">
      <c r="A1171" t="s">
        <v>71</v>
      </c>
      <c r="B1171" t="s">
        <v>72</v>
      </c>
      <c r="C1171">
        <v>2023</v>
      </c>
      <c r="D1171" t="s">
        <v>68</v>
      </c>
      <c r="E1171">
        <v>62912.21</v>
      </c>
      <c r="F1171">
        <v>54</v>
      </c>
      <c r="G1171">
        <v>188</v>
      </c>
      <c r="H1171">
        <v>64.2</v>
      </c>
      <c r="I1171">
        <v>7.65</v>
      </c>
      <c r="J1171">
        <v>142</v>
      </c>
      <c r="K1171">
        <v>724</v>
      </c>
      <c r="L1171">
        <v>621</v>
      </c>
      <c r="M1171" t="s">
        <v>30</v>
      </c>
      <c r="N1171">
        <v>5</v>
      </c>
      <c r="O1171" t="s">
        <v>56</v>
      </c>
      <c r="P1171">
        <v>25.4</v>
      </c>
      <c r="Q1171">
        <v>1783</v>
      </c>
      <c r="R1171">
        <v>5</v>
      </c>
      <c r="S1171">
        <v>1</v>
      </c>
      <c r="T1171" t="s">
        <v>73</v>
      </c>
      <c r="U1171" t="s">
        <v>42</v>
      </c>
      <c r="V1171">
        <v>196923</v>
      </c>
      <c r="W1171">
        <v>3.6</v>
      </c>
      <c r="X1171">
        <v>3</v>
      </c>
      <c r="Y1171" t="s">
        <v>61</v>
      </c>
      <c r="Z1171">
        <v>3.48</v>
      </c>
      <c r="AA1171" t="s">
        <v>35</v>
      </c>
    </row>
    <row r="1172" spans="1:27" x14ac:dyDescent="0.3">
      <c r="A1172" t="s">
        <v>48</v>
      </c>
      <c r="B1172" t="s">
        <v>79</v>
      </c>
      <c r="C1172">
        <v>2026</v>
      </c>
      <c r="D1172" t="s">
        <v>38</v>
      </c>
      <c r="E1172">
        <v>97174.66</v>
      </c>
      <c r="F1172">
        <v>65.2</v>
      </c>
      <c r="G1172">
        <v>227</v>
      </c>
      <c r="H1172">
        <v>142.1</v>
      </c>
      <c r="I1172">
        <v>6.85</v>
      </c>
      <c r="J1172">
        <v>140</v>
      </c>
      <c r="K1172">
        <v>1000</v>
      </c>
      <c r="L1172">
        <v>937</v>
      </c>
      <c r="M1172" t="s">
        <v>30</v>
      </c>
      <c r="N1172">
        <v>5</v>
      </c>
      <c r="O1172" t="s">
        <v>31</v>
      </c>
      <c r="P1172">
        <v>57.7</v>
      </c>
      <c r="Q1172">
        <v>2301</v>
      </c>
      <c r="R1172">
        <v>4</v>
      </c>
      <c r="S1172">
        <v>2</v>
      </c>
      <c r="T1172" t="s">
        <v>51</v>
      </c>
      <c r="U1172" t="s">
        <v>38</v>
      </c>
      <c r="V1172">
        <v>93712</v>
      </c>
      <c r="W1172">
        <v>3.1</v>
      </c>
      <c r="X1172">
        <v>4</v>
      </c>
      <c r="Y1172" t="s">
        <v>43</v>
      </c>
      <c r="Z1172">
        <v>3.48</v>
      </c>
      <c r="AA1172" t="s">
        <v>35</v>
      </c>
    </row>
    <row r="1173" spans="1:27" x14ac:dyDescent="0.3">
      <c r="A1173" t="s">
        <v>142</v>
      </c>
      <c r="B1173">
        <v>2</v>
      </c>
      <c r="C1173">
        <v>2020</v>
      </c>
      <c r="D1173" t="s">
        <v>63</v>
      </c>
      <c r="E1173">
        <v>82455.28</v>
      </c>
      <c r="F1173">
        <v>57.3</v>
      </c>
      <c r="G1173">
        <v>204</v>
      </c>
      <c r="H1173">
        <v>144.19999999999999</v>
      </c>
      <c r="I1173">
        <v>6.86</v>
      </c>
      <c r="J1173">
        <v>156</v>
      </c>
      <c r="K1173">
        <v>459</v>
      </c>
      <c r="L1173">
        <v>443</v>
      </c>
      <c r="M1173" t="s">
        <v>39</v>
      </c>
      <c r="N1173">
        <v>5</v>
      </c>
      <c r="O1173" t="s">
        <v>46</v>
      </c>
      <c r="P1173">
        <v>75.3</v>
      </c>
      <c r="Q1173">
        <v>1643</v>
      </c>
      <c r="R1173">
        <v>4</v>
      </c>
      <c r="S1173">
        <v>0</v>
      </c>
      <c r="T1173" t="s">
        <v>131</v>
      </c>
      <c r="U1173" t="s">
        <v>38</v>
      </c>
      <c r="V1173">
        <v>12945</v>
      </c>
      <c r="W1173">
        <v>3.4</v>
      </c>
      <c r="X1173">
        <v>3</v>
      </c>
      <c r="Y1173" t="s">
        <v>43</v>
      </c>
      <c r="Z1173">
        <v>3.56</v>
      </c>
      <c r="AA1173" t="s">
        <v>43</v>
      </c>
    </row>
    <row r="1174" spans="1:27" x14ac:dyDescent="0.3">
      <c r="A1174" t="s">
        <v>91</v>
      </c>
      <c r="B1174" t="s">
        <v>122</v>
      </c>
      <c r="C1174">
        <v>2025</v>
      </c>
      <c r="D1174" t="s">
        <v>63</v>
      </c>
      <c r="E1174">
        <v>84667.26</v>
      </c>
      <c r="F1174">
        <v>78.3</v>
      </c>
      <c r="G1174">
        <v>258</v>
      </c>
      <c r="H1174">
        <v>52.5</v>
      </c>
      <c r="I1174">
        <v>7.87</v>
      </c>
      <c r="J1174">
        <v>141</v>
      </c>
      <c r="K1174">
        <v>617</v>
      </c>
      <c r="L1174">
        <v>535</v>
      </c>
      <c r="M1174" t="s">
        <v>30</v>
      </c>
      <c r="N1174">
        <v>5</v>
      </c>
      <c r="O1174" t="s">
        <v>31</v>
      </c>
      <c r="P1174">
        <v>78.2</v>
      </c>
      <c r="Q1174">
        <v>2318</v>
      </c>
      <c r="R1174">
        <v>3</v>
      </c>
      <c r="S1174">
        <v>2</v>
      </c>
      <c r="T1174" t="s">
        <v>32</v>
      </c>
      <c r="U1174" t="s">
        <v>38</v>
      </c>
      <c r="V1174">
        <v>39763</v>
      </c>
      <c r="W1174">
        <v>3.3</v>
      </c>
      <c r="X1174">
        <v>6</v>
      </c>
      <c r="Y1174" t="s">
        <v>61</v>
      </c>
      <c r="Z1174">
        <v>3.3</v>
      </c>
      <c r="AA1174" t="s">
        <v>35</v>
      </c>
    </row>
    <row r="1175" spans="1:27" x14ac:dyDescent="0.3">
      <c r="A1175" t="s">
        <v>71</v>
      </c>
      <c r="B1175" t="s">
        <v>104</v>
      </c>
      <c r="C1175">
        <v>2024</v>
      </c>
      <c r="D1175" t="s">
        <v>68</v>
      </c>
      <c r="E1175">
        <v>57387.97</v>
      </c>
      <c r="F1175">
        <v>47.9</v>
      </c>
      <c r="G1175">
        <v>180</v>
      </c>
      <c r="H1175">
        <v>105.9</v>
      </c>
      <c r="I1175">
        <v>5.77</v>
      </c>
      <c r="J1175">
        <v>164</v>
      </c>
      <c r="K1175">
        <v>619</v>
      </c>
      <c r="L1175">
        <v>552</v>
      </c>
      <c r="M1175" t="s">
        <v>39</v>
      </c>
      <c r="N1175">
        <v>5</v>
      </c>
      <c r="O1175" t="s">
        <v>65</v>
      </c>
      <c r="P1175">
        <v>34.6</v>
      </c>
      <c r="Q1175">
        <v>1500</v>
      </c>
      <c r="R1175">
        <v>5</v>
      </c>
      <c r="S1175">
        <v>0</v>
      </c>
      <c r="T1175" t="s">
        <v>73</v>
      </c>
      <c r="U1175" t="s">
        <v>42</v>
      </c>
      <c r="V1175">
        <v>181198</v>
      </c>
      <c r="W1175">
        <v>3.3</v>
      </c>
      <c r="X1175">
        <v>4</v>
      </c>
      <c r="Y1175" t="s">
        <v>43</v>
      </c>
      <c r="Z1175">
        <v>3.76</v>
      </c>
      <c r="AA1175" t="s">
        <v>35</v>
      </c>
    </row>
    <row r="1176" spans="1:27" x14ac:dyDescent="0.3">
      <c r="A1176" t="s">
        <v>91</v>
      </c>
      <c r="B1176" t="s">
        <v>112</v>
      </c>
      <c r="C1176">
        <v>2025</v>
      </c>
      <c r="D1176" t="s">
        <v>68</v>
      </c>
      <c r="E1176">
        <v>92031.99</v>
      </c>
      <c r="F1176">
        <v>74.599999999999994</v>
      </c>
      <c r="G1176">
        <v>257</v>
      </c>
      <c r="H1176">
        <v>115</v>
      </c>
      <c r="I1176">
        <v>5.41</v>
      </c>
      <c r="J1176">
        <v>166</v>
      </c>
      <c r="K1176">
        <v>698</v>
      </c>
      <c r="L1176">
        <v>633</v>
      </c>
      <c r="M1176" t="s">
        <v>39</v>
      </c>
      <c r="N1176">
        <v>7</v>
      </c>
      <c r="O1176" t="s">
        <v>65</v>
      </c>
      <c r="P1176">
        <v>35.1</v>
      </c>
      <c r="Q1176">
        <v>1684</v>
      </c>
      <c r="R1176">
        <v>5</v>
      </c>
      <c r="S1176">
        <v>1</v>
      </c>
      <c r="T1176" t="s">
        <v>32</v>
      </c>
      <c r="U1176" t="s">
        <v>38</v>
      </c>
      <c r="V1176">
        <v>29936</v>
      </c>
      <c r="W1176">
        <v>3.7</v>
      </c>
      <c r="X1176">
        <v>7</v>
      </c>
      <c r="Y1176" t="s">
        <v>43</v>
      </c>
      <c r="Z1176">
        <v>3.45</v>
      </c>
      <c r="AA1176" t="s">
        <v>35</v>
      </c>
    </row>
    <row r="1177" spans="1:27" x14ac:dyDescent="0.3">
      <c r="A1177" t="s">
        <v>48</v>
      </c>
      <c r="B1177" t="s">
        <v>123</v>
      </c>
      <c r="C1177">
        <v>2024</v>
      </c>
      <c r="D1177" t="s">
        <v>63</v>
      </c>
      <c r="E1177">
        <v>72870.48</v>
      </c>
      <c r="F1177">
        <v>81.7</v>
      </c>
      <c r="G1177">
        <v>288</v>
      </c>
      <c r="H1177">
        <v>119.2</v>
      </c>
      <c r="I1177">
        <v>5.28</v>
      </c>
      <c r="J1177">
        <v>174</v>
      </c>
      <c r="K1177">
        <v>819</v>
      </c>
      <c r="L1177">
        <v>756</v>
      </c>
      <c r="M1177" t="s">
        <v>54</v>
      </c>
      <c r="N1177">
        <v>7</v>
      </c>
      <c r="O1177" t="s">
        <v>31</v>
      </c>
      <c r="P1177">
        <v>59.5</v>
      </c>
      <c r="Q1177">
        <v>2444</v>
      </c>
      <c r="R1177">
        <v>5</v>
      </c>
      <c r="S1177">
        <v>1</v>
      </c>
      <c r="T1177" t="s">
        <v>51</v>
      </c>
      <c r="U1177" t="s">
        <v>38</v>
      </c>
      <c r="V1177">
        <v>68801</v>
      </c>
      <c r="W1177">
        <v>3.5</v>
      </c>
      <c r="X1177">
        <v>3</v>
      </c>
      <c r="Y1177" t="s">
        <v>43</v>
      </c>
      <c r="Z1177">
        <v>3.53</v>
      </c>
      <c r="AA1177" t="s">
        <v>35</v>
      </c>
    </row>
    <row r="1178" spans="1:27" x14ac:dyDescent="0.3">
      <c r="A1178" t="s">
        <v>84</v>
      </c>
      <c r="B1178" t="s">
        <v>106</v>
      </c>
      <c r="C1178">
        <v>2025</v>
      </c>
      <c r="D1178" t="s">
        <v>38</v>
      </c>
      <c r="E1178">
        <v>66422.789999999994</v>
      </c>
      <c r="F1178">
        <v>77.900000000000006</v>
      </c>
      <c r="G1178">
        <v>263</v>
      </c>
      <c r="H1178">
        <v>69.3</v>
      </c>
      <c r="I1178">
        <v>7.26</v>
      </c>
      <c r="J1178">
        <v>149</v>
      </c>
      <c r="K1178">
        <v>730</v>
      </c>
      <c r="L1178">
        <v>659</v>
      </c>
      <c r="M1178" t="s">
        <v>30</v>
      </c>
      <c r="N1178">
        <v>5</v>
      </c>
      <c r="O1178" t="s">
        <v>46</v>
      </c>
      <c r="P1178">
        <v>75.900000000000006</v>
      </c>
      <c r="Q1178">
        <v>1938</v>
      </c>
      <c r="R1178">
        <v>5</v>
      </c>
      <c r="S1178">
        <v>1</v>
      </c>
      <c r="T1178" t="s">
        <v>47</v>
      </c>
      <c r="U1178" t="s">
        <v>38</v>
      </c>
      <c r="V1178">
        <v>56669</v>
      </c>
      <c r="W1178">
        <v>3.7</v>
      </c>
      <c r="X1178">
        <v>4</v>
      </c>
      <c r="Y1178" t="s">
        <v>61</v>
      </c>
      <c r="Z1178">
        <v>3.38</v>
      </c>
      <c r="AA1178" t="s">
        <v>35</v>
      </c>
    </row>
    <row r="1179" spans="1:27" x14ac:dyDescent="0.3">
      <c r="A1179" t="s">
        <v>52</v>
      </c>
      <c r="B1179" t="s">
        <v>80</v>
      </c>
      <c r="C1179">
        <v>2025</v>
      </c>
      <c r="D1179" t="s">
        <v>38</v>
      </c>
      <c r="E1179">
        <v>52220.2</v>
      </c>
      <c r="F1179">
        <v>69.099999999999994</v>
      </c>
      <c r="G1179">
        <v>211</v>
      </c>
      <c r="H1179">
        <v>249.5</v>
      </c>
      <c r="I1179">
        <v>5.55</v>
      </c>
      <c r="J1179">
        <v>172</v>
      </c>
      <c r="K1179">
        <v>345</v>
      </c>
      <c r="L1179">
        <v>283</v>
      </c>
      <c r="M1179" t="s">
        <v>30</v>
      </c>
      <c r="N1179">
        <v>5</v>
      </c>
      <c r="O1179" t="s">
        <v>31</v>
      </c>
      <c r="P1179">
        <v>68</v>
      </c>
      <c r="Q1179">
        <v>2532</v>
      </c>
      <c r="R1179">
        <v>5</v>
      </c>
      <c r="S1179">
        <v>2</v>
      </c>
      <c r="T1179" t="s">
        <v>47</v>
      </c>
      <c r="U1179" t="s">
        <v>42</v>
      </c>
      <c r="V1179">
        <v>119997</v>
      </c>
      <c r="W1179">
        <v>3.8</v>
      </c>
      <c r="X1179">
        <v>5</v>
      </c>
      <c r="Y1179" t="s">
        <v>43</v>
      </c>
      <c r="Z1179">
        <v>3.05</v>
      </c>
      <c r="AA1179" t="s">
        <v>35</v>
      </c>
    </row>
    <row r="1180" spans="1:27" x14ac:dyDescent="0.3">
      <c r="A1180" t="s">
        <v>44</v>
      </c>
      <c r="B1180" t="s">
        <v>110</v>
      </c>
      <c r="C1180">
        <v>2025</v>
      </c>
      <c r="D1180" t="s">
        <v>50</v>
      </c>
      <c r="E1180">
        <v>84366.720000000001</v>
      </c>
      <c r="F1180">
        <v>76.7</v>
      </c>
      <c r="G1180">
        <v>244</v>
      </c>
      <c r="H1180">
        <v>139.4</v>
      </c>
      <c r="I1180">
        <v>4.1900000000000004</v>
      </c>
      <c r="J1180">
        <v>185</v>
      </c>
      <c r="K1180">
        <v>1000</v>
      </c>
      <c r="L1180">
        <v>852</v>
      </c>
      <c r="M1180" t="s">
        <v>54</v>
      </c>
      <c r="N1180">
        <v>5</v>
      </c>
      <c r="O1180" t="s">
        <v>40</v>
      </c>
      <c r="P1180">
        <v>57.6</v>
      </c>
      <c r="Q1180">
        <v>2312</v>
      </c>
      <c r="R1180">
        <v>4</v>
      </c>
      <c r="S1180">
        <v>0</v>
      </c>
      <c r="T1180" t="s">
        <v>47</v>
      </c>
      <c r="U1180" t="s">
        <v>38</v>
      </c>
      <c r="V1180">
        <v>6773</v>
      </c>
      <c r="W1180">
        <v>3.6</v>
      </c>
      <c r="X1180">
        <v>4</v>
      </c>
      <c r="Y1180" t="s">
        <v>43</v>
      </c>
      <c r="Z1180">
        <v>3.18</v>
      </c>
      <c r="AA1180" t="s">
        <v>43</v>
      </c>
    </row>
    <row r="1181" spans="1:27" x14ac:dyDescent="0.3">
      <c r="A1181" t="s">
        <v>48</v>
      </c>
      <c r="B1181" t="s">
        <v>88</v>
      </c>
      <c r="C1181">
        <v>2025</v>
      </c>
      <c r="D1181" t="s">
        <v>50</v>
      </c>
      <c r="E1181">
        <v>93514.06</v>
      </c>
      <c r="F1181">
        <v>80.2</v>
      </c>
      <c r="G1181">
        <v>278</v>
      </c>
      <c r="H1181">
        <v>88</v>
      </c>
      <c r="I1181">
        <v>4.93</v>
      </c>
      <c r="J1181">
        <v>179</v>
      </c>
      <c r="K1181">
        <v>1000</v>
      </c>
      <c r="L1181">
        <v>929</v>
      </c>
      <c r="M1181" t="s">
        <v>39</v>
      </c>
      <c r="N1181">
        <v>5</v>
      </c>
      <c r="O1181" t="s">
        <v>40</v>
      </c>
      <c r="P1181">
        <v>36.1</v>
      </c>
      <c r="Q1181">
        <v>1814</v>
      </c>
      <c r="R1181">
        <v>5</v>
      </c>
      <c r="S1181">
        <v>1</v>
      </c>
      <c r="T1181" t="s">
        <v>51</v>
      </c>
      <c r="U1181" t="s">
        <v>38</v>
      </c>
      <c r="V1181">
        <v>120989</v>
      </c>
      <c r="W1181">
        <v>3.3</v>
      </c>
      <c r="X1181">
        <v>4</v>
      </c>
      <c r="Y1181" t="s">
        <v>43</v>
      </c>
      <c r="Z1181">
        <v>3.47</v>
      </c>
      <c r="AA1181" t="s">
        <v>35</v>
      </c>
    </row>
    <row r="1182" spans="1:27" x14ac:dyDescent="0.3">
      <c r="A1182" t="s">
        <v>36</v>
      </c>
      <c r="B1182" t="s">
        <v>37</v>
      </c>
      <c r="C1182">
        <v>2020</v>
      </c>
      <c r="D1182" t="s">
        <v>63</v>
      </c>
      <c r="E1182">
        <v>30416.52</v>
      </c>
      <c r="F1182">
        <v>72.2</v>
      </c>
      <c r="G1182">
        <v>257</v>
      </c>
      <c r="H1182">
        <v>102.7</v>
      </c>
      <c r="I1182">
        <v>6.31</v>
      </c>
      <c r="J1182">
        <v>153</v>
      </c>
      <c r="K1182">
        <v>150</v>
      </c>
      <c r="L1182">
        <v>200</v>
      </c>
      <c r="M1182" t="s">
        <v>54</v>
      </c>
      <c r="N1182">
        <v>5</v>
      </c>
      <c r="O1182" t="s">
        <v>40</v>
      </c>
      <c r="P1182">
        <v>44.1</v>
      </c>
      <c r="Q1182">
        <v>2421</v>
      </c>
      <c r="R1182">
        <v>4</v>
      </c>
      <c r="S1182">
        <v>2</v>
      </c>
      <c r="T1182" t="s">
        <v>41</v>
      </c>
      <c r="U1182" t="s">
        <v>74</v>
      </c>
      <c r="V1182">
        <v>15941</v>
      </c>
      <c r="W1182">
        <v>3.5</v>
      </c>
      <c r="X1182">
        <v>3</v>
      </c>
      <c r="Y1182" t="s">
        <v>43</v>
      </c>
      <c r="Z1182">
        <v>3.56</v>
      </c>
      <c r="AA1182" t="s">
        <v>43</v>
      </c>
    </row>
    <row r="1183" spans="1:27" x14ac:dyDescent="0.3">
      <c r="A1183" t="s">
        <v>71</v>
      </c>
      <c r="B1183" t="s">
        <v>72</v>
      </c>
      <c r="C1183">
        <v>2021</v>
      </c>
      <c r="D1183" t="s">
        <v>29</v>
      </c>
      <c r="E1183">
        <v>106411.54</v>
      </c>
      <c r="F1183">
        <v>95.1</v>
      </c>
      <c r="G1183">
        <v>346</v>
      </c>
      <c r="H1183">
        <v>156.69999999999999</v>
      </c>
      <c r="I1183">
        <v>2.82</v>
      </c>
      <c r="J1183">
        <v>200</v>
      </c>
      <c r="K1183">
        <v>1000</v>
      </c>
      <c r="L1183">
        <v>828</v>
      </c>
      <c r="M1183" t="s">
        <v>54</v>
      </c>
      <c r="N1183">
        <v>7</v>
      </c>
      <c r="O1183" t="s">
        <v>46</v>
      </c>
      <c r="P1183">
        <v>78.400000000000006</v>
      </c>
      <c r="Q1183">
        <v>1515</v>
      </c>
      <c r="R1183">
        <v>5</v>
      </c>
      <c r="S1183">
        <v>1</v>
      </c>
      <c r="T1183" t="s">
        <v>73</v>
      </c>
      <c r="U1183" t="s">
        <v>33</v>
      </c>
      <c r="V1183">
        <v>180190</v>
      </c>
      <c r="W1183">
        <v>3.6</v>
      </c>
      <c r="X1183">
        <v>3</v>
      </c>
      <c r="Y1183" t="s">
        <v>34</v>
      </c>
      <c r="Z1183">
        <v>3.64</v>
      </c>
      <c r="AA1183" t="s">
        <v>35</v>
      </c>
    </row>
    <row r="1184" spans="1:27" x14ac:dyDescent="0.3">
      <c r="A1184" t="s">
        <v>91</v>
      </c>
      <c r="B1184" t="s">
        <v>112</v>
      </c>
      <c r="C1184">
        <v>2026</v>
      </c>
      <c r="D1184" t="s">
        <v>50</v>
      </c>
      <c r="E1184">
        <v>81773.509999999995</v>
      </c>
      <c r="F1184">
        <v>75.7</v>
      </c>
      <c r="G1184">
        <v>277</v>
      </c>
      <c r="H1184">
        <v>141.19999999999999</v>
      </c>
      <c r="I1184">
        <v>4.1900000000000004</v>
      </c>
      <c r="J1184">
        <v>182</v>
      </c>
      <c r="K1184">
        <v>629</v>
      </c>
      <c r="L1184">
        <v>581</v>
      </c>
      <c r="M1184" t="s">
        <v>30</v>
      </c>
      <c r="N1184">
        <v>5</v>
      </c>
      <c r="O1184" t="s">
        <v>31</v>
      </c>
      <c r="P1184">
        <v>70.8</v>
      </c>
      <c r="Q1184">
        <v>2691</v>
      </c>
      <c r="R1184">
        <v>5</v>
      </c>
      <c r="S1184">
        <v>2</v>
      </c>
      <c r="T1184" t="s">
        <v>32</v>
      </c>
      <c r="U1184" t="s">
        <v>38</v>
      </c>
      <c r="V1184">
        <v>38573</v>
      </c>
      <c r="W1184">
        <v>3.5</v>
      </c>
      <c r="X1184">
        <v>6</v>
      </c>
      <c r="Y1184" t="s">
        <v>43</v>
      </c>
      <c r="Z1184">
        <v>3.66</v>
      </c>
      <c r="AA1184" t="s">
        <v>35</v>
      </c>
    </row>
    <row r="1185" spans="1:27" x14ac:dyDescent="0.3">
      <c r="A1185" t="s">
        <v>102</v>
      </c>
      <c r="B1185" t="s">
        <v>141</v>
      </c>
      <c r="C1185">
        <v>2021</v>
      </c>
      <c r="D1185" t="s">
        <v>68</v>
      </c>
      <c r="E1185">
        <v>75009.919999999998</v>
      </c>
      <c r="F1185">
        <v>69.099999999999994</v>
      </c>
      <c r="G1185">
        <v>263</v>
      </c>
      <c r="H1185">
        <v>61.6</v>
      </c>
      <c r="I1185">
        <v>7.15</v>
      </c>
      <c r="J1185">
        <v>141</v>
      </c>
      <c r="K1185">
        <v>448</v>
      </c>
      <c r="L1185">
        <v>384</v>
      </c>
      <c r="M1185" t="s">
        <v>39</v>
      </c>
      <c r="N1185">
        <v>4</v>
      </c>
      <c r="O1185" t="s">
        <v>31</v>
      </c>
      <c r="P1185">
        <v>53.8</v>
      </c>
      <c r="Q1185">
        <v>2477</v>
      </c>
      <c r="R1185">
        <v>5</v>
      </c>
      <c r="S1185">
        <v>1</v>
      </c>
      <c r="T1185" t="s">
        <v>47</v>
      </c>
      <c r="U1185" t="s">
        <v>38</v>
      </c>
      <c r="V1185">
        <v>1899</v>
      </c>
      <c r="W1185">
        <v>3.6</v>
      </c>
      <c r="X1185">
        <v>4</v>
      </c>
      <c r="Y1185" t="s">
        <v>61</v>
      </c>
      <c r="Z1185">
        <v>3.81</v>
      </c>
      <c r="AA1185" t="s">
        <v>69</v>
      </c>
    </row>
    <row r="1186" spans="1:27" x14ac:dyDescent="0.3">
      <c r="A1186" t="s">
        <v>52</v>
      </c>
      <c r="B1186" t="s">
        <v>64</v>
      </c>
      <c r="C1186">
        <v>2025</v>
      </c>
      <c r="D1186" t="s">
        <v>68</v>
      </c>
      <c r="E1186">
        <v>67256.69</v>
      </c>
      <c r="F1186">
        <v>74.099999999999994</v>
      </c>
      <c r="G1186">
        <v>249</v>
      </c>
      <c r="H1186">
        <v>238.6</v>
      </c>
      <c r="I1186">
        <v>6.16</v>
      </c>
      <c r="J1186">
        <v>156</v>
      </c>
      <c r="K1186">
        <v>471</v>
      </c>
      <c r="L1186">
        <v>404</v>
      </c>
      <c r="M1186" t="s">
        <v>54</v>
      </c>
      <c r="N1186">
        <v>5</v>
      </c>
      <c r="O1186" t="s">
        <v>31</v>
      </c>
      <c r="P1186">
        <v>57.7</v>
      </c>
      <c r="Q1186">
        <v>2729</v>
      </c>
      <c r="R1186">
        <v>5</v>
      </c>
      <c r="S1186">
        <v>3</v>
      </c>
      <c r="T1186" t="s">
        <v>47</v>
      </c>
      <c r="U1186" t="s">
        <v>38</v>
      </c>
      <c r="V1186">
        <v>149284</v>
      </c>
      <c r="W1186">
        <v>3.8</v>
      </c>
      <c r="X1186">
        <v>5</v>
      </c>
      <c r="Y1186" t="s">
        <v>43</v>
      </c>
      <c r="Z1186">
        <v>3.36</v>
      </c>
      <c r="AA1186" t="s">
        <v>35</v>
      </c>
    </row>
    <row r="1187" spans="1:27" x14ac:dyDescent="0.3">
      <c r="A1187" t="s">
        <v>100</v>
      </c>
      <c r="B1187" t="s">
        <v>127</v>
      </c>
      <c r="C1187">
        <v>2025</v>
      </c>
      <c r="D1187" t="s">
        <v>68</v>
      </c>
      <c r="E1187">
        <v>65308.05</v>
      </c>
      <c r="F1187">
        <v>45.9</v>
      </c>
      <c r="G1187">
        <v>171</v>
      </c>
      <c r="H1187">
        <v>55.2</v>
      </c>
      <c r="I1187">
        <v>5.82</v>
      </c>
      <c r="J1187">
        <v>156</v>
      </c>
      <c r="K1187">
        <v>469</v>
      </c>
      <c r="L1187">
        <v>405</v>
      </c>
      <c r="M1187" t="s">
        <v>39</v>
      </c>
      <c r="N1187">
        <v>7</v>
      </c>
      <c r="O1187" t="s">
        <v>65</v>
      </c>
      <c r="P1187">
        <v>32.1</v>
      </c>
      <c r="Q1187">
        <v>1784</v>
      </c>
      <c r="R1187">
        <v>5</v>
      </c>
      <c r="S1187">
        <v>0</v>
      </c>
      <c r="T1187" t="s">
        <v>73</v>
      </c>
      <c r="U1187" t="s">
        <v>38</v>
      </c>
      <c r="V1187">
        <v>19253</v>
      </c>
      <c r="W1187">
        <v>3</v>
      </c>
      <c r="X1187">
        <v>4</v>
      </c>
      <c r="Y1187" t="s">
        <v>43</v>
      </c>
      <c r="Z1187">
        <v>3.73</v>
      </c>
      <c r="AA1187" t="s">
        <v>43</v>
      </c>
    </row>
    <row r="1188" spans="1:27" x14ac:dyDescent="0.3">
      <c r="A1188" t="s">
        <v>91</v>
      </c>
      <c r="B1188" t="s">
        <v>124</v>
      </c>
      <c r="C1188">
        <v>2023</v>
      </c>
      <c r="D1188" t="s">
        <v>63</v>
      </c>
      <c r="E1188">
        <v>63735.58</v>
      </c>
      <c r="F1188">
        <v>75.400000000000006</v>
      </c>
      <c r="G1188">
        <v>276</v>
      </c>
      <c r="H1188">
        <v>140.1</v>
      </c>
      <c r="I1188">
        <v>6.05</v>
      </c>
      <c r="J1188">
        <v>154</v>
      </c>
      <c r="K1188">
        <v>308</v>
      </c>
      <c r="L1188">
        <v>308</v>
      </c>
      <c r="M1188" t="s">
        <v>39</v>
      </c>
      <c r="N1188">
        <v>5</v>
      </c>
      <c r="O1188" t="s">
        <v>65</v>
      </c>
      <c r="P1188">
        <v>20.9</v>
      </c>
      <c r="Q1188">
        <v>1500</v>
      </c>
      <c r="R1188">
        <v>5</v>
      </c>
      <c r="S1188">
        <v>2</v>
      </c>
      <c r="T1188" t="s">
        <v>32</v>
      </c>
      <c r="U1188" t="s">
        <v>42</v>
      </c>
      <c r="V1188">
        <v>28907</v>
      </c>
      <c r="W1188">
        <v>3.4</v>
      </c>
      <c r="X1188">
        <v>7</v>
      </c>
      <c r="Y1188" t="s">
        <v>43</v>
      </c>
      <c r="Z1188">
        <v>3.66</v>
      </c>
      <c r="AA1188" t="s">
        <v>35</v>
      </c>
    </row>
    <row r="1189" spans="1:27" x14ac:dyDescent="0.3">
      <c r="A1189" t="s">
        <v>52</v>
      </c>
      <c r="B1189" t="s">
        <v>55</v>
      </c>
      <c r="C1189">
        <v>2025</v>
      </c>
      <c r="D1189" t="s">
        <v>38</v>
      </c>
      <c r="E1189">
        <v>154034.20000000001</v>
      </c>
      <c r="F1189">
        <v>80.599999999999994</v>
      </c>
      <c r="G1189">
        <v>277</v>
      </c>
      <c r="H1189">
        <v>349.9</v>
      </c>
      <c r="I1189">
        <v>7.02</v>
      </c>
      <c r="J1189">
        <v>146</v>
      </c>
      <c r="K1189">
        <v>1000</v>
      </c>
      <c r="L1189">
        <v>900</v>
      </c>
      <c r="M1189" t="s">
        <v>54</v>
      </c>
      <c r="N1189">
        <v>7</v>
      </c>
      <c r="O1189" t="s">
        <v>56</v>
      </c>
      <c r="P1189">
        <v>36.299999999999997</v>
      </c>
      <c r="Q1189">
        <v>1611</v>
      </c>
      <c r="R1189">
        <v>5</v>
      </c>
      <c r="S1189">
        <v>2</v>
      </c>
      <c r="T1189" t="s">
        <v>47</v>
      </c>
      <c r="U1189" t="s">
        <v>33</v>
      </c>
      <c r="V1189">
        <v>428866</v>
      </c>
      <c r="W1189">
        <v>3.7</v>
      </c>
      <c r="X1189">
        <v>6</v>
      </c>
      <c r="Y1189" t="s">
        <v>61</v>
      </c>
      <c r="Z1189">
        <v>3.44</v>
      </c>
      <c r="AA1189" t="s">
        <v>35</v>
      </c>
    </row>
    <row r="1190" spans="1:27" x14ac:dyDescent="0.3">
      <c r="A1190" t="s">
        <v>71</v>
      </c>
      <c r="B1190" t="s">
        <v>72</v>
      </c>
      <c r="C1190">
        <v>2025</v>
      </c>
      <c r="D1190" t="s">
        <v>68</v>
      </c>
      <c r="E1190">
        <v>26964.92</v>
      </c>
      <c r="F1190">
        <v>56.1</v>
      </c>
      <c r="G1190">
        <v>166</v>
      </c>
      <c r="H1190">
        <v>80.900000000000006</v>
      </c>
      <c r="I1190">
        <v>5.84</v>
      </c>
      <c r="J1190">
        <v>165</v>
      </c>
      <c r="K1190">
        <v>274</v>
      </c>
      <c r="L1190">
        <v>233</v>
      </c>
      <c r="M1190" t="s">
        <v>54</v>
      </c>
      <c r="N1190">
        <v>7</v>
      </c>
      <c r="O1190" t="s">
        <v>46</v>
      </c>
      <c r="P1190">
        <v>68.900000000000006</v>
      </c>
      <c r="Q1190">
        <v>1750</v>
      </c>
      <c r="R1190">
        <v>5</v>
      </c>
      <c r="S1190">
        <v>0</v>
      </c>
      <c r="T1190" t="s">
        <v>73</v>
      </c>
      <c r="U1190" t="s">
        <v>74</v>
      </c>
      <c r="V1190">
        <v>131090</v>
      </c>
      <c r="W1190">
        <v>3.3</v>
      </c>
      <c r="X1190">
        <v>3</v>
      </c>
      <c r="Y1190" t="s">
        <v>43</v>
      </c>
      <c r="Z1190">
        <v>2.96</v>
      </c>
      <c r="AA1190" t="s">
        <v>35</v>
      </c>
    </row>
    <row r="1191" spans="1:27" x14ac:dyDescent="0.3">
      <c r="A1191" t="s">
        <v>44</v>
      </c>
      <c r="B1191" t="s">
        <v>109</v>
      </c>
      <c r="C1191">
        <v>2024</v>
      </c>
      <c r="D1191" t="s">
        <v>50</v>
      </c>
      <c r="E1191">
        <v>61730.85</v>
      </c>
      <c r="F1191">
        <v>78.599999999999994</v>
      </c>
      <c r="G1191">
        <v>279</v>
      </c>
      <c r="H1191">
        <v>142.9</v>
      </c>
      <c r="I1191">
        <v>4.4000000000000004</v>
      </c>
      <c r="J1191">
        <v>183</v>
      </c>
      <c r="K1191">
        <v>863</v>
      </c>
      <c r="L1191">
        <v>773</v>
      </c>
      <c r="M1191" t="s">
        <v>39</v>
      </c>
      <c r="N1191">
        <v>5</v>
      </c>
      <c r="O1191" t="s">
        <v>57</v>
      </c>
      <c r="P1191">
        <v>30.1</v>
      </c>
      <c r="Q1191">
        <v>1597</v>
      </c>
      <c r="R1191">
        <v>5</v>
      </c>
      <c r="S1191">
        <v>2</v>
      </c>
      <c r="T1191" t="s">
        <v>47</v>
      </c>
      <c r="U1191" t="s">
        <v>42</v>
      </c>
      <c r="V1191">
        <v>10777</v>
      </c>
      <c r="W1191">
        <v>3.8</v>
      </c>
      <c r="X1191">
        <v>4</v>
      </c>
      <c r="Y1191" t="s">
        <v>43</v>
      </c>
      <c r="Z1191">
        <v>3.55</v>
      </c>
      <c r="AA1191" t="s">
        <v>43</v>
      </c>
    </row>
    <row r="1192" spans="1:27" x14ac:dyDescent="0.3">
      <c r="A1192" t="s">
        <v>52</v>
      </c>
      <c r="B1192" t="s">
        <v>53</v>
      </c>
      <c r="C1192">
        <v>2024</v>
      </c>
      <c r="D1192" t="s">
        <v>63</v>
      </c>
      <c r="E1192">
        <v>88042.89</v>
      </c>
      <c r="F1192">
        <v>46.2</v>
      </c>
      <c r="G1192">
        <v>164</v>
      </c>
      <c r="H1192">
        <v>328.9</v>
      </c>
      <c r="I1192">
        <v>7.69</v>
      </c>
      <c r="J1192">
        <v>138</v>
      </c>
      <c r="K1192">
        <v>687</v>
      </c>
      <c r="L1192">
        <v>636</v>
      </c>
      <c r="M1192" t="s">
        <v>39</v>
      </c>
      <c r="N1192">
        <v>5</v>
      </c>
      <c r="O1192" t="s">
        <v>65</v>
      </c>
      <c r="P1192">
        <v>19.7</v>
      </c>
      <c r="Q1192">
        <v>1735</v>
      </c>
      <c r="R1192">
        <v>3</v>
      </c>
      <c r="S1192">
        <v>2</v>
      </c>
      <c r="T1192" t="s">
        <v>47</v>
      </c>
      <c r="U1192" t="s">
        <v>38</v>
      </c>
      <c r="V1192">
        <v>108761</v>
      </c>
      <c r="W1192">
        <v>3.4</v>
      </c>
      <c r="X1192">
        <v>5</v>
      </c>
      <c r="Y1192" t="s">
        <v>61</v>
      </c>
      <c r="Z1192">
        <v>3.55</v>
      </c>
      <c r="AA1192" t="s">
        <v>35</v>
      </c>
    </row>
    <row r="1193" spans="1:27" x14ac:dyDescent="0.3">
      <c r="A1193" t="s">
        <v>48</v>
      </c>
      <c r="B1193" t="s">
        <v>88</v>
      </c>
      <c r="C1193">
        <v>2025</v>
      </c>
      <c r="D1193" t="s">
        <v>50</v>
      </c>
      <c r="E1193">
        <v>74000.570000000007</v>
      </c>
      <c r="F1193">
        <v>102.9</v>
      </c>
      <c r="G1193">
        <v>371</v>
      </c>
      <c r="H1193">
        <v>128.30000000000001</v>
      </c>
      <c r="I1193">
        <v>4.2699999999999996</v>
      </c>
      <c r="J1193">
        <v>187</v>
      </c>
      <c r="K1193">
        <v>864</v>
      </c>
      <c r="L1193">
        <v>705</v>
      </c>
      <c r="M1193" t="s">
        <v>54</v>
      </c>
      <c r="N1193">
        <v>5</v>
      </c>
      <c r="O1193" t="s">
        <v>40</v>
      </c>
      <c r="P1193">
        <v>62.3</v>
      </c>
      <c r="Q1193">
        <v>1873</v>
      </c>
      <c r="R1193">
        <v>5</v>
      </c>
      <c r="S1193">
        <v>0</v>
      </c>
      <c r="T1193" t="s">
        <v>51</v>
      </c>
      <c r="U1193" t="s">
        <v>38</v>
      </c>
      <c r="V1193">
        <v>137133</v>
      </c>
      <c r="W1193">
        <v>3.7</v>
      </c>
      <c r="X1193">
        <v>3</v>
      </c>
      <c r="Y1193" t="s">
        <v>43</v>
      </c>
      <c r="Z1193">
        <v>3.61</v>
      </c>
      <c r="AA1193" t="s">
        <v>35</v>
      </c>
    </row>
    <row r="1194" spans="1:27" x14ac:dyDescent="0.3">
      <c r="A1194" t="s">
        <v>71</v>
      </c>
      <c r="B1194" t="s">
        <v>75</v>
      </c>
      <c r="C1194">
        <v>2025</v>
      </c>
      <c r="D1194" t="s">
        <v>38</v>
      </c>
      <c r="E1194">
        <v>81058.7</v>
      </c>
      <c r="F1194">
        <v>78.3</v>
      </c>
      <c r="G1194">
        <v>260</v>
      </c>
      <c r="H1194">
        <v>65.7</v>
      </c>
      <c r="I1194">
        <v>5.81</v>
      </c>
      <c r="J1194">
        <v>160</v>
      </c>
      <c r="K1194">
        <v>934</v>
      </c>
      <c r="L1194">
        <v>836</v>
      </c>
      <c r="M1194" t="s">
        <v>30</v>
      </c>
      <c r="N1194">
        <v>7</v>
      </c>
      <c r="O1194" t="s">
        <v>46</v>
      </c>
      <c r="P1194">
        <v>66</v>
      </c>
      <c r="Q1194">
        <v>1569</v>
      </c>
      <c r="R1194">
        <v>4</v>
      </c>
      <c r="S1194">
        <v>2</v>
      </c>
      <c r="T1194" t="s">
        <v>73</v>
      </c>
      <c r="U1194" t="s">
        <v>38</v>
      </c>
      <c r="V1194">
        <v>230802</v>
      </c>
      <c r="W1194">
        <v>3.4</v>
      </c>
      <c r="X1194">
        <v>4</v>
      </c>
      <c r="Y1194" t="s">
        <v>43</v>
      </c>
      <c r="Z1194">
        <v>3.32</v>
      </c>
      <c r="AA1194" t="s">
        <v>35</v>
      </c>
    </row>
    <row r="1195" spans="1:27" x14ac:dyDescent="0.3">
      <c r="A1195" t="s">
        <v>91</v>
      </c>
      <c r="B1195" t="s">
        <v>112</v>
      </c>
      <c r="C1195">
        <v>2022</v>
      </c>
      <c r="D1195" t="s">
        <v>63</v>
      </c>
      <c r="E1195">
        <v>51043.69</v>
      </c>
      <c r="F1195">
        <v>76</v>
      </c>
      <c r="G1195">
        <v>263</v>
      </c>
      <c r="H1195">
        <v>120.6</v>
      </c>
      <c r="I1195">
        <v>5.44</v>
      </c>
      <c r="J1195">
        <v>172</v>
      </c>
      <c r="K1195">
        <v>178</v>
      </c>
      <c r="L1195">
        <v>200</v>
      </c>
      <c r="M1195" t="s">
        <v>54</v>
      </c>
      <c r="N1195">
        <v>7</v>
      </c>
      <c r="O1195" t="s">
        <v>57</v>
      </c>
      <c r="P1195">
        <v>30.1</v>
      </c>
      <c r="Q1195">
        <v>1582</v>
      </c>
      <c r="R1195">
        <v>4</v>
      </c>
      <c r="S1195">
        <v>1</v>
      </c>
      <c r="T1195" t="s">
        <v>32</v>
      </c>
      <c r="U1195" t="s">
        <v>42</v>
      </c>
      <c r="V1195">
        <v>44259</v>
      </c>
      <c r="W1195">
        <v>3.4</v>
      </c>
      <c r="X1195">
        <v>8</v>
      </c>
      <c r="Y1195" t="s">
        <v>43</v>
      </c>
      <c r="Z1195">
        <v>3.46</v>
      </c>
      <c r="AA1195" t="s">
        <v>35</v>
      </c>
    </row>
    <row r="1196" spans="1:27" x14ac:dyDescent="0.3">
      <c r="A1196" t="s">
        <v>52</v>
      </c>
      <c r="B1196" t="s">
        <v>55</v>
      </c>
      <c r="C1196">
        <v>2023</v>
      </c>
      <c r="D1196" t="s">
        <v>38</v>
      </c>
      <c r="E1196">
        <v>144885.91</v>
      </c>
      <c r="F1196">
        <v>67.7</v>
      </c>
      <c r="G1196">
        <v>230</v>
      </c>
      <c r="H1196">
        <v>249.1</v>
      </c>
      <c r="I1196">
        <v>6.26</v>
      </c>
      <c r="J1196">
        <v>156</v>
      </c>
      <c r="K1196">
        <v>1000</v>
      </c>
      <c r="L1196">
        <v>899</v>
      </c>
      <c r="M1196" t="s">
        <v>30</v>
      </c>
      <c r="N1196">
        <v>5</v>
      </c>
      <c r="O1196" t="s">
        <v>56</v>
      </c>
      <c r="P1196">
        <v>39.799999999999997</v>
      </c>
      <c r="Q1196">
        <v>1572</v>
      </c>
      <c r="R1196">
        <v>5</v>
      </c>
      <c r="S1196">
        <v>2</v>
      </c>
      <c r="T1196" t="s">
        <v>47</v>
      </c>
      <c r="U1196" t="s">
        <v>33</v>
      </c>
      <c r="V1196">
        <v>416711</v>
      </c>
      <c r="W1196">
        <v>3.9</v>
      </c>
      <c r="X1196">
        <v>5</v>
      </c>
      <c r="Y1196" t="s">
        <v>43</v>
      </c>
      <c r="Z1196">
        <v>3.4</v>
      </c>
      <c r="AA1196" t="s">
        <v>35</v>
      </c>
    </row>
    <row r="1197" spans="1:27" x14ac:dyDescent="0.3">
      <c r="A1197" t="s">
        <v>58</v>
      </c>
      <c r="B1197" t="s">
        <v>70</v>
      </c>
      <c r="C1197">
        <v>2026</v>
      </c>
      <c r="D1197" t="s">
        <v>50</v>
      </c>
      <c r="E1197">
        <v>124673.1</v>
      </c>
      <c r="F1197">
        <v>100.9</v>
      </c>
      <c r="G1197">
        <v>347</v>
      </c>
      <c r="H1197">
        <v>66.900000000000006</v>
      </c>
      <c r="I1197">
        <v>4.72</v>
      </c>
      <c r="J1197">
        <v>173</v>
      </c>
      <c r="K1197">
        <v>758</v>
      </c>
      <c r="L1197">
        <v>698</v>
      </c>
      <c r="M1197" t="s">
        <v>39</v>
      </c>
      <c r="N1197">
        <v>5</v>
      </c>
      <c r="O1197" t="s">
        <v>40</v>
      </c>
      <c r="P1197">
        <v>48.3</v>
      </c>
      <c r="Q1197">
        <v>1890</v>
      </c>
      <c r="R1197">
        <v>5</v>
      </c>
      <c r="S1197">
        <v>2</v>
      </c>
      <c r="T1197" t="s">
        <v>32</v>
      </c>
      <c r="U1197" t="s">
        <v>33</v>
      </c>
      <c r="V1197">
        <v>24079</v>
      </c>
      <c r="W1197">
        <v>4</v>
      </c>
      <c r="X1197">
        <v>5</v>
      </c>
      <c r="Y1197" t="s">
        <v>43</v>
      </c>
      <c r="Z1197">
        <v>3.44</v>
      </c>
      <c r="AA1197" t="s">
        <v>35</v>
      </c>
    </row>
    <row r="1198" spans="1:27" x14ac:dyDescent="0.3">
      <c r="A1198" t="s">
        <v>66</v>
      </c>
      <c r="B1198" t="s">
        <v>67</v>
      </c>
      <c r="C1198">
        <v>2024</v>
      </c>
      <c r="D1198" t="s">
        <v>29</v>
      </c>
      <c r="E1198">
        <v>159067.16</v>
      </c>
      <c r="F1198">
        <v>109.7</v>
      </c>
      <c r="G1198">
        <v>402</v>
      </c>
      <c r="H1198">
        <v>212.3</v>
      </c>
      <c r="I1198">
        <v>4.1500000000000004</v>
      </c>
      <c r="J1198">
        <v>178</v>
      </c>
      <c r="K1198">
        <v>1000</v>
      </c>
      <c r="L1198">
        <v>948</v>
      </c>
      <c r="M1198" t="s">
        <v>54</v>
      </c>
      <c r="N1198">
        <v>7</v>
      </c>
      <c r="O1198" t="s">
        <v>46</v>
      </c>
      <c r="P1198">
        <v>62.3</v>
      </c>
      <c r="Q1198">
        <v>1803</v>
      </c>
      <c r="R1198">
        <v>5</v>
      </c>
      <c r="S1198">
        <v>1</v>
      </c>
      <c r="T1198" t="s">
        <v>47</v>
      </c>
      <c r="U1198" t="s">
        <v>33</v>
      </c>
      <c r="V1198">
        <v>23252</v>
      </c>
      <c r="W1198">
        <v>3.9</v>
      </c>
      <c r="X1198">
        <v>3</v>
      </c>
      <c r="Y1198" t="s">
        <v>43</v>
      </c>
      <c r="Z1198">
        <v>3.66</v>
      </c>
      <c r="AA1198" t="s">
        <v>35</v>
      </c>
    </row>
    <row r="1199" spans="1:27" x14ac:dyDescent="0.3">
      <c r="A1199" t="s">
        <v>66</v>
      </c>
      <c r="B1199" t="s">
        <v>119</v>
      </c>
      <c r="C1199">
        <v>2024</v>
      </c>
      <c r="D1199" t="s">
        <v>50</v>
      </c>
      <c r="E1199">
        <v>93018.72</v>
      </c>
      <c r="F1199">
        <v>83.7</v>
      </c>
      <c r="G1199">
        <v>313</v>
      </c>
      <c r="H1199">
        <v>72.3</v>
      </c>
      <c r="I1199">
        <v>5.21</v>
      </c>
      <c r="J1199">
        <v>182</v>
      </c>
      <c r="K1199">
        <v>786</v>
      </c>
      <c r="L1199">
        <v>724</v>
      </c>
      <c r="M1199" t="s">
        <v>30</v>
      </c>
      <c r="N1199">
        <v>5</v>
      </c>
      <c r="O1199" t="s">
        <v>65</v>
      </c>
      <c r="P1199">
        <v>21.4</v>
      </c>
      <c r="Q1199">
        <v>1655</v>
      </c>
      <c r="R1199">
        <v>5</v>
      </c>
      <c r="S1199">
        <v>0</v>
      </c>
      <c r="T1199" t="s">
        <v>47</v>
      </c>
      <c r="U1199" t="s">
        <v>38</v>
      </c>
      <c r="V1199">
        <v>1655</v>
      </c>
      <c r="W1199">
        <v>3.5</v>
      </c>
      <c r="X1199">
        <v>5</v>
      </c>
      <c r="Y1199" t="s">
        <v>43</v>
      </c>
      <c r="Z1199">
        <v>3.74</v>
      </c>
      <c r="AA1199" t="s">
        <v>69</v>
      </c>
    </row>
    <row r="1200" spans="1:27" x14ac:dyDescent="0.3">
      <c r="A1200" t="s">
        <v>44</v>
      </c>
      <c r="B1200" t="s">
        <v>45</v>
      </c>
      <c r="C1200">
        <v>2026</v>
      </c>
      <c r="D1200" t="s">
        <v>38</v>
      </c>
      <c r="E1200">
        <v>67711.199999999997</v>
      </c>
      <c r="F1200">
        <v>41.3</v>
      </c>
      <c r="G1200">
        <v>150</v>
      </c>
      <c r="H1200">
        <v>101.7</v>
      </c>
      <c r="I1200">
        <v>5.62</v>
      </c>
      <c r="J1200">
        <v>155</v>
      </c>
      <c r="K1200">
        <v>886</v>
      </c>
      <c r="L1200">
        <v>827</v>
      </c>
      <c r="M1200" t="s">
        <v>39</v>
      </c>
      <c r="N1200">
        <v>5</v>
      </c>
      <c r="O1200" t="s">
        <v>46</v>
      </c>
      <c r="P1200">
        <v>78.599999999999994</v>
      </c>
      <c r="Q1200">
        <v>1868</v>
      </c>
      <c r="R1200">
        <v>5</v>
      </c>
      <c r="S1200">
        <v>2</v>
      </c>
      <c r="T1200" t="s">
        <v>47</v>
      </c>
      <c r="U1200" t="s">
        <v>38</v>
      </c>
      <c r="V1200">
        <v>15428</v>
      </c>
      <c r="W1200">
        <v>3.2</v>
      </c>
      <c r="X1200">
        <v>5</v>
      </c>
      <c r="Y1200" t="s">
        <v>43</v>
      </c>
      <c r="Z1200">
        <v>3.63</v>
      </c>
      <c r="AA1200" t="s">
        <v>43</v>
      </c>
    </row>
    <row r="1201" spans="1:27" x14ac:dyDescent="0.3">
      <c r="A1201" t="s">
        <v>52</v>
      </c>
      <c r="B1201" t="s">
        <v>53</v>
      </c>
      <c r="C1201">
        <v>2025</v>
      </c>
      <c r="D1201" t="s">
        <v>29</v>
      </c>
      <c r="E1201">
        <v>112635.62</v>
      </c>
      <c r="F1201">
        <v>91.1</v>
      </c>
      <c r="G1201">
        <v>305</v>
      </c>
      <c r="H1201">
        <v>292.5</v>
      </c>
      <c r="I1201">
        <v>3.93</v>
      </c>
      <c r="J1201">
        <v>195</v>
      </c>
      <c r="K1201">
        <v>808</v>
      </c>
      <c r="L1201">
        <v>749</v>
      </c>
      <c r="M1201" t="s">
        <v>54</v>
      </c>
      <c r="N1201">
        <v>7</v>
      </c>
      <c r="O1201" t="s">
        <v>31</v>
      </c>
      <c r="P1201">
        <v>78.599999999999994</v>
      </c>
      <c r="Q1201">
        <v>2220</v>
      </c>
      <c r="R1201">
        <v>5</v>
      </c>
      <c r="S1201">
        <v>2</v>
      </c>
      <c r="T1201" t="s">
        <v>47</v>
      </c>
      <c r="U1201" t="s">
        <v>33</v>
      </c>
      <c r="V1201">
        <v>126461</v>
      </c>
      <c r="W1201">
        <v>4.0999999999999996</v>
      </c>
      <c r="X1201">
        <v>5</v>
      </c>
      <c r="Y1201" t="s">
        <v>34</v>
      </c>
      <c r="Z1201">
        <v>3.35</v>
      </c>
      <c r="AA1201" t="s">
        <v>35</v>
      </c>
    </row>
    <row r="1202" spans="1:27" x14ac:dyDescent="0.3">
      <c r="A1202" t="s">
        <v>44</v>
      </c>
      <c r="B1202" t="s">
        <v>62</v>
      </c>
      <c r="C1202">
        <v>2023</v>
      </c>
      <c r="D1202" t="s">
        <v>68</v>
      </c>
      <c r="E1202">
        <v>62461.41</v>
      </c>
      <c r="F1202">
        <v>54</v>
      </c>
      <c r="G1202">
        <v>168</v>
      </c>
      <c r="H1202">
        <v>88.5</v>
      </c>
      <c r="I1202">
        <v>7.57</v>
      </c>
      <c r="J1202">
        <v>138</v>
      </c>
      <c r="K1202">
        <v>828</v>
      </c>
      <c r="L1202">
        <v>728</v>
      </c>
      <c r="M1202" t="s">
        <v>30</v>
      </c>
      <c r="N1202">
        <v>5</v>
      </c>
      <c r="O1202" t="s">
        <v>56</v>
      </c>
      <c r="P1202">
        <v>20.5</v>
      </c>
      <c r="Q1202">
        <v>1571</v>
      </c>
      <c r="R1202">
        <v>4</v>
      </c>
      <c r="S1202">
        <v>0</v>
      </c>
      <c r="T1202" t="s">
        <v>47</v>
      </c>
      <c r="U1202" t="s">
        <v>42</v>
      </c>
      <c r="V1202">
        <v>6024</v>
      </c>
      <c r="W1202">
        <v>3.3</v>
      </c>
      <c r="X1202">
        <v>4</v>
      </c>
      <c r="Y1202" t="s">
        <v>61</v>
      </c>
      <c r="Z1202">
        <v>3.11</v>
      </c>
      <c r="AA1202" t="s">
        <v>43</v>
      </c>
    </row>
    <row r="1203" spans="1:27" x14ac:dyDescent="0.3">
      <c r="A1203" t="s">
        <v>52</v>
      </c>
      <c r="B1203" t="s">
        <v>55</v>
      </c>
      <c r="C1203">
        <v>2026</v>
      </c>
      <c r="D1203" t="s">
        <v>50</v>
      </c>
      <c r="E1203">
        <v>83728.44</v>
      </c>
      <c r="F1203">
        <v>82.6</v>
      </c>
      <c r="G1203">
        <v>280</v>
      </c>
      <c r="H1203">
        <v>333.8</v>
      </c>
      <c r="I1203">
        <v>4.82</v>
      </c>
      <c r="J1203">
        <v>180</v>
      </c>
      <c r="K1203">
        <v>562</v>
      </c>
      <c r="L1203">
        <v>518</v>
      </c>
      <c r="M1203" t="s">
        <v>30</v>
      </c>
      <c r="N1203">
        <v>7</v>
      </c>
      <c r="O1203" t="s">
        <v>56</v>
      </c>
      <c r="P1203">
        <v>23.4</v>
      </c>
      <c r="Q1203">
        <v>1738</v>
      </c>
      <c r="R1203">
        <v>4</v>
      </c>
      <c r="S1203">
        <v>2</v>
      </c>
      <c r="T1203" t="s">
        <v>47</v>
      </c>
      <c r="U1203" t="s">
        <v>38</v>
      </c>
      <c r="V1203">
        <v>490450</v>
      </c>
      <c r="W1203">
        <v>3.8</v>
      </c>
      <c r="X1203">
        <v>6</v>
      </c>
      <c r="Y1203" t="s">
        <v>43</v>
      </c>
      <c r="Z1203">
        <v>3.39</v>
      </c>
      <c r="AA1203" t="s">
        <v>35</v>
      </c>
    </row>
    <row r="1204" spans="1:27" x14ac:dyDescent="0.3">
      <c r="A1204" t="s">
        <v>52</v>
      </c>
      <c r="B1204" t="s">
        <v>86</v>
      </c>
      <c r="C1204">
        <v>2025</v>
      </c>
      <c r="D1204" t="s">
        <v>29</v>
      </c>
      <c r="E1204">
        <v>92160.09</v>
      </c>
      <c r="F1204">
        <v>115.6</v>
      </c>
      <c r="G1204">
        <v>400</v>
      </c>
      <c r="H1204">
        <v>304.60000000000002</v>
      </c>
      <c r="I1204">
        <v>3.28</v>
      </c>
      <c r="J1204">
        <v>200</v>
      </c>
      <c r="K1204">
        <v>701</v>
      </c>
      <c r="L1204">
        <v>679</v>
      </c>
      <c r="M1204" t="s">
        <v>30</v>
      </c>
      <c r="N1204">
        <v>7</v>
      </c>
      <c r="O1204" t="s">
        <v>65</v>
      </c>
      <c r="P1204">
        <v>37.1</v>
      </c>
      <c r="Q1204">
        <v>1630</v>
      </c>
      <c r="R1204">
        <v>4</v>
      </c>
      <c r="S1204">
        <v>2</v>
      </c>
      <c r="T1204" t="s">
        <v>47</v>
      </c>
      <c r="U1204" t="s">
        <v>38</v>
      </c>
      <c r="V1204">
        <v>139912</v>
      </c>
      <c r="W1204">
        <v>4.2</v>
      </c>
      <c r="X1204">
        <v>6</v>
      </c>
      <c r="Y1204" t="s">
        <v>34</v>
      </c>
      <c r="Z1204">
        <v>3.46</v>
      </c>
      <c r="AA1204" t="s">
        <v>35</v>
      </c>
    </row>
    <row r="1205" spans="1:27" x14ac:dyDescent="0.3">
      <c r="A1205" t="s">
        <v>71</v>
      </c>
      <c r="B1205" t="s">
        <v>104</v>
      </c>
      <c r="C1205">
        <v>2023</v>
      </c>
      <c r="D1205" t="s">
        <v>68</v>
      </c>
      <c r="E1205">
        <v>23505.59</v>
      </c>
      <c r="F1205">
        <v>75.5</v>
      </c>
      <c r="G1205">
        <v>261</v>
      </c>
      <c r="H1205">
        <v>72.599999999999994</v>
      </c>
      <c r="I1205">
        <v>5.58</v>
      </c>
      <c r="J1205">
        <v>166</v>
      </c>
      <c r="K1205">
        <v>211</v>
      </c>
      <c r="L1205">
        <v>239</v>
      </c>
      <c r="M1205" t="s">
        <v>30</v>
      </c>
      <c r="N1205">
        <v>5</v>
      </c>
      <c r="O1205" t="s">
        <v>56</v>
      </c>
      <c r="P1205">
        <v>28.6</v>
      </c>
      <c r="Q1205">
        <v>1694</v>
      </c>
      <c r="R1205">
        <v>3</v>
      </c>
      <c r="S1205">
        <v>0</v>
      </c>
      <c r="T1205" t="s">
        <v>73</v>
      </c>
      <c r="U1205" t="s">
        <v>74</v>
      </c>
      <c r="V1205">
        <v>178149</v>
      </c>
      <c r="W1205">
        <v>3.4</v>
      </c>
      <c r="X1205">
        <v>4</v>
      </c>
      <c r="Y1205" t="s">
        <v>43</v>
      </c>
      <c r="Z1205">
        <v>3.46</v>
      </c>
      <c r="AA1205" t="s">
        <v>35</v>
      </c>
    </row>
    <row r="1206" spans="1:27" x14ac:dyDescent="0.3">
      <c r="A1206" t="s">
        <v>76</v>
      </c>
      <c r="B1206" t="s">
        <v>77</v>
      </c>
      <c r="C1206">
        <v>2026</v>
      </c>
      <c r="D1206" t="s">
        <v>29</v>
      </c>
      <c r="E1206">
        <v>77799.73</v>
      </c>
      <c r="F1206">
        <v>108</v>
      </c>
      <c r="G1206">
        <v>367</v>
      </c>
      <c r="H1206">
        <v>182.6</v>
      </c>
      <c r="I1206">
        <v>2.67</v>
      </c>
      <c r="J1206">
        <v>200</v>
      </c>
      <c r="K1206">
        <v>956</v>
      </c>
      <c r="L1206">
        <v>887</v>
      </c>
      <c r="M1206" t="s">
        <v>54</v>
      </c>
      <c r="N1206">
        <v>5</v>
      </c>
      <c r="O1206" t="s">
        <v>56</v>
      </c>
      <c r="P1206">
        <v>17.8</v>
      </c>
      <c r="Q1206">
        <v>1720</v>
      </c>
      <c r="R1206">
        <v>4</v>
      </c>
      <c r="S1206">
        <v>0</v>
      </c>
      <c r="T1206" t="s">
        <v>51</v>
      </c>
      <c r="U1206" t="s">
        <v>38</v>
      </c>
      <c r="V1206">
        <v>58908</v>
      </c>
      <c r="W1206">
        <v>3.8</v>
      </c>
      <c r="X1206">
        <v>3</v>
      </c>
      <c r="Y1206" t="s">
        <v>34</v>
      </c>
      <c r="Z1206">
        <v>3.4</v>
      </c>
      <c r="AA1206" t="s">
        <v>35</v>
      </c>
    </row>
    <row r="1207" spans="1:27" x14ac:dyDescent="0.3">
      <c r="A1207" t="s">
        <v>84</v>
      </c>
      <c r="B1207" t="s">
        <v>85</v>
      </c>
      <c r="C1207">
        <v>2022</v>
      </c>
      <c r="D1207" t="s">
        <v>68</v>
      </c>
      <c r="E1207">
        <v>56513.760000000002</v>
      </c>
      <c r="F1207">
        <v>52.3</v>
      </c>
      <c r="G1207">
        <v>189</v>
      </c>
      <c r="H1207">
        <v>87.3</v>
      </c>
      <c r="I1207">
        <v>5.42</v>
      </c>
      <c r="J1207">
        <v>162</v>
      </c>
      <c r="K1207">
        <v>505</v>
      </c>
      <c r="L1207">
        <v>476</v>
      </c>
      <c r="M1207" t="s">
        <v>54</v>
      </c>
      <c r="N1207">
        <v>5</v>
      </c>
      <c r="O1207" t="s">
        <v>31</v>
      </c>
      <c r="P1207">
        <v>63.1</v>
      </c>
      <c r="Q1207">
        <v>2216</v>
      </c>
      <c r="R1207">
        <v>3</v>
      </c>
      <c r="S1207">
        <v>1</v>
      </c>
      <c r="T1207" t="s">
        <v>47</v>
      </c>
      <c r="U1207" t="s">
        <v>42</v>
      </c>
      <c r="V1207">
        <v>39584</v>
      </c>
      <c r="W1207">
        <v>3.2</v>
      </c>
      <c r="X1207">
        <v>4</v>
      </c>
      <c r="Y1207" t="s">
        <v>43</v>
      </c>
      <c r="Z1207">
        <v>3.61</v>
      </c>
      <c r="AA1207" t="s">
        <v>35</v>
      </c>
    </row>
    <row r="1208" spans="1:27" x14ac:dyDescent="0.3">
      <c r="A1208" t="s">
        <v>91</v>
      </c>
      <c r="B1208" t="s">
        <v>97</v>
      </c>
      <c r="C1208">
        <v>2025</v>
      </c>
      <c r="D1208" t="s">
        <v>68</v>
      </c>
      <c r="E1208">
        <v>69070.75</v>
      </c>
      <c r="F1208">
        <v>82</v>
      </c>
      <c r="G1208">
        <v>304</v>
      </c>
      <c r="H1208">
        <v>92.6</v>
      </c>
      <c r="I1208">
        <v>7.54</v>
      </c>
      <c r="J1208">
        <v>143</v>
      </c>
      <c r="K1208">
        <v>374</v>
      </c>
      <c r="L1208">
        <v>366</v>
      </c>
      <c r="M1208" t="s">
        <v>39</v>
      </c>
      <c r="N1208">
        <v>5</v>
      </c>
      <c r="O1208" t="s">
        <v>46</v>
      </c>
      <c r="P1208">
        <v>73.599999999999994</v>
      </c>
      <c r="Q1208">
        <v>1576</v>
      </c>
      <c r="R1208">
        <v>4</v>
      </c>
      <c r="S1208">
        <v>2</v>
      </c>
      <c r="T1208" t="s">
        <v>32</v>
      </c>
      <c r="U1208" t="s">
        <v>38</v>
      </c>
      <c r="V1208">
        <v>73019</v>
      </c>
      <c r="W1208">
        <v>3.5</v>
      </c>
      <c r="X1208">
        <v>5</v>
      </c>
      <c r="Y1208" t="s">
        <v>61</v>
      </c>
      <c r="Z1208">
        <v>3.71</v>
      </c>
      <c r="AA1208" t="s">
        <v>35</v>
      </c>
    </row>
    <row r="1209" spans="1:27" x14ac:dyDescent="0.3">
      <c r="A1209" t="s">
        <v>27</v>
      </c>
      <c r="B1209" t="s">
        <v>78</v>
      </c>
      <c r="C1209">
        <v>2024</v>
      </c>
      <c r="D1209" t="s">
        <v>38</v>
      </c>
      <c r="E1209">
        <v>112817.29</v>
      </c>
      <c r="F1209">
        <v>66.099999999999994</v>
      </c>
      <c r="G1209">
        <v>213</v>
      </c>
      <c r="H1209">
        <v>87.9</v>
      </c>
      <c r="I1209">
        <v>6.84</v>
      </c>
      <c r="J1209">
        <v>142</v>
      </c>
      <c r="K1209">
        <v>1000</v>
      </c>
      <c r="L1209">
        <v>896</v>
      </c>
      <c r="M1209" t="s">
        <v>30</v>
      </c>
      <c r="N1209">
        <v>5</v>
      </c>
      <c r="O1209" t="s">
        <v>65</v>
      </c>
      <c r="P1209">
        <v>37.9</v>
      </c>
      <c r="Q1209">
        <v>1541</v>
      </c>
      <c r="R1209">
        <v>5</v>
      </c>
      <c r="S1209">
        <v>0</v>
      </c>
      <c r="T1209" t="s">
        <v>32</v>
      </c>
      <c r="U1209" t="s">
        <v>33</v>
      </c>
      <c r="V1209">
        <v>244997</v>
      </c>
      <c r="W1209">
        <v>3.4</v>
      </c>
      <c r="X1209">
        <v>3</v>
      </c>
      <c r="Y1209" t="s">
        <v>43</v>
      </c>
      <c r="Z1209">
        <v>3.22</v>
      </c>
      <c r="AA1209" t="s">
        <v>35</v>
      </c>
    </row>
    <row r="1210" spans="1:27" x14ac:dyDescent="0.3">
      <c r="A1210" t="s">
        <v>71</v>
      </c>
      <c r="B1210" t="s">
        <v>81</v>
      </c>
      <c r="C1210">
        <v>2025</v>
      </c>
      <c r="D1210" t="s">
        <v>68</v>
      </c>
      <c r="E1210">
        <v>28078.09</v>
      </c>
      <c r="F1210">
        <v>44.7</v>
      </c>
      <c r="G1210">
        <v>150</v>
      </c>
      <c r="H1210">
        <v>63.8</v>
      </c>
      <c r="I1210">
        <v>6.5</v>
      </c>
      <c r="J1210">
        <v>156</v>
      </c>
      <c r="K1210">
        <v>251</v>
      </c>
      <c r="L1210">
        <v>252</v>
      </c>
      <c r="M1210" t="s">
        <v>30</v>
      </c>
      <c r="N1210">
        <v>7</v>
      </c>
      <c r="O1210" t="s">
        <v>65</v>
      </c>
      <c r="P1210">
        <v>15.7</v>
      </c>
      <c r="Q1210">
        <v>1500</v>
      </c>
      <c r="R1210">
        <v>3</v>
      </c>
      <c r="S1210">
        <v>0</v>
      </c>
      <c r="T1210" t="s">
        <v>73</v>
      </c>
      <c r="U1210" t="s">
        <v>74</v>
      </c>
      <c r="V1210">
        <v>207345</v>
      </c>
      <c r="W1210">
        <v>3.1</v>
      </c>
      <c r="X1210">
        <v>5</v>
      </c>
      <c r="Y1210" t="s">
        <v>43</v>
      </c>
      <c r="Z1210">
        <v>3.36</v>
      </c>
      <c r="AA1210" t="s">
        <v>35</v>
      </c>
    </row>
    <row r="1211" spans="1:27" x14ac:dyDescent="0.3">
      <c r="A1211" t="s">
        <v>139</v>
      </c>
      <c r="B1211" t="s">
        <v>140</v>
      </c>
      <c r="C1211">
        <v>2024</v>
      </c>
      <c r="D1211" t="s">
        <v>63</v>
      </c>
      <c r="E1211">
        <v>67624.72</v>
      </c>
      <c r="F1211">
        <v>50.5</v>
      </c>
      <c r="G1211">
        <v>190</v>
      </c>
      <c r="H1211">
        <v>140.30000000000001</v>
      </c>
      <c r="I1211">
        <v>5.38</v>
      </c>
      <c r="J1211">
        <v>168</v>
      </c>
      <c r="K1211">
        <v>690</v>
      </c>
      <c r="L1211">
        <v>581</v>
      </c>
      <c r="M1211" t="s">
        <v>54</v>
      </c>
      <c r="N1211">
        <v>7</v>
      </c>
      <c r="O1211" t="s">
        <v>31</v>
      </c>
      <c r="P1211">
        <v>53.3</v>
      </c>
      <c r="Q1211">
        <v>2209</v>
      </c>
      <c r="R1211">
        <v>5</v>
      </c>
      <c r="S1211">
        <v>1</v>
      </c>
      <c r="T1211" t="s">
        <v>73</v>
      </c>
      <c r="U1211" t="s">
        <v>38</v>
      </c>
      <c r="V1211">
        <v>26829</v>
      </c>
      <c r="W1211">
        <v>3.5</v>
      </c>
      <c r="X1211">
        <v>4</v>
      </c>
      <c r="Y1211" t="s">
        <v>43</v>
      </c>
      <c r="Z1211">
        <v>3.76</v>
      </c>
      <c r="AA1211" t="s">
        <v>35</v>
      </c>
    </row>
    <row r="1212" spans="1:27" x14ac:dyDescent="0.3">
      <c r="A1212" t="s">
        <v>27</v>
      </c>
      <c r="B1212" t="s">
        <v>78</v>
      </c>
      <c r="C1212">
        <v>2024</v>
      </c>
      <c r="D1212" t="s">
        <v>68</v>
      </c>
      <c r="E1212">
        <v>45198.239999999998</v>
      </c>
      <c r="F1212">
        <v>56.5</v>
      </c>
      <c r="G1212">
        <v>198</v>
      </c>
      <c r="H1212">
        <v>105.6</v>
      </c>
      <c r="I1212">
        <v>7.64</v>
      </c>
      <c r="J1212">
        <v>139</v>
      </c>
      <c r="K1212">
        <v>373</v>
      </c>
      <c r="L1212">
        <v>366</v>
      </c>
      <c r="M1212" t="s">
        <v>30</v>
      </c>
      <c r="N1212">
        <v>5</v>
      </c>
      <c r="O1212" t="s">
        <v>31</v>
      </c>
      <c r="P1212">
        <v>54.6</v>
      </c>
      <c r="Q1212">
        <v>2492</v>
      </c>
      <c r="R1212">
        <v>5</v>
      </c>
      <c r="S1212">
        <v>0</v>
      </c>
      <c r="T1212" t="s">
        <v>32</v>
      </c>
      <c r="U1212" t="s">
        <v>42</v>
      </c>
      <c r="V1212">
        <v>251931</v>
      </c>
      <c r="W1212">
        <v>3.3</v>
      </c>
      <c r="X1212">
        <v>3</v>
      </c>
      <c r="Y1212" t="s">
        <v>61</v>
      </c>
      <c r="Z1212">
        <v>3.5</v>
      </c>
      <c r="AA1212" t="s">
        <v>35</v>
      </c>
    </row>
    <row r="1213" spans="1:27" x14ac:dyDescent="0.3">
      <c r="A1213" t="s">
        <v>27</v>
      </c>
      <c r="B1213" t="s">
        <v>28</v>
      </c>
      <c r="C1213">
        <v>2025</v>
      </c>
      <c r="D1213" t="s">
        <v>68</v>
      </c>
      <c r="E1213">
        <v>34913.449999999997</v>
      </c>
      <c r="F1213">
        <v>57.9</v>
      </c>
      <c r="G1213">
        <v>187</v>
      </c>
      <c r="H1213">
        <v>110.5</v>
      </c>
      <c r="I1213">
        <v>6.77</v>
      </c>
      <c r="J1213">
        <v>145</v>
      </c>
      <c r="K1213">
        <v>190</v>
      </c>
      <c r="L1213">
        <v>200</v>
      </c>
      <c r="M1213" t="s">
        <v>30</v>
      </c>
      <c r="N1213">
        <v>5</v>
      </c>
      <c r="O1213" t="s">
        <v>56</v>
      </c>
      <c r="P1213">
        <v>36</v>
      </c>
      <c r="Q1213">
        <v>1579</v>
      </c>
      <c r="R1213">
        <v>5</v>
      </c>
      <c r="S1213">
        <v>0</v>
      </c>
      <c r="T1213" t="s">
        <v>32</v>
      </c>
      <c r="U1213" t="s">
        <v>74</v>
      </c>
      <c r="V1213">
        <v>204604</v>
      </c>
      <c r="W1213">
        <v>3.5</v>
      </c>
      <c r="X1213">
        <v>4</v>
      </c>
      <c r="Y1213" t="s">
        <v>43</v>
      </c>
      <c r="Z1213">
        <v>3.23</v>
      </c>
      <c r="AA1213" t="s">
        <v>35</v>
      </c>
    </row>
    <row r="1214" spans="1:27" x14ac:dyDescent="0.3">
      <c r="A1214" t="s">
        <v>52</v>
      </c>
      <c r="B1214" t="s">
        <v>86</v>
      </c>
      <c r="C1214">
        <v>2022</v>
      </c>
      <c r="D1214" t="s">
        <v>63</v>
      </c>
      <c r="E1214">
        <v>53235.86</v>
      </c>
      <c r="F1214">
        <v>84.7</v>
      </c>
      <c r="G1214">
        <v>305</v>
      </c>
      <c r="H1214">
        <v>223.2</v>
      </c>
      <c r="I1214">
        <v>5.5</v>
      </c>
      <c r="J1214">
        <v>178</v>
      </c>
      <c r="K1214">
        <v>364</v>
      </c>
      <c r="L1214">
        <v>336</v>
      </c>
      <c r="M1214" t="s">
        <v>30</v>
      </c>
      <c r="N1214">
        <v>5</v>
      </c>
      <c r="O1214" t="s">
        <v>57</v>
      </c>
      <c r="P1214">
        <v>37.5</v>
      </c>
      <c r="Q1214">
        <v>1686</v>
      </c>
      <c r="R1214">
        <v>4</v>
      </c>
      <c r="S1214">
        <v>2</v>
      </c>
      <c r="T1214" t="s">
        <v>47</v>
      </c>
      <c r="U1214" t="s">
        <v>42</v>
      </c>
      <c r="V1214">
        <v>178460</v>
      </c>
      <c r="W1214">
        <v>3.7</v>
      </c>
      <c r="X1214">
        <v>5</v>
      </c>
      <c r="Y1214" t="s">
        <v>43</v>
      </c>
      <c r="Z1214">
        <v>3.6</v>
      </c>
      <c r="AA1214" t="s">
        <v>35</v>
      </c>
    </row>
    <row r="1215" spans="1:27" x14ac:dyDescent="0.3">
      <c r="A1215" t="s">
        <v>84</v>
      </c>
      <c r="B1215" t="s">
        <v>89</v>
      </c>
      <c r="C1215">
        <v>2023</v>
      </c>
      <c r="D1215" t="s">
        <v>29</v>
      </c>
      <c r="E1215">
        <v>78714.850000000006</v>
      </c>
      <c r="F1215">
        <v>111.5</v>
      </c>
      <c r="G1215">
        <v>393</v>
      </c>
      <c r="H1215">
        <v>229</v>
      </c>
      <c r="I1215">
        <v>4.13</v>
      </c>
      <c r="J1215">
        <v>184</v>
      </c>
      <c r="K1215">
        <v>917</v>
      </c>
      <c r="L1215">
        <v>787</v>
      </c>
      <c r="M1215" t="s">
        <v>54</v>
      </c>
      <c r="N1215">
        <v>5</v>
      </c>
      <c r="O1215" t="s">
        <v>57</v>
      </c>
      <c r="P1215">
        <v>27.8</v>
      </c>
      <c r="Q1215">
        <v>1647</v>
      </c>
      <c r="R1215">
        <v>4</v>
      </c>
      <c r="S1215">
        <v>0</v>
      </c>
      <c r="T1215" t="s">
        <v>47</v>
      </c>
      <c r="U1215" t="s">
        <v>38</v>
      </c>
      <c r="V1215">
        <v>41203</v>
      </c>
      <c r="W1215">
        <v>3.7</v>
      </c>
      <c r="X1215">
        <v>4</v>
      </c>
      <c r="Y1215" t="s">
        <v>43</v>
      </c>
      <c r="Z1215">
        <v>3.52</v>
      </c>
      <c r="AA1215" t="s">
        <v>35</v>
      </c>
    </row>
    <row r="1216" spans="1:27" x14ac:dyDescent="0.3">
      <c r="A1216" t="s">
        <v>44</v>
      </c>
      <c r="B1216" t="s">
        <v>109</v>
      </c>
      <c r="C1216">
        <v>2024</v>
      </c>
      <c r="D1216" t="s">
        <v>68</v>
      </c>
      <c r="E1216">
        <v>57065.27</v>
      </c>
      <c r="F1216">
        <v>44.6</v>
      </c>
      <c r="G1216">
        <v>150</v>
      </c>
      <c r="H1216">
        <v>109.7</v>
      </c>
      <c r="I1216">
        <v>5.83</v>
      </c>
      <c r="J1216">
        <v>167</v>
      </c>
      <c r="K1216">
        <v>737</v>
      </c>
      <c r="L1216">
        <v>692</v>
      </c>
      <c r="M1216" t="s">
        <v>39</v>
      </c>
      <c r="N1216">
        <v>5</v>
      </c>
      <c r="O1216" t="s">
        <v>40</v>
      </c>
      <c r="P1216">
        <v>57</v>
      </c>
      <c r="Q1216">
        <v>2167</v>
      </c>
      <c r="R1216">
        <v>5</v>
      </c>
      <c r="S1216">
        <v>1</v>
      </c>
      <c r="T1216" t="s">
        <v>47</v>
      </c>
      <c r="U1216" t="s">
        <v>42</v>
      </c>
      <c r="V1216">
        <v>24368</v>
      </c>
      <c r="W1216">
        <v>3.4</v>
      </c>
      <c r="X1216">
        <v>4</v>
      </c>
      <c r="Y1216" t="s">
        <v>43</v>
      </c>
      <c r="Z1216">
        <v>3.36</v>
      </c>
      <c r="AA1216" t="s">
        <v>35</v>
      </c>
    </row>
    <row r="1217" spans="1:27" x14ac:dyDescent="0.3">
      <c r="A1217" t="s">
        <v>71</v>
      </c>
      <c r="B1217" t="s">
        <v>81</v>
      </c>
      <c r="C1217">
        <v>2025</v>
      </c>
      <c r="D1217" t="s">
        <v>29</v>
      </c>
      <c r="E1217">
        <v>113906.34</v>
      </c>
      <c r="F1217">
        <v>84.5</v>
      </c>
      <c r="G1217">
        <v>315</v>
      </c>
      <c r="H1217">
        <v>213.7</v>
      </c>
      <c r="I1217">
        <v>3.12</v>
      </c>
      <c r="J1217">
        <v>200</v>
      </c>
      <c r="K1217">
        <v>1000</v>
      </c>
      <c r="L1217">
        <v>947</v>
      </c>
      <c r="M1217" t="s">
        <v>54</v>
      </c>
      <c r="N1217">
        <v>7</v>
      </c>
      <c r="O1217" t="s">
        <v>31</v>
      </c>
      <c r="P1217">
        <v>72.099999999999994</v>
      </c>
      <c r="Q1217">
        <v>2485</v>
      </c>
      <c r="R1217">
        <v>3</v>
      </c>
      <c r="S1217">
        <v>2</v>
      </c>
      <c r="T1217" t="s">
        <v>73</v>
      </c>
      <c r="U1217" t="s">
        <v>33</v>
      </c>
      <c r="V1217">
        <v>193570</v>
      </c>
      <c r="W1217">
        <v>3.7</v>
      </c>
      <c r="X1217">
        <v>5</v>
      </c>
      <c r="Y1217" t="s">
        <v>34</v>
      </c>
      <c r="Z1217">
        <v>3.73</v>
      </c>
      <c r="AA1217" t="s">
        <v>35</v>
      </c>
    </row>
    <row r="1218" spans="1:27" x14ac:dyDescent="0.3">
      <c r="A1218" t="s">
        <v>52</v>
      </c>
      <c r="B1218" t="s">
        <v>53</v>
      </c>
      <c r="C1218">
        <v>2024</v>
      </c>
      <c r="D1218" t="s">
        <v>29</v>
      </c>
      <c r="E1218">
        <v>171221.67</v>
      </c>
      <c r="F1218">
        <v>95.1</v>
      </c>
      <c r="G1218">
        <v>329</v>
      </c>
      <c r="H1218">
        <v>288.2</v>
      </c>
      <c r="I1218">
        <v>3.51</v>
      </c>
      <c r="J1218">
        <v>196</v>
      </c>
      <c r="K1218">
        <v>1000</v>
      </c>
      <c r="L1218">
        <v>933</v>
      </c>
      <c r="M1218" t="s">
        <v>30</v>
      </c>
      <c r="N1218">
        <v>5</v>
      </c>
      <c r="O1218" t="s">
        <v>46</v>
      </c>
      <c r="P1218">
        <v>65.3</v>
      </c>
      <c r="Q1218">
        <v>1588</v>
      </c>
      <c r="R1218">
        <v>5</v>
      </c>
      <c r="S1218">
        <v>3</v>
      </c>
      <c r="T1218" t="s">
        <v>47</v>
      </c>
      <c r="U1218" t="s">
        <v>33</v>
      </c>
      <c r="V1218">
        <v>247330</v>
      </c>
      <c r="W1218">
        <v>3.9</v>
      </c>
      <c r="X1218">
        <v>4</v>
      </c>
      <c r="Y1218" t="s">
        <v>34</v>
      </c>
      <c r="Z1218">
        <v>3.46</v>
      </c>
      <c r="AA1218" t="s">
        <v>35</v>
      </c>
    </row>
    <row r="1219" spans="1:27" x14ac:dyDescent="0.3">
      <c r="A1219" t="s">
        <v>91</v>
      </c>
      <c r="B1219" t="s">
        <v>122</v>
      </c>
      <c r="C1219">
        <v>2024</v>
      </c>
      <c r="D1219" t="s">
        <v>29</v>
      </c>
      <c r="E1219">
        <v>143876.35</v>
      </c>
      <c r="F1219">
        <v>81.7</v>
      </c>
      <c r="G1219">
        <v>261</v>
      </c>
      <c r="H1219">
        <v>227.3</v>
      </c>
      <c r="I1219">
        <v>2.98</v>
      </c>
      <c r="J1219">
        <v>197</v>
      </c>
      <c r="K1219">
        <v>1000</v>
      </c>
      <c r="L1219">
        <v>915</v>
      </c>
      <c r="M1219" t="s">
        <v>30</v>
      </c>
      <c r="N1219">
        <v>5</v>
      </c>
      <c r="O1219" t="s">
        <v>31</v>
      </c>
      <c r="P1219">
        <v>69.099999999999994</v>
      </c>
      <c r="Q1219">
        <v>1841</v>
      </c>
      <c r="R1219">
        <v>3</v>
      </c>
      <c r="S1219">
        <v>1</v>
      </c>
      <c r="T1219" t="s">
        <v>32</v>
      </c>
      <c r="U1219" t="s">
        <v>33</v>
      </c>
      <c r="V1219">
        <v>37253</v>
      </c>
      <c r="W1219">
        <v>3.7</v>
      </c>
      <c r="X1219">
        <v>6</v>
      </c>
      <c r="Y1219" t="s">
        <v>34</v>
      </c>
      <c r="Z1219">
        <v>3.19</v>
      </c>
      <c r="AA1219" t="s">
        <v>35</v>
      </c>
    </row>
    <row r="1220" spans="1:27" x14ac:dyDescent="0.3">
      <c r="A1220" t="s">
        <v>91</v>
      </c>
      <c r="B1220" t="s">
        <v>112</v>
      </c>
      <c r="C1220">
        <v>2024</v>
      </c>
      <c r="D1220" t="s">
        <v>63</v>
      </c>
      <c r="E1220">
        <v>62907.37</v>
      </c>
      <c r="F1220">
        <v>84</v>
      </c>
      <c r="G1220">
        <v>296</v>
      </c>
      <c r="H1220">
        <v>148.1</v>
      </c>
      <c r="I1220">
        <v>7.97</v>
      </c>
      <c r="J1220">
        <v>134</v>
      </c>
      <c r="K1220">
        <v>299</v>
      </c>
      <c r="L1220">
        <v>208</v>
      </c>
      <c r="M1220" t="s">
        <v>54</v>
      </c>
      <c r="N1220">
        <v>7</v>
      </c>
      <c r="O1220" t="s">
        <v>40</v>
      </c>
      <c r="P1220">
        <v>60.3</v>
      </c>
      <c r="Q1220">
        <v>1899</v>
      </c>
      <c r="R1220">
        <v>5</v>
      </c>
      <c r="S1220">
        <v>1</v>
      </c>
      <c r="T1220" t="s">
        <v>32</v>
      </c>
      <c r="U1220" t="s">
        <v>42</v>
      </c>
      <c r="V1220">
        <v>49240</v>
      </c>
      <c r="W1220">
        <v>3.6</v>
      </c>
      <c r="X1220">
        <v>7</v>
      </c>
      <c r="Y1220" t="s">
        <v>61</v>
      </c>
      <c r="Z1220">
        <v>3.52</v>
      </c>
      <c r="AA1220" t="s">
        <v>35</v>
      </c>
    </row>
    <row r="1221" spans="1:27" x14ac:dyDescent="0.3">
      <c r="A1221" t="s">
        <v>71</v>
      </c>
      <c r="B1221" t="s">
        <v>75</v>
      </c>
      <c r="C1221">
        <v>2022</v>
      </c>
      <c r="D1221" t="s">
        <v>50</v>
      </c>
      <c r="E1221">
        <v>101092.71</v>
      </c>
      <c r="F1221">
        <v>80.099999999999994</v>
      </c>
      <c r="G1221">
        <v>278</v>
      </c>
      <c r="H1221">
        <v>106.3</v>
      </c>
      <c r="I1221">
        <v>4.59</v>
      </c>
      <c r="J1221">
        <v>177</v>
      </c>
      <c r="K1221">
        <v>1000</v>
      </c>
      <c r="L1221">
        <v>848</v>
      </c>
      <c r="M1221" t="s">
        <v>39</v>
      </c>
      <c r="N1221">
        <v>7</v>
      </c>
      <c r="O1221" t="s">
        <v>65</v>
      </c>
      <c r="P1221">
        <v>20.9</v>
      </c>
      <c r="Q1221">
        <v>1565</v>
      </c>
      <c r="R1221">
        <v>5</v>
      </c>
      <c r="S1221">
        <v>0</v>
      </c>
      <c r="T1221" t="s">
        <v>73</v>
      </c>
      <c r="U1221" t="s">
        <v>33</v>
      </c>
      <c r="V1221">
        <v>230522</v>
      </c>
      <c r="W1221">
        <v>3.6</v>
      </c>
      <c r="X1221">
        <v>4</v>
      </c>
      <c r="Y1221" t="s">
        <v>43</v>
      </c>
      <c r="Z1221">
        <v>3.47</v>
      </c>
      <c r="AA1221" t="s">
        <v>35</v>
      </c>
    </row>
    <row r="1222" spans="1:27" x14ac:dyDescent="0.3">
      <c r="A1222" t="s">
        <v>36</v>
      </c>
      <c r="B1222" t="s">
        <v>37</v>
      </c>
      <c r="C1222">
        <v>2024</v>
      </c>
      <c r="D1222" t="s">
        <v>68</v>
      </c>
      <c r="E1222">
        <v>53125</v>
      </c>
      <c r="F1222">
        <v>63.6</v>
      </c>
      <c r="G1222">
        <v>233</v>
      </c>
      <c r="H1222">
        <v>133.80000000000001</v>
      </c>
      <c r="I1222">
        <v>6.48</v>
      </c>
      <c r="J1222">
        <v>151</v>
      </c>
      <c r="K1222">
        <v>545</v>
      </c>
      <c r="L1222">
        <v>473</v>
      </c>
      <c r="M1222" t="s">
        <v>30</v>
      </c>
      <c r="N1222">
        <v>5</v>
      </c>
      <c r="O1222" t="s">
        <v>40</v>
      </c>
      <c r="P1222">
        <v>36.6</v>
      </c>
      <c r="Q1222">
        <v>1998</v>
      </c>
      <c r="R1222">
        <v>4</v>
      </c>
      <c r="S1222">
        <v>1</v>
      </c>
      <c r="T1222" t="s">
        <v>41</v>
      </c>
      <c r="U1222" t="s">
        <v>42</v>
      </c>
      <c r="V1222">
        <v>19789</v>
      </c>
      <c r="W1222">
        <v>3.3</v>
      </c>
      <c r="X1222">
        <v>4</v>
      </c>
      <c r="Y1222" t="s">
        <v>43</v>
      </c>
      <c r="Z1222">
        <v>3.66</v>
      </c>
      <c r="AA1222" t="s">
        <v>43</v>
      </c>
    </row>
    <row r="1223" spans="1:27" x14ac:dyDescent="0.3">
      <c r="A1223" t="s">
        <v>52</v>
      </c>
      <c r="B1223" t="s">
        <v>64</v>
      </c>
      <c r="C1223">
        <v>2025</v>
      </c>
      <c r="D1223" t="s">
        <v>50</v>
      </c>
      <c r="E1223">
        <v>67690.460000000006</v>
      </c>
      <c r="F1223">
        <v>92.6</v>
      </c>
      <c r="G1223">
        <v>317</v>
      </c>
      <c r="H1223">
        <v>349.6</v>
      </c>
      <c r="I1223">
        <v>4.45</v>
      </c>
      <c r="J1223">
        <v>179</v>
      </c>
      <c r="K1223">
        <v>444</v>
      </c>
      <c r="L1223">
        <v>423</v>
      </c>
      <c r="M1223" t="s">
        <v>54</v>
      </c>
      <c r="N1223">
        <v>5</v>
      </c>
      <c r="O1223" t="s">
        <v>56</v>
      </c>
      <c r="P1223">
        <v>38</v>
      </c>
      <c r="Q1223">
        <v>1865</v>
      </c>
      <c r="R1223">
        <v>4</v>
      </c>
      <c r="S1223">
        <v>2</v>
      </c>
      <c r="T1223" t="s">
        <v>47</v>
      </c>
      <c r="U1223" t="s">
        <v>38</v>
      </c>
      <c r="V1223">
        <v>187975</v>
      </c>
      <c r="W1223">
        <v>3.9</v>
      </c>
      <c r="X1223">
        <v>4</v>
      </c>
      <c r="Y1223" t="s">
        <v>43</v>
      </c>
      <c r="Z1223">
        <v>3.42</v>
      </c>
      <c r="AA1223" t="s">
        <v>35</v>
      </c>
    </row>
    <row r="1224" spans="1:27" x14ac:dyDescent="0.3">
      <c r="A1224" t="s">
        <v>27</v>
      </c>
      <c r="B1224" t="s">
        <v>28</v>
      </c>
      <c r="C1224">
        <v>2025</v>
      </c>
      <c r="D1224" t="s">
        <v>68</v>
      </c>
      <c r="E1224">
        <v>71667.28</v>
      </c>
      <c r="F1224">
        <v>81.5</v>
      </c>
      <c r="G1224">
        <v>282</v>
      </c>
      <c r="H1224">
        <v>96.9</v>
      </c>
      <c r="I1224">
        <v>6.31</v>
      </c>
      <c r="J1224">
        <v>156</v>
      </c>
      <c r="K1224">
        <v>753</v>
      </c>
      <c r="L1224">
        <v>614</v>
      </c>
      <c r="M1224" t="s">
        <v>39</v>
      </c>
      <c r="N1224">
        <v>5</v>
      </c>
      <c r="O1224" t="s">
        <v>46</v>
      </c>
      <c r="P1224">
        <v>64.3</v>
      </c>
      <c r="Q1224">
        <v>1500</v>
      </c>
      <c r="R1224">
        <v>3</v>
      </c>
      <c r="S1224">
        <v>0</v>
      </c>
      <c r="T1224" t="s">
        <v>32</v>
      </c>
      <c r="U1224" t="s">
        <v>38</v>
      </c>
      <c r="V1224">
        <v>285418</v>
      </c>
      <c r="W1224">
        <v>3.5</v>
      </c>
      <c r="X1224">
        <v>4</v>
      </c>
      <c r="Y1224" t="s">
        <v>43</v>
      </c>
      <c r="Z1224">
        <v>3.46</v>
      </c>
      <c r="AA1224" t="s">
        <v>35</v>
      </c>
    </row>
    <row r="1225" spans="1:27" x14ac:dyDescent="0.3">
      <c r="A1225" t="s">
        <v>100</v>
      </c>
      <c r="B1225" t="s">
        <v>135</v>
      </c>
      <c r="C1225">
        <v>2025</v>
      </c>
      <c r="D1225" t="s">
        <v>38</v>
      </c>
      <c r="E1225">
        <v>103197.25</v>
      </c>
      <c r="F1225">
        <v>46.4</v>
      </c>
      <c r="G1225">
        <v>161</v>
      </c>
      <c r="H1225">
        <v>53.2</v>
      </c>
      <c r="I1225">
        <v>5.82</v>
      </c>
      <c r="J1225">
        <v>163</v>
      </c>
      <c r="K1225">
        <v>956</v>
      </c>
      <c r="L1225">
        <v>826</v>
      </c>
      <c r="M1225" t="s">
        <v>54</v>
      </c>
      <c r="N1225">
        <v>5</v>
      </c>
      <c r="O1225" t="s">
        <v>46</v>
      </c>
      <c r="P1225">
        <v>68.099999999999994</v>
      </c>
      <c r="Q1225">
        <v>1500</v>
      </c>
      <c r="R1225">
        <v>4</v>
      </c>
      <c r="S1225">
        <v>2</v>
      </c>
      <c r="T1225" t="s">
        <v>73</v>
      </c>
      <c r="U1225" t="s">
        <v>33</v>
      </c>
      <c r="V1225">
        <v>20886</v>
      </c>
      <c r="W1225">
        <v>3.2</v>
      </c>
      <c r="X1225">
        <v>5</v>
      </c>
      <c r="Y1225" t="s">
        <v>43</v>
      </c>
      <c r="Z1225">
        <v>3.47</v>
      </c>
      <c r="AA1225" t="s">
        <v>35</v>
      </c>
    </row>
    <row r="1226" spans="1:27" x14ac:dyDescent="0.3">
      <c r="A1226" t="s">
        <v>27</v>
      </c>
      <c r="B1226" t="s">
        <v>83</v>
      </c>
      <c r="C1226">
        <v>2022</v>
      </c>
      <c r="D1226" t="s">
        <v>29</v>
      </c>
      <c r="E1226">
        <v>94244.35</v>
      </c>
      <c r="F1226">
        <v>75.7</v>
      </c>
      <c r="G1226">
        <v>264</v>
      </c>
      <c r="H1226">
        <v>162</v>
      </c>
      <c r="I1226">
        <v>2.91</v>
      </c>
      <c r="J1226">
        <v>200</v>
      </c>
      <c r="K1226">
        <v>1000</v>
      </c>
      <c r="L1226">
        <v>943</v>
      </c>
      <c r="M1226" t="s">
        <v>30</v>
      </c>
      <c r="N1226">
        <v>7</v>
      </c>
      <c r="O1226" t="s">
        <v>40</v>
      </c>
      <c r="P1226">
        <v>40.799999999999997</v>
      </c>
      <c r="Q1226">
        <v>1834</v>
      </c>
      <c r="R1226">
        <v>4</v>
      </c>
      <c r="S1226">
        <v>0</v>
      </c>
      <c r="T1226" t="s">
        <v>32</v>
      </c>
      <c r="U1226" t="s">
        <v>38</v>
      </c>
      <c r="V1226">
        <v>251606</v>
      </c>
      <c r="W1226">
        <v>3.4</v>
      </c>
      <c r="X1226">
        <v>4</v>
      </c>
      <c r="Y1226" t="s">
        <v>34</v>
      </c>
      <c r="Z1226">
        <v>3.49</v>
      </c>
      <c r="AA1226" t="s">
        <v>35</v>
      </c>
    </row>
    <row r="1227" spans="1:27" x14ac:dyDescent="0.3">
      <c r="A1227" t="s">
        <v>91</v>
      </c>
      <c r="B1227" t="s">
        <v>92</v>
      </c>
      <c r="C1227">
        <v>2025</v>
      </c>
      <c r="D1227" t="s">
        <v>29</v>
      </c>
      <c r="E1227">
        <v>150935.25</v>
      </c>
      <c r="F1227">
        <v>119.6</v>
      </c>
      <c r="G1227">
        <v>423</v>
      </c>
      <c r="H1227">
        <v>166.7</v>
      </c>
      <c r="I1227">
        <v>2.81</v>
      </c>
      <c r="J1227">
        <v>200</v>
      </c>
      <c r="K1227">
        <v>1000</v>
      </c>
      <c r="L1227">
        <v>883</v>
      </c>
      <c r="M1227" t="s">
        <v>54</v>
      </c>
      <c r="N1227">
        <v>5</v>
      </c>
      <c r="O1227" t="s">
        <v>56</v>
      </c>
      <c r="P1227">
        <v>16.399999999999999</v>
      </c>
      <c r="Q1227">
        <v>2027</v>
      </c>
      <c r="R1227">
        <v>5</v>
      </c>
      <c r="S1227">
        <v>1</v>
      </c>
      <c r="T1227" t="s">
        <v>32</v>
      </c>
      <c r="U1227" t="s">
        <v>33</v>
      </c>
      <c r="V1227">
        <v>49006</v>
      </c>
      <c r="W1227">
        <v>4</v>
      </c>
      <c r="X1227">
        <v>6</v>
      </c>
      <c r="Y1227" t="s">
        <v>34</v>
      </c>
      <c r="Z1227">
        <v>3.54</v>
      </c>
      <c r="AA1227" t="s">
        <v>35</v>
      </c>
    </row>
    <row r="1228" spans="1:27" x14ac:dyDescent="0.3">
      <c r="A1228" t="s">
        <v>27</v>
      </c>
      <c r="B1228" t="s">
        <v>28</v>
      </c>
      <c r="C1228">
        <v>2022</v>
      </c>
      <c r="D1228" t="s">
        <v>29</v>
      </c>
      <c r="E1228">
        <v>46160.26</v>
      </c>
      <c r="F1228">
        <v>117.4</v>
      </c>
      <c r="G1228">
        <v>399</v>
      </c>
      <c r="H1228">
        <v>235.9</v>
      </c>
      <c r="I1228">
        <v>4.37</v>
      </c>
      <c r="J1228">
        <v>198</v>
      </c>
      <c r="K1228">
        <v>404</v>
      </c>
      <c r="L1228">
        <v>347</v>
      </c>
      <c r="M1228" t="s">
        <v>54</v>
      </c>
      <c r="N1228">
        <v>5</v>
      </c>
      <c r="O1228" t="s">
        <v>57</v>
      </c>
      <c r="P1228">
        <v>30.1</v>
      </c>
      <c r="Q1228">
        <v>1500</v>
      </c>
      <c r="R1228">
        <v>5</v>
      </c>
      <c r="S1228">
        <v>1</v>
      </c>
      <c r="T1228" t="s">
        <v>32</v>
      </c>
      <c r="U1228" t="s">
        <v>42</v>
      </c>
      <c r="V1228">
        <v>298179</v>
      </c>
      <c r="W1228">
        <v>4</v>
      </c>
      <c r="X1228">
        <v>5</v>
      </c>
      <c r="Y1228" t="s">
        <v>43</v>
      </c>
      <c r="Z1228">
        <v>3.4</v>
      </c>
      <c r="AA1228" t="s">
        <v>35</v>
      </c>
    </row>
    <row r="1229" spans="1:27" x14ac:dyDescent="0.3">
      <c r="A1229" t="s">
        <v>71</v>
      </c>
      <c r="B1229" t="s">
        <v>72</v>
      </c>
      <c r="C1229">
        <v>2025</v>
      </c>
      <c r="D1229" t="s">
        <v>50</v>
      </c>
      <c r="E1229">
        <v>32710.87</v>
      </c>
      <c r="F1229">
        <v>88.5</v>
      </c>
      <c r="G1229">
        <v>321</v>
      </c>
      <c r="H1229">
        <v>98.4</v>
      </c>
      <c r="I1229">
        <v>4.3499999999999996</v>
      </c>
      <c r="J1229">
        <v>192</v>
      </c>
      <c r="K1229">
        <v>307</v>
      </c>
      <c r="L1229">
        <v>301</v>
      </c>
      <c r="M1229" t="s">
        <v>54</v>
      </c>
      <c r="N1229">
        <v>7</v>
      </c>
      <c r="O1229" t="s">
        <v>31</v>
      </c>
      <c r="P1229">
        <v>51.2</v>
      </c>
      <c r="Q1229">
        <v>2579</v>
      </c>
      <c r="R1229">
        <v>5</v>
      </c>
      <c r="S1229">
        <v>1</v>
      </c>
      <c r="T1229" t="s">
        <v>73</v>
      </c>
      <c r="U1229" t="s">
        <v>74</v>
      </c>
      <c r="V1229">
        <v>169948</v>
      </c>
      <c r="W1229">
        <v>3.6</v>
      </c>
      <c r="X1229">
        <v>4</v>
      </c>
      <c r="Y1229" t="s">
        <v>43</v>
      </c>
      <c r="Z1229">
        <v>3.63</v>
      </c>
      <c r="AA1229" t="s">
        <v>35</v>
      </c>
    </row>
    <row r="1230" spans="1:27" x14ac:dyDescent="0.3">
      <c r="A1230" t="s">
        <v>142</v>
      </c>
      <c r="B1230">
        <v>3</v>
      </c>
      <c r="C1230">
        <v>2024</v>
      </c>
      <c r="D1230" t="s">
        <v>68</v>
      </c>
      <c r="E1230">
        <v>76930.78</v>
      </c>
      <c r="F1230">
        <v>77.7</v>
      </c>
      <c r="G1230">
        <v>257</v>
      </c>
      <c r="H1230">
        <v>133.1</v>
      </c>
      <c r="I1230">
        <v>6.46</v>
      </c>
      <c r="J1230">
        <v>159</v>
      </c>
      <c r="K1230">
        <v>442</v>
      </c>
      <c r="L1230">
        <v>411</v>
      </c>
      <c r="M1230" t="s">
        <v>54</v>
      </c>
      <c r="N1230">
        <v>7</v>
      </c>
      <c r="O1230" t="s">
        <v>31</v>
      </c>
      <c r="P1230">
        <v>72.8</v>
      </c>
      <c r="Q1230">
        <v>2494</v>
      </c>
      <c r="R1230">
        <v>4</v>
      </c>
      <c r="S1230">
        <v>0</v>
      </c>
      <c r="T1230" t="s">
        <v>131</v>
      </c>
      <c r="U1230" t="s">
        <v>38</v>
      </c>
      <c r="V1230">
        <v>17188</v>
      </c>
      <c r="W1230">
        <v>3.5</v>
      </c>
      <c r="X1230">
        <v>4</v>
      </c>
      <c r="Y1230" t="s">
        <v>43</v>
      </c>
      <c r="Z1230">
        <v>3.31</v>
      </c>
      <c r="AA1230" t="s">
        <v>43</v>
      </c>
    </row>
    <row r="1231" spans="1:27" x14ac:dyDescent="0.3">
      <c r="A1231" t="s">
        <v>27</v>
      </c>
      <c r="B1231" t="s">
        <v>83</v>
      </c>
      <c r="C1231">
        <v>2021</v>
      </c>
      <c r="D1231" t="s">
        <v>29</v>
      </c>
      <c r="E1231">
        <v>102347.9</v>
      </c>
      <c r="F1231">
        <v>83.8</v>
      </c>
      <c r="G1231">
        <v>290</v>
      </c>
      <c r="H1231">
        <v>157.6</v>
      </c>
      <c r="I1231">
        <v>2.82</v>
      </c>
      <c r="J1231">
        <v>200</v>
      </c>
      <c r="K1231">
        <v>1000</v>
      </c>
      <c r="L1231">
        <v>935</v>
      </c>
      <c r="M1231" t="s">
        <v>54</v>
      </c>
      <c r="N1231">
        <v>5</v>
      </c>
      <c r="O1231" t="s">
        <v>40</v>
      </c>
      <c r="P1231">
        <v>66.5</v>
      </c>
      <c r="Q1231">
        <v>1990</v>
      </c>
      <c r="R1231">
        <v>5</v>
      </c>
      <c r="S1231">
        <v>1</v>
      </c>
      <c r="T1231" t="s">
        <v>32</v>
      </c>
      <c r="U1231" t="s">
        <v>33</v>
      </c>
      <c r="V1231">
        <v>251849</v>
      </c>
      <c r="W1231">
        <v>3.7</v>
      </c>
      <c r="X1231">
        <v>4</v>
      </c>
      <c r="Y1231" t="s">
        <v>34</v>
      </c>
      <c r="Z1231">
        <v>3.46</v>
      </c>
      <c r="AA1231" t="s">
        <v>35</v>
      </c>
    </row>
    <row r="1232" spans="1:27" x14ac:dyDescent="0.3">
      <c r="A1232" t="s">
        <v>94</v>
      </c>
      <c r="B1232" t="s">
        <v>125</v>
      </c>
      <c r="C1232">
        <v>2022</v>
      </c>
      <c r="D1232" t="s">
        <v>63</v>
      </c>
      <c r="E1232">
        <v>84689.7</v>
      </c>
      <c r="F1232">
        <v>69.599999999999994</v>
      </c>
      <c r="G1232">
        <v>254</v>
      </c>
      <c r="H1232">
        <v>113.3</v>
      </c>
      <c r="I1232">
        <v>7.48</v>
      </c>
      <c r="J1232">
        <v>135</v>
      </c>
      <c r="K1232">
        <v>508</v>
      </c>
      <c r="L1232">
        <v>487</v>
      </c>
      <c r="M1232" t="s">
        <v>30</v>
      </c>
      <c r="N1232">
        <v>5</v>
      </c>
      <c r="O1232" t="s">
        <v>46</v>
      </c>
      <c r="P1232">
        <v>68.5</v>
      </c>
      <c r="Q1232">
        <v>1617</v>
      </c>
      <c r="R1232">
        <v>5</v>
      </c>
      <c r="S1232">
        <v>1</v>
      </c>
      <c r="T1232" t="s">
        <v>32</v>
      </c>
      <c r="U1232" t="s">
        <v>38</v>
      </c>
      <c r="V1232">
        <v>55401</v>
      </c>
      <c r="W1232">
        <v>3.7</v>
      </c>
      <c r="X1232">
        <v>7</v>
      </c>
      <c r="Y1232" t="s">
        <v>61</v>
      </c>
      <c r="Z1232">
        <v>3.65</v>
      </c>
      <c r="AA1232" t="s">
        <v>35</v>
      </c>
    </row>
    <row r="1233" spans="1:27" x14ac:dyDescent="0.3">
      <c r="A1233" t="s">
        <v>71</v>
      </c>
      <c r="B1233" t="s">
        <v>96</v>
      </c>
      <c r="C1233">
        <v>2025</v>
      </c>
      <c r="D1233" t="s">
        <v>29</v>
      </c>
      <c r="E1233">
        <v>118077.25</v>
      </c>
      <c r="F1233">
        <v>109.3</v>
      </c>
      <c r="G1233">
        <v>391</v>
      </c>
      <c r="H1233">
        <v>162.19999999999999</v>
      </c>
      <c r="I1233">
        <v>3.74</v>
      </c>
      <c r="J1233">
        <v>191</v>
      </c>
      <c r="K1233">
        <v>1000</v>
      </c>
      <c r="L1233">
        <v>913</v>
      </c>
      <c r="M1233" t="s">
        <v>39</v>
      </c>
      <c r="N1233">
        <v>5</v>
      </c>
      <c r="O1233" t="s">
        <v>65</v>
      </c>
      <c r="P1233">
        <v>35.4</v>
      </c>
      <c r="Q1233">
        <v>1687</v>
      </c>
      <c r="R1233">
        <v>5</v>
      </c>
      <c r="S1233">
        <v>0</v>
      </c>
      <c r="T1233" t="s">
        <v>73</v>
      </c>
      <c r="U1233" t="s">
        <v>33</v>
      </c>
      <c r="V1233">
        <v>103364</v>
      </c>
      <c r="W1233">
        <v>3.7</v>
      </c>
      <c r="X1233">
        <v>4</v>
      </c>
      <c r="Y1233" t="s">
        <v>34</v>
      </c>
      <c r="Z1233">
        <v>3.58</v>
      </c>
      <c r="AA1233" t="s">
        <v>35</v>
      </c>
    </row>
    <row r="1234" spans="1:27" x14ac:dyDescent="0.3">
      <c r="A1234" t="s">
        <v>71</v>
      </c>
      <c r="B1234" t="s">
        <v>75</v>
      </c>
      <c r="C1234">
        <v>2026</v>
      </c>
      <c r="D1234" t="s">
        <v>38</v>
      </c>
      <c r="E1234">
        <v>87619.97</v>
      </c>
      <c r="F1234">
        <v>76.3</v>
      </c>
      <c r="G1234">
        <v>270</v>
      </c>
      <c r="H1234">
        <v>56.2</v>
      </c>
      <c r="I1234">
        <v>5.53</v>
      </c>
      <c r="J1234">
        <v>163</v>
      </c>
      <c r="K1234">
        <v>1000</v>
      </c>
      <c r="L1234">
        <v>870</v>
      </c>
      <c r="M1234" t="s">
        <v>54</v>
      </c>
      <c r="N1234">
        <v>5</v>
      </c>
      <c r="O1234" t="s">
        <v>56</v>
      </c>
      <c r="P1234">
        <v>34.799999999999997</v>
      </c>
      <c r="Q1234">
        <v>1500</v>
      </c>
      <c r="R1234">
        <v>4</v>
      </c>
      <c r="S1234">
        <v>0</v>
      </c>
      <c r="T1234" t="s">
        <v>73</v>
      </c>
      <c r="U1234" t="s">
        <v>38</v>
      </c>
      <c r="V1234">
        <v>118872</v>
      </c>
      <c r="W1234">
        <v>3.5</v>
      </c>
      <c r="X1234">
        <v>4</v>
      </c>
      <c r="Y1234" t="s">
        <v>43</v>
      </c>
      <c r="Z1234">
        <v>3.54</v>
      </c>
      <c r="AA1234" t="s">
        <v>35</v>
      </c>
    </row>
    <row r="1235" spans="1:27" x14ac:dyDescent="0.3">
      <c r="A1235" t="s">
        <v>52</v>
      </c>
      <c r="B1235" t="s">
        <v>55</v>
      </c>
      <c r="C1235">
        <v>2025</v>
      </c>
      <c r="D1235" t="s">
        <v>68</v>
      </c>
      <c r="E1235">
        <v>92379.520000000004</v>
      </c>
      <c r="F1235">
        <v>84.7</v>
      </c>
      <c r="G1235">
        <v>300</v>
      </c>
      <c r="H1235">
        <v>226.8</v>
      </c>
      <c r="I1235">
        <v>7.5</v>
      </c>
      <c r="J1235">
        <v>130</v>
      </c>
      <c r="K1235">
        <v>685</v>
      </c>
      <c r="L1235">
        <v>640</v>
      </c>
      <c r="M1235" t="s">
        <v>54</v>
      </c>
      <c r="N1235">
        <v>5</v>
      </c>
      <c r="O1235" t="s">
        <v>65</v>
      </c>
      <c r="P1235">
        <v>32.1</v>
      </c>
      <c r="Q1235">
        <v>1616</v>
      </c>
      <c r="R1235">
        <v>4</v>
      </c>
      <c r="S1235">
        <v>2</v>
      </c>
      <c r="T1235" t="s">
        <v>47</v>
      </c>
      <c r="U1235" t="s">
        <v>38</v>
      </c>
      <c r="V1235">
        <v>461008</v>
      </c>
      <c r="W1235">
        <v>3.8</v>
      </c>
      <c r="X1235">
        <v>6</v>
      </c>
      <c r="Y1235" t="s">
        <v>61</v>
      </c>
      <c r="Z1235">
        <v>3.54</v>
      </c>
      <c r="AA1235" t="s">
        <v>35</v>
      </c>
    </row>
    <row r="1236" spans="1:27" x14ac:dyDescent="0.3">
      <c r="A1236" t="s">
        <v>91</v>
      </c>
      <c r="B1236" t="s">
        <v>92</v>
      </c>
      <c r="C1236">
        <v>2020</v>
      </c>
      <c r="D1236" t="s">
        <v>38</v>
      </c>
      <c r="E1236">
        <v>84308.51</v>
      </c>
      <c r="F1236">
        <v>76.3</v>
      </c>
      <c r="G1236">
        <v>242</v>
      </c>
      <c r="H1236">
        <v>121.7</v>
      </c>
      <c r="I1236">
        <v>6.09</v>
      </c>
      <c r="J1236">
        <v>144</v>
      </c>
      <c r="K1236">
        <v>645</v>
      </c>
      <c r="L1236">
        <v>559</v>
      </c>
      <c r="M1236" t="s">
        <v>54</v>
      </c>
      <c r="N1236">
        <v>5</v>
      </c>
      <c r="O1236" t="s">
        <v>31</v>
      </c>
      <c r="P1236">
        <v>79.3</v>
      </c>
      <c r="Q1236">
        <v>2413</v>
      </c>
      <c r="R1236">
        <v>5</v>
      </c>
      <c r="S1236">
        <v>1</v>
      </c>
      <c r="T1236" t="s">
        <v>32</v>
      </c>
      <c r="U1236" t="s">
        <v>38</v>
      </c>
      <c r="V1236">
        <v>53466</v>
      </c>
      <c r="W1236">
        <v>3.5</v>
      </c>
      <c r="X1236">
        <v>6</v>
      </c>
      <c r="Y1236" t="s">
        <v>43</v>
      </c>
      <c r="Z1236">
        <v>3.17</v>
      </c>
      <c r="AA1236" t="s">
        <v>35</v>
      </c>
    </row>
    <row r="1237" spans="1:27" x14ac:dyDescent="0.3">
      <c r="A1237" t="s">
        <v>27</v>
      </c>
      <c r="B1237" t="s">
        <v>83</v>
      </c>
      <c r="C1237">
        <v>2024</v>
      </c>
      <c r="D1237" t="s">
        <v>29</v>
      </c>
      <c r="E1237">
        <v>115397.77</v>
      </c>
      <c r="F1237">
        <v>79.599999999999994</v>
      </c>
      <c r="G1237">
        <v>282</v>
      </c>
      <c r="H1237">
        <v>189.4</v>
      </c>
      <c r="I1237">
        <v>2.83</v>
      </c>
      <c r="J1237">
        <v>200</v>
      </c>
      <c r="K1237">
        <v>1000</v>
      </c>
      <c r="L1237">
        <v>870</v>
      </c>
      <c r="M1237" t="s">
        <v>30</v>
      </c>
      <c r="N1237">
        <v>7</v>
      </c>
      <c r="O1237" t="s">
        <v>65</v>
      </c>
      <c r="P1237">
        <v>34.1</v>
      </c>
      <c r="Q1237">
        <v>1511</v>
      </c>
      <c r="R1237">
        <v>4</v>
      </c>
      <c r="S1237">
        <v>0</v>
      </c>
      <c r="T1237" t="s">
        <v>32</v>
      </c>
      <c r="U1237" t="s">
        <v>33</v>
      </c>
      <c r="V1237">
        <v>296594</v>
      </c>
      <c r="W1237">
        <v>3.5</v>
      </c>
      <c r="X1237">
        <v>4</v>
      </c>
      <c r="Y1237" t="s">
        <v>34</v>
      </c>
      <c r="Z1237">
        <v>3.54</v>
      </c>
      <c r="AA1237" t="s">
        <v>35</v>
      </c>
    </row>
    <row r="1238" spans="1:27" x14ac:dyDescent="0.3">
      <c r="A1238" t="s">
        <v>58</v>
      </c>
      <c r="B1238" t="s">
        <v>134</v>
      </c>
      <c r="C1238">
        <v>2023</v>
      </c>
      <c r="D1238" t="s">
        <v>68</v>
      </c>
      <c r="E1238">
        <v>142019.75</v>
      </c>
      <c r="F1238">
        <v>58.7</v>
      </c>
      <c r="G1238">
        <v>200</v>
      </c>
      <c r="H1238">
        <v>106.5</v>
      </c>
      <c r="I1238">
        <v>5.81</v>
      </c>
      <c r="J1238">
        <v>166</v>
      </c>
      <c r="K1238">
        <v>942</v>
      </c>
      <c r="L1238">
        <v>820</v>
      </c>
      <c r="M1238" t="s">
        <v>39</v>
      </c>
      <c r="N1238">
        <v>7</v>
      </c>
      <c r="O1238" t="s">
        <v>56</v>
      </c>
      <c r="P1238">
        <v>20.7</v>
      </c>
      <c r="Q1238">
        <v>1640</v>
      </c>
      <c r="R1238">
        <v>5</v>
      </c>
      <c r="S1238">
        <v>2</v>
      </c>
      <c r="T1238" t="s">
        <v>32</v>
      </c>
      <c r="U1238" t="s">
        <v>33</v>
      </c>
      <c r="V1238">
        <v>57178</v>
      </c>
      <c r="W1238">
        <v>3.7</v>
      </c>
      <c r="X1238">
        <v>7</v>
      </c>
      <c r="Y1238" t="s">
        <v>43</v>
      </c>
      <c r="Z1238">
        <v>3.41</v>
      </c>
      <c r="AA1238" t="s">
        <v>35</v>
      </c>
    </row>
    <row r="1239" spans="1:27" x14ac:dyDescent="0.3">
      <c r="A1239" t="s">
        <v>76</v>
      </c>
      <c r="B1239" t="s">
        <v>98</v>
      </c>
      <c r="C1239">
        <v>2023</v>
      </c>
      <c r="D1239" t="s">
        <v>50</v>
      </c>
      <c r="E1239">
        <v>48459.839999999997</v>
      </c>
      <c r="F1239">
        <v>100</v>
      </c>
      <c r="G1239">
        <v>358</v>
      </c>
      <c r="H1239">
        <v>93.1</v>
      </c>
      <c r="I1239">
        <v>4.6399999999999997</v>
      </c>
      <c r="J1239">
        <v>175</v>
      </c>
      <c r="K1239">
        <v>494</v>
      </c>
      <c r="L1239">
        <v>456</v>
      </c>
      <c r="M1239" t="s">
        <v>39</v>
      </c>
      <c r="N1239">
        <v>7</v>
      </c>
      <c r="O1239" t="s">
        <v>46</v>
      </c>
      <c r="P1239">
        <v>79.599999999999994</v>
      </c>
      <c r="Q1239">
        <v>1594</v>
      </c>
      <c r="R1239">
        <v>4</v>
      </c>
      <c r="S1239">
        <v>0</v>
      </c>
      <c r="T1239" t="s">
        <v>51</v>
      </c>
      <c r="U1239" t="s">
        <v>42</v>
      </c>
      <c r="V1239">
        <v>128198</v>
      </c>
      <c r="W1239">
        <v>3.7</v>
      </c>
      <c r="X1239">
        <v>4</v>
      </c>
      <c r="Y1239" t="s">
        <v>43</v>
      </c>
      <c r="Z1239">
        <v>3.58</v>
      </c>
      <c r="AA1239" t="s">
        <v>35</v>
      </c>
    </row>
    <row r="1240" spans="1:27" x14ac:dyDescent="0.3">
      <c r="A1240" t="s">
        <v>66</v>
      </c>
      <c r="B1240" t="s">
        <v>67</v>
      </c>
      <c r="C1240">
        <v>2025</v>
      </c>
      <c r="D1240" t="s">
        <v>38</v>
      </c>
      <c r="E1240">
        <v>106306.01</v>
      </c>
      <c r="F1240">
        <v>80.2</v>
      </c>
      <c r="G1240">
        <v>270</v>
      </c>
      <c r="H1240">
        <v>52.3</v>
      </c>
      <c r="I1240">
        <v>7.48</v>
      </c>
      <c r="J1240">
        <v>140</v>
      </c>
      <c r="K1240">
        <v>925</v>
      </c>
      <c r="L1240">
        <v>853</v>
      </c>
      <c r="M1240" t="s">
        <v>30</v>
      </c>
      <c r="N1240">
        <v>7</v>
      </c>
      <c r="O1240" t="s">
        <v>46</v>
      </c>
      <c r="P1240">
        <v>66.900000000000006</v>
      </c>
      <c r="Q1240">
        <v>1500</v>
      </c>
      <c r="R1240">
        <v>5</v>
      </c>
      <c r="S1240">
        <v>2</v>
      </c>
      <c r="T1240" t="s">
        <v>47</v>
      </c>
      <c r="U1240" t="s">
        <v>33</v>
      </c>
      <c r="V1240">
        <v>8757</v>
      </c>
      <c r="W1240">
        <v>3.6</v>
      </c>
      <c r="X1240">
        <v>4</v>
      </c>
      <c r="Y1240" t="s">
        <v>61</v>
      </c>
      <c r="Z1240">
        <v>3.37</v>
      </c>
      <c r="AA1240" t="s">
        <v>43</v>
      </c>
    </row>
    <row r="1241" spans="1:27" x14ac:dyDescent="0.3">
      <c r="A1241" t="s">
        <v>52</v>
      </c>
      <c r="B1241" t="s">
        <v>55</v>
      </c>
      <c r="C1241">
        <v>2026</v>
      </c>
      <c r="D1241" t="s">
        <v>38</v>
      </c>
      <c r="E1241">
        <v>55363.64</v>
      </c>
      <c r="F1241">
        <v>49.7</v>
      </c>
      <c r="G1241">
        <v>197</v>
      </c>
      <c r="H1241">
        <v>219</v>
      </c>
      <c r="I1241">
        <v>7.61</v>
      </c>
      <c r="J1241">
        <v>138</v>
      </c>
      <c r="K1241">
        <v>396</v>
      </c>
      <c r="L1241">
        <v>378</v>
      </c>
      <c r="M1241" t="s">
        <v>30</v>
      </c>
      <c r="N1241">
        <v>5</v>
      </c>
      <c r="O1241" t="s">
        <v>40</v>
      </c>
      <c r="P1241">
        <v>36.200000000000003</v>
      </c>
      <c r="Q1241">
        <v>2157</v>
      </c>
      <c r="R1241">
        <v>4</v>
      </c>
      <c r="S1241">
        <v>3</v>
      </c>
      <c r="T1241" t="s">
        <v>47</v>
      </c>
      <c r="U1241" t="s">
        <v>42</v>
      </c>
      <c r="V1241">
        <v>467657</v>
      </c>
      <c r="W1241">
        <v>3.4</v>
      </c>
      <c r="X1241">
        <v>5</v>
      </c>
      <c r="Y1241" t="s">
        <v>61</v>
      </c>
      <c r="Z1241">
        <v>3.96</v>
      </c>
      <c r="AA1241" t="s">
        <v>35</v>
      </c>
    </row>
    <row r="1242" spans="1:27" x14ac:dyDescent="0.3">
      <c r="A1242" t="s">
        <v>58</v>
      </c>
      <c r="B1242" t="s">
        <v>111</v>
      </c>
      <c r="C1242">
        <v>2025</v>
      </c>
      <c r="D1242" t="s">
        <v>38</v>
      </c>
      <c r="E1242">
        <v>111590.33</v>
      </c>
      <c r="F1242">
        <v>69.8</v>
      </c>
      <c r="G1242">
        <v>216</v>
      </c>
      <c r="H1242">
        <v>84.4</v>
      </c>
      <c r="I1242">
        <v>6.19</v>
      </c>
      <c r="J1242">
        <v>161</v>
      </c>
      <c r="K1242">
        <v>639</v>
      </c>
      <c r="L1242">
        <v>545</v>
      </c>
      <c r="M1242" t="s">
        <v>54</v>
      </c>
      <c r="N1242">
        <v>5</v>
      </c>
      <c r="O1242" t="s">
        <v>40</v>
      </c>
      <c r="P1242">
        <v>58</v>
      </c>
      <c r="Q1242">
        <v>2182</v>
      </c>
      <c r="R1242">
        <v>4</v>
      </c>
      <c r="S1242">
        <v>2</v>
      </c>
      <c r="T1242" t="s">
        <v>32</v>
      </c>
      <c r="U1242" t="s">
        <v>33</v>
      </c>
      <c r="V1242">
        <v>58457</v>
      </c>
      <c r="W1242">
        <v>3.3</v>
      </c>
      <c r="X1242">
        <v>8</v>
      </c>
      <c r="Y1242" t="s">
        <v>43</v>
      </c>
      <c r="Z1242">
        <v>3.09</v>
      </c>
      <c r="AA1242" t="s">
        <v>35</v>
      </c>
    </row>
    <row r="1243" spans="1:27" x14ac:dyDescent="0.3">
      <c r="A1243" t="s">
        <v>84</v>
      </c>
      <c r="B1243" t="s">
        <v>99</v>
      </c>
      <c r="C1243">
        <v>2025</v>
      </c>
      <c r="D1243" t="s">
        <v>38</v>
      </c>
      <c r="E1243">
        <v>79279.61</v>
      </c>
      <c r="F1243">
        <v>59.6</v>
      </c>
      <c r="G1243">
        <v>194</v>
      </c>
      <c r="H1243">
        <v>95</v>
      </c>
      <c r="I1243">
        <v>7.69</v>
      </c>
      <c r="J1243">
        <v>139</v>
      </c>
      <c r="K1243">
        <v>919</v>
      </c>
      <c r="L1243">
        <v>842</v>
      </c>
      <c r="M1243" t="s">
        <v>54</v>
      </c>
      <c r="N1243">
        <v>4</v>
      </c>
      <c r="O1243" t="s">
        <v>31</v>
      </c>
      <c r="P1243">
        <v>65.7</v>
      </c>
      <c r="Q1243">
        <v>2810</v>
      </c>
      <c r="R1243">
        <v>5</v>
      </c>
      <c r="S1243">
        <v>1</v>
      </c>
      <c r="T1243" t="s">
        <v>47</v>
      </c>
      <c r="U1243" t="s">
        <v>38</v>
      </c>
      <c r="V1243">
        <v>67161</v>
      </c>
      <c r="W1243">
        <v>3.2</v>
      </c>
      <c r="X1243">
        <v>3</v>
      </c>
      <c r="Y1243" t="s">
        <v>61</v>
      </c>
      <c r="Z1243">
        <v>3.26</v>
      </c>
      <c r="AA1243" t="s">
        <v>35</v>
      </c>
    </row>
    <row r="1244" spans="1:27" x14ac:dyDescent="0.3">
      <c r="A1244" t="s">
        <v>84</v>
      </c>
      <c r="B1244" t="s">
        <v>89</v>
      </c>
      <c r="C1244">
        <v>2022</v>
      </c>
      <c r="D1244" t="s">
        <v>50</v>
      </c>
      <c r="E1244">
        <v>44715.21</v>
      </c>
      <c r="F1244">
        <v>85</v>
      </c>
      <c r="G1244">
        <v>299</v>
      </c>
      <c r="H1244">
        <v>82.1</v>
      </c>
      <c r="I1244">
        <v>5.0999999999999996</v>
      </c>
      <c r="J1244">
        <v>179</v>
      </c>
      <c r="K1244">
        <v>432</v>
      </c>
      <c r="L1244">
        <v>411</v>
      </c>
      <c r="M1244" t="s">
        <v>54</v>
      </c>
      <c r="N1244">
        <v>7</v>
      </c>
      <c r="O1244" t="s">
        <v>40</v>
      </c>
      <c r="P1244">
        <v>54.2</v>
      </c>
      <c r="Q1244">
        <v>1709</v>
      </c>
      <c r="R1244">
        <v>5</v>
      </c>
      <c r="S1244">
        <v>1</v>
      </c>
      <c r="T1244" t="s">
        <v>47</v>
      </c>
      <c r="U1244" t="s">
        <v>42</v>
      </c>
      <c r="V1244">
        <v>77918</v>
      </c>
      <c r="W1244">
        <v>3.5</v>
      </c>
      <c r="X1244">
        <v>5</v>
      </c>
      <c r="Y1244" t="s">
        <v>43</v>
      </c>
      <c r="Z1244">
        <v>3.52</v>
      </c>
      <c r="AA1244" t="s">
        <v>35</v>
      </c>
    </row>
    <row r="1245" spans="1:27" x14ac:dyDescent="0.3">
      <c r="A1245" t="s">
        <v>58</v>
      </c>
      <c r="B1245" t="s">
        <v>105</v>
      </c>
      <c r="C1245">
        <v>2026</v>
      </c>
      <c r="D1245" t="s">
        <v>50</v>
      </c>
      <c r="E1245">
        <v>122737.35</v>
      </c>
      <c r="F1245">
        <v>76.099999999999994</v>
      </c>
      <c r="G1245">
        <v>281</v>
      </c>
      <c r="H1245">
        <v>88.4</v>
      </c>
      <c r="I1245">
        <v>4.92</v>
      </c>
      <c r="J1245">
        <v>174</v>
      </c>
      <c r="K1245">
        <v>680</v>
      </c>
      <c r="L1245">
        <v>583</v>
      </c>
      <c r="M1245" t="s">
        <v>30</v>
      </c>
      <c r="N1245">
        <v>7</v>
      </c>
      <c r="O1245" t="s">
        <v>40</v>
      </c>
      <c r="P1245">
        <v>44.2</v>
      </c>
      <c r="Q1245">
        <v>1927</v>
      </c>
      <c r="R1245">
        <v>5</v>
      </c>
      <c r="S1245">
        <v>1</v>
      </c>
      <c r="T1245" t="s">
        <v>32</v>
      </c>
      <c r="U1245" t="s">
        <v>33</v>
      </c>
      <c r="V1245">
        <v>45500</v>
      </c>
      <c r="W1245">
        <v>3.9</v>
      </c>
      <c r="X1245">
        <v>6</v>
      </c>
      <c r="Y1245" t="s">
        <v>43</v>
      </c>
      <c r="Z1245">
        <v>3.69</v>
      </c>
      <c r="AA1245" t="s">
        <v>35</v>
      </c>
    </row>
    <row r="1246" spans="1:27" x14ac:dyDescent="0.3">
      <c r="A1246" t="s">
        <v>44</v>
      </c>
      <c r="B1246" t="s">
        <v>126</v>
      </c>
      <c r="C1246">
        <v>2026</v>
      </c>
      <c r="D1246" t="s">
        <v>50</v>
      </c>
      <c r="E1246">
        <v>75057.34</v>
      </c>
      <c r="F1246">
        <v>81.400000000000006</v>
      </c>
      <c r="G1246">
        <v>277</v>
      </c>
      <c r="H1246">
        <v>117.5</v>
      </c>
      <c r="I1246">
        <v>5.01</v>
      </c>
      <c r="J1246">
        <v>178</v>
      </c>
      <c r="K1246">
        <v>1000</v>
      </c>
      <c r="L1246">
        <v>939</v>
      </c>
      <c r="M1246" t="s">
        <v>39</v>
      </c>
      <c r="N1246">
        <v>5</v>
      </c>
      <c r="O1246" t="s">
        <v>31</v>
      </c>
      <c r="P1246">
        <v>67.099999999999994</v>
      </c>
      <c r="Q1246">
        <v>2136</v>
      </c>
      <c r="R1246">
        <v>3</v>
      </c>
      <c r="S1246">
        <v>2</v>
      </c>
      <c r="T1246" t="s">
        <v>47</v>
      </c>
      <c r="U1246" t="s">
        <v>38</v>
      </c>
      <c r="V1246">
        <v>18197</v>
      </c>
      <c r="W1246">
        <v>3.6</v>
      </c>
      <c r="X1246">
        <v>4</v>
      </c>
      <c r="Y1246" t="s">
        <v>43</v>
      </c>
      <c r="Z1246">
        <v>3.4</v>
      </c>
      <c r="AA1246" t="s">
        <v>43</v>
      </c>
    </row>
    <row r="1247" spans="1:27" x14ac:dyDescent="0.3">
      <c r="A1247" t="s">
        <v>91</v>
      </c>
      <c r="B1247" t="s">
        <v>92</v>
      </c>
      <c r="C1247">
        <v>2023</v>
      </c>
      <c r="D1247" t="s">
        <v>29</v>
      </c>
      <c r="E1247">
        <v>121734.94</v>
      </c>
      <c r="F1247">
        <v>72.7</v>
      </c>
      <c r="G1247">
        <v>249</v>
      </c>
      <c r="H1247">
        <v>163.80000000000001</v>
      </c>
      <c r="I1247">
        <v>2.68</v>
      </c>
      <c r="J1247">
        <v>200</v>
      </c>
      <c r="K1247">
        <v>1000</v>
      </c>
      <c r="L1247">
        <v>931</v>
      </c>
      <c r="M1247" t="s">
        <v>54</v>
      </c>
      <c r="N1247">
        <v>7</v>
      </c>
      <c r="O1247" t="s">
        <v>57</v>
      </c>
      <c r="P1247">
        <v>30.3</v>
      </c>
      <c r="Q1247">
        <v>1630</v>
      </c>
      <c r="R1247">
        <v>5</v>
      </c>
      <c r="S1247">
        <v>2</v>
      </c>
      <c r="T1247" t="s">
        <v>32</v>
      </c>
      <c r="U1247" t="s">
        <v>33</v>
      </c>
      <c r="V1247">
        <v>71997</v>
      </c>
      <c r="W1247">
        <v>3.6</v>
      </c>
      <c r="X1247">
        <v>6</v>
      </c>
      <c r="Y1247" t="s">
        <v>34</v>
      </c>
      <c r="Z1247">
        <v>3.43</v>
      </c>
      <c r="AA1247" t="s">
        <v>35</v>
      </c>
    </row>
    <row r="1248" spans="1:27" x14ac:dyDescent="0.3">
      <c r="A1248" t="s">
        <v>52</v>
      </c>
      <c r="B1248" t="s">
        <v>64</v>
      </c>
      <c r="C1248">
        <v>2025</v>
      </c>
      <c r="D1248" t="s">
        <v>63</v>
      </c>
      <c r="E1248">
        <v>41533.410000000003</v>
      </c>
      <c r="F1248">
        <v>81.099999999999994</v>
      </c>
      <c r="G1248">
        <v>287</v>
      </c>
      <c r="H1248">
        <v>248.5</v>
      </c>
      <c r="I1248">
        <v>6.67</v>
      </c>
      <c r="J1248">
        <v>145</v>
      </c>
      <c r="K1248">
        <v>266</v>
      </c>
      <c r="L1248">
        <v>200</v>
      </c>
      <c r="M1248" t="s">
        <v>54</v>
      </c>
      <c r="N1248">
        <v>5</v>
      </c>
      <c r="O1248" t="s">
        <v>56</v>
      </c>
      <c r="P1248">
        <v>25.3</v>
      </c>
      <c r="Q1248">
        <v>1673</v>
      </c>
      <c r="R1248">
        <v>4</v>
      </c>
      <c r="S1248">
        <v>2</v>
      </c>
      <c r="T1248" t="s">
        <v>47</v>
      </c>
      <c r="U1248" t="s">
        <v>42</v>
      </c>
      <c r="V1248">
        <v>205263</v>
      </c>
      <c r="W1248">
        <v>3.9</v>
      </c>
      <c r="X1248">
        <v>5</v>
      </c>
      <c r="Y1248" t="s">
        <v>43</v>
      </c>
      <c r="Z1248">
        <v>3.54</v>
      </c>
      <c r="AA1248" t="s">
        <v>35</v>
      </c>
    </row>
    <row r="1249" spans="1:27" x14ac:dyDescent="0.3">
      <c r="A1249" t="s">
        <v>52</v>
      </c>
      <c r="B1249" t="s">
        <v>80</v>
      </c>
      <c r="C1249">
        <v>2022</v>
      </c>
      <c r="D1249" t="s">
        <v>63</v>
      </c>
      <c r="E1249">
        <v>33281.599999999999</v>
      </c>
      <c r="F1249">
        <v>82.5</v>
      </c>
      <c r="G1249">
        <v>281</v>
      </c>
      <c r="H1249">
        <v>345.8</v>
      </c>
      <c r="I1249">
        <v>5.04</v>
      </c>
      <c r="J1249">
        <v>175</v>
      </c>
      <c r="K1249">
        <v>229</v>
      </c>
      <c r="L1249">
        <v>216</v>
      </c>
      <c r="M1249" t="s">
        <v>30</v>
      </c>
      <c r="N1249">
        <v>5</v>
      </c>
      <c r="O1249" t="s">
        <v>31</v>
      </c>
      <c r="P1249">
        <v>66.8</v>
      </c>
      <c r="Q1249">
        <v>2657</v>
      </c>
      <c r="R1249">
        <v>5</v>
      </c>
      <c r="S1249">
        <v>2</v>
      </c>
      <c r="T1249" t="s">
        <v>47</v>
      </c>
      <c r="U1249" t="s">
        <v>74</v>
      </c>
      <c r="V1249">
        <v>223257</v>
      </c>
      <c r="W1249">
        <v>3.9</v>
      </c>
      <c r="X1249">
        <v>6</v>
      </c>
      <c r="Y1249" t="s">
        <v>43</v>
      </c>
      <c r="Z1249">
        <v>3.41</v>
      </c>
      <c r="AA1249" t="s">
        <v>35</v>
      </c>
    </row>
    <row r="1250" spans="1:27" x14ac:dyDescent="0.3">
      <c r="A1250" t="s">
        <v>102</v>
      </c>
      <c r="B1250" t="s">
        <v>128</v>
      </c>
      <c r="C1250">
        <v>2024</v>
      </c>
      <c r="D1250" t="s">
        <v>68</v>
      </c>
      <c r="E1250">
        <v>78385.679999999993</v>
      </c>
      <c r="F1250">
        <v>79.7</v>
      </c>
      <c r="G1250">
        <v>248</v>
      </c>
      <c r="H1250">
        <v>89.4</v>
      </c>
      <c r="I1250">
        <v>6.35</v>
      </c>
      <c r="J1250">
        <v>154</v>
      </c>
      <c r="K1250">
        <v>615</v>
      </c>
      <c r="L1250">
        <v>599</v>
      </c>
      <c r="M1250" t="s">
        <v>54</v>
      </c>
      <c r="N1250">
        <v>5</v>
      </c>
      <c r="O1250" t="s">
        <v>56</v>
      </c>
      <c r="P1250">
        <v>31.3</v>
      </c>
      <c r="Q1250">
        <v>1941</v>
      </c>
      <c r="R1250">
        <v>5</v>
      </c>
      <c r="S1250">
        <v>0</v>
      </c>
      <c r="T1250" t="s">
        <v>47</v>
      </c>
      <c r="U1250" t="s">
        <v>38</v>
      </c>
      <c r="V1250">
        <v>12601</v>
      </c>
      <c r="W1250">
        <v>3.6</v>
      </c>
      <c r="X1250">
        <v>5</v>
      </c>
      <c r="Y1250" t="s">
        <v>43</v>
      </c>
      <c r="Z1250">
        <v>3.11</v>
      </c>
      <c r="AA1250" t="s">
        <v>43</v>
      </c>
    </row>
    <row r="1251" spans="1:27" x14ac:dyDescent="0.3">
      <c r="A1251" t="s">
        <v>48</v>
      </c>
      <c r="B1251" t="s">
        <v>79</v>
      </c>
      <c r="C1251">
        <v>2026</v>
      </c>
      <c r="D1251" t="s">
        <v>68</v>
      </c>
      <c r="E1251">
        <v>54591.6</v>
      </c>
      <c r="F1251">
        <v>68.599999999999994</v>
      </c>
      <c r="G1251">
        <v>257</v>
      </c>
      <c r="H1251">
        <v>77</v>
      </c>
      <c r="I1251">
        <v>5.52</v>
      </c>
      <c r="J1251">
        <v>158</v>
      </c>
      <c r="K1251">
        <v>528</v>
      </c>
      <c r="L1251">
        <v>451</v>
      </c>
      <c r="M1251" t="s">
        <v>39</v>
      </c>
      <c r="N1251">
        <v>7</v>
      </c>
      <c r="O1251" t="s">
        <v>46</v>
      </c>
      <c r="P1251">
        <v>63</v>
      </c>
      <c r="Q1251">
        <v>1500</v>
      </c>
      <c r="R1251">
        <v>4</v>
      </c>
      <c r="S1251">
        <v>0</v>
      </c>
      <c r="T1251" t="s">
        <v>51</v>
      </c>
      <c r="U1251" t="s">
        <v>42</v>
      </c>
      <c r="V1251">
        <v>84955</v>
      </c>
      <c r="W1251">
        <v>3.4</v>
      </c>
      <c r="X1251">
        <v>5</v>
      </c>
      <c r="Y1251" t="s">
        <v>43</v>
      </c>
      <c r="Z1251">
        <v>3.75</v>
      </c>
      <c r="AA1251" t="s">
        <v>35</v>
      </c>
    </row>
    <row r="1252" spans="1:27" x14ac:dyDescent="0.3">
      <c r="A1252" t="s">
        <v>84</v>
      </c>
      <c r="B1252" t="s">
        <v>89</v>
      </c>
      <c r="C1252">
        <v>2024</v>
      </c>
      <c r="D1252" t="s">
        <v>50</v>
      </c>
      <c r="E1252">
        <v>84501.24</v>
      </c>
      <c r="F1252">
        <v>98.1</v>
      </c>
      <c r="G1252">
        <v>342</v>
      </c>
      <c r="H1252">
        <v>111.3</v>
      </c>
      <c r="I1252">
        <v>4.71</v>
      </c>
      <c r="J1252">
        <v>179</v>
      </c>
      <c r="K1252">
        <v>1000</v>
      </c>
      <c r="L1252">
        <v>870</v>
      </c>
      <c r="M1252" t="s">
        <v>54</v>
      </c>
      <c r="N1252">
        <v>7</v>
      </c>
      <c r="O1252" t="s">
        <v>57</v>
      </c>
      <c r="P1252">
        <v>28</v>
      </c>
      <c r="Q1252">
        <v>1500</v>
      </c>
      <c r="R1252">
        <v>5</v>
      </c>
      <c r="S1252">
        <v>0</v>
      </c>
      <c r="T1252" t="s">
        <v>47</v>
      </c>
      <c r="U1252" t="s">
        <v>38</v>
      </c>
      <c r="V1252">
        <v>72596</v>
      </c>
      <c r="W1252">
        <v>3.6</v>
      </c>
      <c r="X1252">
        <v>5</v>
      </c>
      <c r="Y1252" t="s">
        <v>43</v>
      </c>
      <c r="Z1252">
        <v>3.49</v>
      </c>
      <c r="AA1252" t="s">
        <v>35</v>
      </c>
    </row>
    <row r="1253" spans="1:27" x14ac:dyDescent="0.3">
      <c r="A1253" t="s">
        <v>76</v>
      </c>
      <c r="B1253" t="s">
        <v>77</v>
      </c>
      <c r="C1253">
        <v>2026</v>
      </c>
      <c r="D1253" t="s">
        <v>68</v>
      </c>
      <c r="E1253">
        <v>45692.14</v>
      </c>
      <c r="F1253">
        <v>83.7</v>
      </c>
      <c r="G1253">
        <v>288</v>
      </c>
      <c r="H1253">
        <v>81.400000000000006</v>
      </c>
      <c r="I1253">
        <v>6.59</v>
      </c>
      <c r="J1253">
        <v>154</v>
      </c>
      <c r="K1253">
        <v>475</v>
      </c>
      <c r="L1253">
        <v>411</v>
      </c>
      <c r="M1253" t="s">
        <v>54</v>
      </c>
      <c r="N1253">
        <v>7</v>
      </c>
      <c r="O1253" t="s">
        <v>57</v>
      </c>
      <c r="P1253">
        <v>28.7</v>
      </c>
      <c r="Q1253">
        <v>1750</v>
      </c>
      <c r="R1253">
        <v>5</v>
      </c>
      <c r="S1253">
        <v>0</v>
      </c>
      <c r="T1253" t="s">
        <v>51</v>
      </c>
      <c r="U1253" t="s">
        <v>42</v>
      </c>
      <c r="V1253">
        <v>89861</v>
      </c>
      <c r="W1253">
        <v>3.5</v>
      </c>
      <c r="X1253">
        <v>3</v>
      </c>
      <c r="Y1253" t="s">
        <v>43</v>
      </c>
      <c r="Z1253">
        <v>3.44</v>
      </c>
      <c r="AA1253" t="s">
        <v>35</v>
      </c>
    </row>
    <row r="1254" spans="1:27" x14ac:dyDescent="0.3">
      <c r="A1254" t="s">
        <v>52</v>
      </c>
      <c r="B1254" t="s">
        <v>64</v>
      </c>
      <c r="C1254">
        <v>2025</v>
      </c>
      <c r="D1254" t="s">
        <v>38</v>
      </c>
      <c r="E1254">
        <v>131664.51</v>
      </c>
      <c r="F1254">
        <v>56.1</v>
      </c>
      <c r="G1254">
        <v>197</v>
      </c>
      <c r="H1254">
        <v>248.7</v>
      </c>
      <c r="I1254">
        <v>5.97</v>
      </c>
      <c r="J1254">
        <v>167</v>
      </c>
      <c r="K1254">
        <v>995</v>
      </c>
      <c r="L1254">
        <v>876</v>
      </c>
      <c r="M1254" t="s">
        <v>54</v>
      </c>
      <c r="N1254">
        <v>5</v>
      </c>
      <c r="O1254" t="s">
        <v>40</v>
      </c>
      <c r="P1254">
        <v>64</v>
      </c>
      <c r="Q1254">
        <v>2096</v>
      </c>
      <c r="R1254">
        <v>5</v>
      </c>
      <c r="S1254">
        <v>2</v>
      </c>
      <c r="T1254" t="s">
        <v>47</v>
      </c>
      <c r="U1254" t="s">
        <v>33</v>
      </c>
      <c r="V1254">
        <v>124407</v>
      </c>
      <c r="W1254">
        <v>3.6</v>
      </c>
      <c r="X1254">
        <v>4</v>
      </c>
      <c r="Y1254" t="s">
        <v>43</v>
      </c>
      <c r="Z1254">
        <v>3.51</v>
      </c>
      <c r="AA1254" t="s">
        <v>35</v>
      </c>
    </row>
    <row r="1255" spans="1:27" x14ac:dyDescent="0.3">
      <c r="A1255" t="s">
        <v>52</v>
      </c>
      <c r="B1255" t="s">
        <v>53</v>
      </c>
      <c r="C1255">
        <v>2026</v>
      </c>
      <c r="D1255" t="s">
        <v>50</v>
      </c>
      <c r="E1255">
        <v>146733.12</v>
      </c>
      <c r="F1255">
        <v>98.1</v>
      </c>
      <c r="G1255">
        <v>336</v>
      </c>
      <c r="H1255">
        <v>258.2</v>
      </c>
      <c r="I1255">
        <v>5.28</v>
      </c>
      <c r="J1255">
        <v>173</v>
      </c>
      <c r="K1255">
        <v>1000</v>
      </c>
      <c r="L1255">
        <v>925</v>
      </c>
      <c r="M1255" t="s">
        <v>54</v>
      </c>
      <c r="N1255">
        <v>5</v>
      </c>
      <c r="O1255" t="s">
        <v>31</v>
      </c>
      <c r="P1255">
        <v>79.400000000000006</v>
      </c>
      <c r="Q1255">
        <v>2940</v>
      </c>
      <c r="R1255">
        <v>5</v>
      </c>
      <c r="S1255">
        <v>2</v>
      </c>
      <c r="T1255" t="s">
        <v>47</v>
      </c>
      <c r="U1255" t="s">
        <v>33</v>
      </c>
      <c r="V1255">
        <v>162803</v>
      </c>
      <c r="W1255">
        <v>4.0999999999999996</v>
      </c>
      <c r="X1255">
        <v>5</v>
      </c>
      <c r="Y1255" t="s">
        <v>43</v>
      </c>
      <c r="Z1255">
        <v>3.43</v>
      </c>
      <c r="AA1255" t="s">
        <v>35</v>
      </c>
    </row>
    <row r="1256" spans="1:27" x14ac:dyDescent="0.3">
      <c r="A1256" t="s">
        <v>91</v>
      </c>
      <c r="B1256" t="s">
        <v>97</v>
      </c>
      <c r="C1256">
        <v>2024</v>
      </c>
      <c r="D1256" t="s">
        <v>68</v>
      </c>
      <c r="E1256">
        <v>108424.86</v>
      </c>
      <c r="F1256">
        <v>43.9</v>
      </c>
      <c r="G1256">
        <v>164</v>
      </c>
      <c r="H1256">
        <v>140.1</v>
      </c>
      <c r="I1256">
        <v>7.1</v>
      </c>
      <c r="J1256">
        <v>143</v>
      </c>
      <c r="K1256">
        <v>881</v>
      </c>
      <c r="L1256">
        <v>812</v>
      </c>
      <c r="M1256" t="s">
        <v>39</v>
      </c>
      <c r="N1256">
        <v>5</v>
      </c>
      <c r="O1256" t="s">
        <v>40</v>
      </c>
      <c r="P1256">
        <v>59</v>
      </c>
      <c r="Q1256">
        <v>1704</v>
      </c>
      <c r="R1256">
        <v>5</v>
      </c>
      <c r="S1256">
        <v>2</v>
      </c>
      <c r="T1256" t="s">
        <v>32</v>
      </c>
      <c r="U1256" t="s">
        <v>33</v>
      </c>
      <c r="V1256">
        <v>72604</v>
      </c>
      <c r="W1256">
        <v>3.1</v>
      </c>
      <c r="X1256">
        <v>6</v>
      </c>
      <c r="Y1256" t="s">
        <v>61</v>
      </c>
      <c r="Z1256">
        <v>3.74</v>
      </c>
      <c r="AA1256" t="s">
        <v>35</v>
      </c>
    </row>
    <row r="1257" spans="1:27" x14ac:dyDescent="0.3">
      <c r="A1257" t="s">
        <v>27</v>
      </c>
      <c r="B1257" t="s">
        <v>82</v>
      </c>
      <c r="C1257">
        <v>2024</v>
      </c>
      <c r="D1257" t="s">
        <v>38</v>
      </c>
      <c r="E1257">
        <v>43023.64</v>
      </c>
      <c r="F1257">
        <v>77.900000000000006</v>
      </c>
      <c r="G1257">
        <v>261</v>
      </c>
      <c r="H1257">
        <v>130.9</v>
      </c>
      <c r="I1257">
        <v>5.36</v>
      </c>
      <c r="J1257">
        <v>163</v>
      </c>
      <c r="K1257">
        <v>308</v>
      </c>
      <c r="L1257">
        <v>274</v>
      </c>
      <c r="M1257" t="s">
        <v>30</v>
      </c>
      <c r="N1257">
        <v>5</v>
      </c>
      <c r="O1257" t="s">
        <v>31</v>
      </c>
      <c r="P1257">
        <v>70.099999999999994</v>
      </c>
      <c r="Q1257">
        <v>2308</v>
      </c>
      <c r="R1257">
        <v>5</v>
      </c>
      <c r="S1257">
        <v>0</v>
      </c>
      <c r="T1257" t="s">
        <v>32</v>
      </c>
      <c r="U1257" t="s">
        <v>42</v>
      </c>
      <c r="V1257">
        <v>246474</v>
      </c>
      <c r="W1257">
        <v>3.6</v>
      </c>
      <c r="X1257">
        <v>5</v>
      </c>
      <c r="Y1257" t="s">
        <v>43</v>
      </c>
      <c r="Z1257">
        <v>3.35</v>
      </c>
      <c r="AA1257" t="s">
        <v>35</v>
      </c>
    </row>
    <row r="1258" spans="1:27" x14ac:dyDescent="0.3">
      <c r="A1258" t="s">
        <v>52</v>
      </c>
      <c r="B1258" t="s">
        <v>86</v>
      </c>
      <c r="C1258">
        <v>2024</v>
      </c>
      <c r="D1258" t="s">
        <v>38</v>
      </c>
      <c r="E1258">
        <v>157561.98000000001</v>
      </c>
      <c r="F1258">
        <v>49.5</v>
      </c>
      <c r="G1258">
        <v>189</v>
      </c>
      <c r="H1258">
        <v>302.5</v>
      </c>
      <c r="I1258">
        <v>7.4</v>
      </c>
      <c r="J1258">
        <v>134</v>
      </c>
      <c r="K1258">
        <v>1000</v>
      </c>
      <c r="L1258">
        <v>867</v>
      </c>
      <c r="M1258" t="s">
        <v>30</v>
      </c>
      <c r="N1258">
        <v>5</v>
      </c>
      <c r="O1258" t="s">
        <v>40</v>
      </c>
      <c r="P1258">
        <v>42.4</v>
      </c>
      <c r="Q1258">
        <v>1670</v>
      </c>
      <c r="R1258">
        <v>4</v>
      </c>
      <c r="S1258">
        <v>3</v>
      </c>
      <c r="T1258" t="s">
        <v>47</v>
      </c>
      <c r="U1258" t="s">
        <v>33</v>
      </c>
      <c r="V1258">
        <v>163095</v>
      </c>
      <c r="W1258">
        <v>3.6</v>
      </c>
      <c r="X1258">
        <v>4</v>
      </c>
      <c r="Y1258" t="s">
        <v>61</v>
      </c>
      <c r="Z1258">
        <v>3.82</v>
      </c>
      <c r="AA1258" t="s">
        <v>35</v>
      </c>
    </row>
    <row r="1259" spans="1:27" x14ac:dyDescent="0.3">
      <c r="A1259" t="s">
        <v>76</v>
      </c>
      <c r="B1259" t="s">
        <v>114</v>
      </c>
      <c r="C1259">
        <v>2024</v>
      </c>
      <c r="D1259" t="s">
        <v>29</v>
      </c>
      <c r="E1259">
        <v>61789.95</v>
      </c>
      <c r="F1259">
        <v>103.8</v>
      </c>
      <c r="G1259">
        <v>357</v>
      </c>
      <c r="H1259">
        <v>155.6</v>
      </c>
      <c r="I1259">
        <v>3.45</v>
      </c>
      <c r="J1259">
        <v>194</v>
      </c>
      <c r="K1259">
        <v>672</v>
      </c>
      <c r="L1259">
        <v>573</v>
      </c>
      <c r="M1259" t="s">
        <v>39</v>
      </c>
      <c r="N1259">
        <v>7</v>
      </c>
      <c r="O1259" t="s">
        <v>65</v>
      </c>
      <c r="P1259">
        <v>16.2</v>
      </c>
      <c r="Q1259">
        <v>1500</v>
      </c>
      <c r="R1259">
        <v>5</v>
      </c>
      <c r="S1259">
        <v>0</v>
      </c>
      <c r="T1259" t="s">
        <v>51</v>
      </c>
      <c r="U1259" t="s">
        <v>42</v>
      </c>
      <c r="V1259">
        <v>110783</v>
      </c>
      <c r="W1259">
        <v>3.5</v>
      </c>
      <c r="X1259">
        <v>4</v>
      </c>
      <c r="Y1259" t="s">
        <v>34</v>
      </c>
      <c r="Z1259">
        <v>3.44</v>
      </c>
      <c r="AA1259" t="s">
        <v>35</v>
      </c>
    </row>
    <row r="1260" spans="1:27" x14ac:dyDescent="0.3">
      <c r="A1260" t="s">
        <v>52</v>
      </c>
      <c r="B1260" t="s">
        <v>53</v>
      </c>
      <c r="C1260">
        <v>2024</v>
      </c>
      <c r="D1260" t="s">
        <v>29</v>
      </c>
      <c r="E1260">
        <v>109834.54</v>
      </c>
      <c r="F1260">
        <v>79.900000000000006</v>
      </c>
      <c r="G1260">
        <v>262</v>
      </c>
      <c r="H1260">
        <v>311.60000000000002</v>
      </c>
      <c r="I1260">
        <v>3.69</v>
      </c>
      <c r="J1260">
        <v>195</v>
      </c>
      <c r="K1260">
        <v>750</v>
      </c>
      <c r="L1260">
        <v>704</v>
      </c>
      <c r="M1260" t="s">
        <v>30</v>
      </c>
      <c r="N1260">
        <v>7</v>
      </c>
      <c r="O1260" t="s">
        <v>56</v>
      </c>
      <c r="P1260">
        <v>25.5</v>
      </c>
      <c r="Q1260">
        <v>1590</v>
      </c>
      <c r="R1260">
        <v>3</v>
      </c>
      <c r="S1260">
        <v>2</v>
      </c>
      <c r="T1260" t="s">
        <v>47</v>
      </c>
      <c r="U1260" t="s">
        <v>33</v>
      </c>
      <c r="V1260">
        <v>219324</v>
      </c>
      <c r="W1260">
        <v>3.9</v>
      </c>
      <c r="X1260">
        <v>5</v>
      </c>
      <c r="Y1260" t="s">
        <v>34</v>
      </c>
      <c r="Z1260">
        <v>3.28</v>
      </c>
      <c r="AA1260" t="s">
        <v>35</v>
      </c>
    </row>
    <row r="1261" spans="1:27" x14ac:dyDescent="0.3">
      <c r="A1261" t="s">
        <v>48</v>
      </c>
      <c r="B1261" t="s">
        <v>88</v>
      </c>
      <c r="C1261">
        <v>2025</v>
      </c>
      <c r="D1261" t="s">
        <v>63</v>
      </c>
      <c r="E1261">
        <v>31082.43</v>
      </c>
      <c r="F1261">
        <v>50.7</v>
      </c>
      <c r="G1261">
        <v>177</v>
      </c>
      <c r="H1261">
        <v>128.80000000000001</v>
      </c>
      <c r="I1261">
        <v>6.48</v>
      </c>
      <c r="J1261">
        <v>143</v>
      </c>
      <c r="K1261">
        <v>191</v>
      </c>
      <c r="L1261">
        <v>200</v>
      </c>
      <c r="M1261" t="s">
        <v>39</v>
      </c>
      <c r="N1261">
        <v>5</v>
      </c>
      <c r="O1261" t="s">
        <v>40</v>
      </c>
      <c r="P1261">
        <v>61.8</v>
      </c>
      <c r="Q1261">
        <v>2151</v>
      </c>
      <c r="R1261">
        <v>5</v>
      </c>
      <c r="S1261">
        <v>1</v>
      </c>
      <c r="T1261" t="s">
        <v>51</v>
      </c>
      <c r="U1261" t="s">
        <v>74</v>
      </c>
      <c r="V1261">
        <v>76695</v>
      </c>
      <c r="W1261">
        <v>3.1</v>
      </c>
      <c r="X1261">
        <v>3</v>
      </c>
      <c r="Y1261" t="s">
        <v>43</v>
      </c>
      <c r="Z1261">
        <v>3.49</v>
      </c>
      <c r="AA1261" t="s">
        <v>35</v>
      </c>
    </row>
    <row r="1262" spans="1:27" x14ac:dyDescent="0.3">
      <c r="A1262" t="s">
        <v>71</v>
      </c>
      <c r="B1262" t="s">
        <v>72</v>
      </c>
      <c r="C1262">
        <v>2025</v>
      </c>
      <c r="D1262" t="s">
        <v>38</v>
      </c>
      <c r="E1262">
        <v>111062.23</v>
      </c>
      <c r="F1262">
        <v>40.6</v>
      </c>
      <c r="G1262">
        <v>162</v>
      </c>
      <c r="H1262">
        <v>68.8</v>
      </c>
      <c r="I1262">
        <v>7.45</v>
      </c>
      <c r="J1262">
        <v>136</v>
      </c>
      <c r="K1262">
        <v>1000</v>
      </c>
      <c r="L1262">
        <v>922</v>
      </c>
      <c r="M1262" t="s">
        <v>30</v>
      </c>
      <c r="N1262">
        <v>5</v>
      </c>
      <c r="O1262" t="s">
        <v>31</v>
      </c>
      <c r="P1262">
        <v>55.5</v>
      </c>
      <c r="Q1262">
        <v>2095</v>
      </c>
      <c r="R1262">
        <v>4</v>
      </c>
      <c r="S1262">
        <v>1</v>
      </c>
      <c r="T1262" t="s">
        <v>73</v>
      </c>
      <c r="U1262" t="s">
        <v>33</v>
      </c>
      <c r="V1262">
        <v>149002</v>
      </c>
      <c r="W1262">
        <v>3.3</v>
      </c>
      <c r="X1262">
        <v>5</v>
      </c>
      <c r="Y1262" t="s">
        <v>61</v>
      </c>
      <c r="Z1262">
        <v>3.99</v>
      </c>
      <c r="AA1262" t="s">
        <v>35</v>
      </c>
    </row>
    <row r="1263" spans="1:27" x14ac:dyDescent="0.3">
      <c r="A1263" t="s">
        <v>84</v>
      </c>
      <c r="B1263" t="s">
        <v>106</v>
      </c>
      <c r="C1263">
        <v>2025</v>
      </c>
      <c r="D1263" t="s">
        <v>38</v>
      </c>
      <c r="E1263">
        <v>56654.61</v>
      </c>
      <c r="F1263">
        <v>62.9</v>
      </c>
      <c r="G1263">
        <v>233</v>
      </c>
      <c r="H1263">
        <v>86.6</v>
      </c>
      <c r="I1263">
        <v>6.93</v>
      </c>
      <c r="J1263">
        <v>156</v>
      </c>
      <c r="K1263">
        <v>574</v>
      </c>
      <c r="L1263">
        <v>508</v>
      </c>
      <c r="M1263" t="s">
        <v>39</v>
      </c>
      <c r="N1263">
        <v>5</v>
      </c>
      <c r="O1263" t="s">
        <v>46</v>
      </c>
      <c r="P1263">
        <v>73.099999999999994</v>
      </c>
      <c r="Q1263">
        <v>1533</v>
      </c>
      <c r="R1263">
        <v>5</v>
      </c>
      <c r="S1263">
        <v>1</v>
      </c>
      <c r="T1263" t="s">
        <v>47</v>
      </c>
      <c r="U1263" t="s">
        <v>42</v>
      </c>
      <c r="V1263">
        <v>41791</v>
      </c>
      <c r="W1263">
        <v>3.5</v>
      </c>
      <c r="X1263">
        <v>3</v>
      </c>
      <c r="Y1263" t="s">
        <v>43</v>
      </c>
      <c r="Z1263">
        <v>3.7</v>
      </c>
      <c r="AA1263" t="s">
        <v>35</v>
      </c>
    </row>
    <row r="1264" spans="1:27" x14ac:dyDescent="0.3">
      <c r="A1264" t="s">
        <v>71</v>
      </c>
      <c r="B1264" t="s">
        <v>115</v>
      </c>
      <c r="C1264">
        <v>2023</v>
      </c>
      <c r="D1264" t="s">
        <v>50</v>
      </c>
      <c r="E1264">
        <v>82830.36</v>
      </c>
      <c r="F1264">
        <v>90.4</v>
      </c>
      <c r="G1264">
        <v>294</v>
      </c>
      <c r="H1264">
        <v>100.7</v>
      </c>
      <c r="I1264">
        <v>4.88</v>
      </c>
      <c r="J1264">
        <v>175</v>
      </c>
      <c r="K1264">
        <v>902</v>
      </c>
      <c r="L1264">
        <v>753</v>
      </c>
      <c r="M1264" t="s">
        <v>39</v>
      </c>
      <c r="N1264">
        <v>7</v>
      </c>
      <c r="O1264" t="s">
        <v>46</v>
      </c>
      <c r="P1264">
        <v>66.7</v>
      </c>
      <c r="Q1264">
        <v>1756</v>
      </c>
      <c r="R1264">
        <v>5</v>
      </c>
      <c r="S1264">
        <v>1</v>
      </c>
      <c r="T1264" t="s">
        <v>73</v>
      </c>
      <c r="U1264" t="s">
        <v>38</v>
      </c>
      <c r="V1264">
        <v>213531</v>
      </c>
      <c r="W1264">
        <v>3.8</v>
      </c>
      <c r="X1264">
        <v>3</v>
      </c>
      <c r="Y1264" t="s">
        <v>43</v>
      </c>
      <c r="Z1264">
        <v>3.25</v>
      </c>
      <c r="AA1264" t="s">
        <v>35</v>
      </c>
    </row>
    <row r="1265" spans="1:27" x14ac:dyDescent="0.3">
      <c r="A1265" t="s">
        <v>27</v>
      </c>
      <c r="B1265" t="s">
        <v>28</v>
      </c>
      <c r="C1265">
        <v>2025</v>
      </c>
      <c r="D1265" t="s">
        <v>68</v>
      </c>
      <c r="E1265">
        <v>85586.86</v>
      </c>
      <c r="F1265">
        <v>50.5</v>
      </c>
      <c r="G1265">
        <v>179</v>
      </c>
      <c r="H1265">
        <v>124</v>
      </c>
      <c r="I1265">
        <v>5.85</v>
      </c>
      <c r="J1265">
        <v>160</v>
      </c>
      <c r="K1265">
        <v>939</v>
      </c>
      <c r="L1265">
        <v>848</v>
      </c>
      <c r="M1265" t="s">
        <v>54</v>
      </c>
      <c r="N1265">
        <v>5</v>
      </c>
      <c r="O1265" t="s">
        <v>31</v>
      </c>
      <c r="P1265">
        <v>75.3</v>
      </c>
      <c r="Q1265">
        <v>2623</v>
      </c>
      <c r="R1265">
        <v>3</v>
      </c>
      <c r="S1265">
        <v>0</v>
      </c>
      <c r="T1265" t="s">
        <v>32</v>
      </c>
      <c r="U1265" t="s">
        <v>38</v>
      </c>
      <c r="V1265">
        <v>259718</v>
      </c>
      <c r="W1265">
        <v>3</v>
      </c>
      <c r="X1265">
        <v>5</v>
      </c>
      <c r="Y1265" t="s">
        <v>43</v>
      </c>
      <c r="Z1265">
        <v>3.54</v>
      </c>
      <c r="AA1265" t="s">
        <v>35</v>
      </c>
    </row>
    <row r="1266" spans="1:27" x14ac:dyDescent="0.3">
      <c r="A1266" t="s">
        <v>52</v>
      </c>
      <c r="B1266" t="s">
        <v>64</v>
      </c>
      <c r="C1266">
        <v>2023</v>
      </c>
      <c r="D1266" t="s">
        <v>29</v>
      </c>
      <c r="E1266">
        <v>170972.65</v>
      </c>
      <c r="F1266">
        <v>105.1</v>
      </c>
      <c r="G1266">
        <v>373</v>
      </c>
      <c r="H1266">
        <v>286</v>
      </c>
      <c r="I1266">
        <v>3.44</v>
      </c>
      <c r="J1266">
        <v>200</v>
      </c>
      <c r="K1266">
        <v>1000</v>
      </c>
      <c r="L1266">
        <v>935</v>
      </c>
      <c r="M1266" t="s">
        <v>54</v>
      </c>
      <c r="N1266">
        <v>7</v>
      </c>
      <c r="O1266" t="s">
        <v>46</v>
      </c>
      <c r="P1266">
        <v>62</v>
      </c>
      <c r="Q1266">
        <v>1500</v>
      </c>
      <c r="R1266">
        <v>3</v>
      </c>
      <c r="S1266">
        <v>2</v>
      </c>
      <c r="T1266" t="s">
        <v>47</v>
      </c>
      <c r="U1266" t="s">
        <v>33</v>
      </c>
      <c r="V1266">
        <v>177006</v>
      </c>
      <c r="W1266">
        <v>3.9</v>
      </c>
      <c r="X1266">
        <v>4</v>
      </c>
      <c r="Y1266" t="s">
        <v>34</v>
      </c>
      <c r="Z1266">
        <v>3.55</v>
      </c>
      <c r="AA1266" t="s">
        <v>35</v>
      </c>
    </row>
    <row r="1267" spans="1:27" x14ac:dyDescent="0.3">
      <c r="A1267" t="s">
        <v>52</v>
      </c>
      <c r="B1267" t="s">
        <v>55</v>
      </c>
      <c r="C1267">
        <v>2024</v>
      </c>
      <c r="D1267" t="s">
        <v>50</v>
      </c>
      <c r="E1267">
        <v>158710.22</v>
      </c>
      <c r="F1267">
        <v>93.6</v>
      </c>
      <c r="G1267">
        <v>300</v>
      </c>
      <c r="H1267">
        <v>349.6</v>
      </c>
      <c r="I1267">
        <v>4.55</v>
      </c>
      <c r="J1267">
        <v>182</v>
      </c>
      <c r="K1267">
        <v>1000</v>
      </c>
      <c r="L1267">
        <v>900</v>
      </c>
      <c r="M1267" t="s">
        <v>39</v>
      </c>
      <c r="N1267">
        <v>5</v>
      </c>
      <c r="O1267" t="s">
        <v>46</v>
      </c>
      <c r="P1267">
        <v>74.2</v>
      </c>
      <c r="Q1267">
        <v>1503</v>
      </c>
      <c r="R1267">
        <v>5</v>
      </c>
      <c r="S1267">
        <v>2</v>
      </c>
      <c r="T1267" t="s">
        <v>47</v>
      </c>
      <c r="U1267" t="s">
        <v>33</v>
      </c>
      <c r="V1267">
        <v>416641</v>
      </c>
      <c r="W1267">
        <v>3.7</v>
      </c>
      <c r="X1267">
        <v>5</v>
      </c>
      <c r="Y1267" t="s">
        <v>43</v>
      </c>
      <c r="Z1267">
        <v>3.21</v>
      </c>
      <c r="AA1267" t="s">
        <v>35</v>
      </c>
    </row>
    <row r="1268" spans="1:27" x14ac:dyDescent="0.3">
      <c r="A1268" t="s">
        <v>27</v>
      </c>
      <c r="B1268" t="s">
        <v>83</v>
      </c>
      <c r="C1268">
        <v>2026</v>
      </c>
      <c r="D1268" t="s">
        <v>29</v>
      </c>
      <c r="E1268">
        <v>102827.77</v>
      </c>
      <c r="F1268">
        <v>98.2</v>
      </c>
      <c r="G1268">
        <v>350</v>
      </c>
      <c r="H1268">
        <v>164.2</v>
      </c>
      <c r="I1268">
        <v>3.3</v>
      </c>
      <c r="J1268">
        <v>196</v>
      </c>
      <c r="K1268">
        <v>1000</v>
      </c>
      <c r="L1268">
        <v>867</v>
      </c>
      <c r="M1268" t="s">
        <v>54</v>
      </c>
      <c r="N1268">
        <v>5</v>
      </c>
      <c r="O1268" t="s">
        <v>31</v>
      </c>
      <c r="P1268">
        <v>78.099999999999994</v>
      </c>
      <c r="Q1268">
        <v>2341</v>
      </c>
      <c r="R1268">
        <v>5</v>
      </c>
      <c r="S1268">
        <v>0</v>
      </c>
      <c r="T1268" t="s">
        <v>32</v>
      </c>
      <c r="U1268" t="s">
        <v>33</v>
      </c>
      <c r="V1268">
        <v>238315</v>
      </c>
      <c r="W1268">
        <v>3.8</v>
      </c>
      <c r="X1268">
        <v>4</v>
      </c>
      <c r="Y1268" t="s">
        <v>34</v>
      </c>
      <c r="Z1268">
        <v>3.56</v>
      </c>
      <c r="AA1268" t="s">
        <v>35</v>
      </c>
    </row>
    <row r="1269" spans="1:27" x14ac:dyDescent="0.3">
      <c r="A1269" t="s">
        <v>76</v>
      </c>
      <c r="B1269" t="s">
        <v>87</v>
      </c>
      <c r="C1269">
        <v>2024</v>
      </c>
      <c r="D1269" t="s">
        <v>38</v>
      </c>
      <c r="E1269">
        <v>58686.32</v>
      </c>
      <c r="F1269">
        <v>81.599999999999994</v>
      </c>
      <c r="G1269">
        <v>285</v>
      </c>
      <c r="H1269">
        <v>109.1</v>
      </c>
      <c r="I1269">
        <v>5.83</v>
      </c>
      <c r="J1269">
        <v>161</v>
      </c>
      <c r="K1269">
        <v>698</v>
      </c>
      <c r="L1269">
        <v>594</v>
      </c>
      <c r="M1269" t="s">
        <v>54</v>
      </c>
      <c r="N1269">
        <v>5</v>
      </c>
      <c r="O1269" t="s">
        <v>31</v>
      </c>
      <c r="P1269">
        <v>71.099999999999994</v>
      </c>
      <c r="Q1269">
        <v>2388</v>
      </c>
      <c r="R1269">
        <v>5</v>
      </c>
      <c r="S1269">
        <v>0</v>
      </c>
      <c r="T1269" t="s">
        <v>51</v>
      </c>
      <c r="U1269" t="s">
        <v>42</v>
      </c>
      <c r="V1269">
        <v>66241</v>
      </c>
      <c r="W1269">
        <v>3.4</v>
      </c>
      <c r="X1269">
        <v>4</v>
      </c>
      <c r="Y1269" t="s">
        <v>43</v>
      </c>
      <c r="Z1269">
        <v>3.49</v>
      </c>
      <c r="AA1269" t="s">
        <v>35</v>
      </c>
    </row>
    <row r="1270" spans="1:27" x14ac:dyDescent="0.3">
      <c r="A1270" t="s">
        <v>48</v>
      </c>
      <c r="B1270" t="s">
        <v>88</v>
      </c>
      <c r="C1270">
        <v>2024</v>
      </c>
      <c r="D1270" t="s">
        <v>29</v>
      </c>
      <c r="E1270">
        <v>50056.29</v>
      </c>
      <c r="F1270">
        <v>111.5</v>
      </c>
      <c r="G1270">
        <v>391</v>
      </c>
      <c r="H1270">
        <v>219.1</v>
      </c>
      <c r="I1270">
        <v>3.13</v>
      </c>
      <c r="J1270">
        <v>195</v>
      </c>
      <c r="K1270">
        <v>472</v>
      </c>
      <c r="L1270">
        <v>488</v>
      </c>
      <c r="M1270" t="s">
        <v>39</v>
      </c>
      <c r="N1270">
        <v>5</v>
      </c>
      <c r="O1270" t="s">
        <v>40</v>
      </c>
      <c r="P1270">
        <v>63.8</v>
      </c>
      <c r="Q1270">
        <v>1774</v>
      </c>
      <c r="R1270">
        <v>3</v>
      </c>
      <c r="S1270">
        <v>0</v>
      </c>
      <c r="T1270" t="s">
        <v>51</v>
      </c>
      <c r="U1270" t="s">
        <v>42</v>
      </c>
      <c r="V1270">
        <v>140441</v>
      </c>
      <c r="W1270">
        <v>4</v>
      </c>
      <c r="X1270">
        <v>5</v>
      </c>
      <c r="Y1270" t="s">
        <v>34</v>
      </c>
      <c r="Z1270">
        <v>3.51</v>
      </c>
      <c r="AA1270" t="s">
        <v>35</v>
      </c>
    </row>
    <row r="1271" spans="1:27" x14ac:dyDescent="0.3">
      <c r="A1271" t="s">
        <v>71</v>
      </c>
      <c r="B1271" t="s">
        <v>81</v>
      </c>
      <c r="C1271">
        <v>2021</v>
      </c>
      <c r="D1271" t="s">
        <v>63</v>
      </c>
      <c r="E1271">
        <v>24412.01</v>
      </c>
      <c r="F1271">
        <v>82.7</v>
      </c>
      <c r="G1271">
        <v>290</v>
      </c>
      <c r="H1271">
        <v>66.599999999999994</v>
      </c>
      <c r="I1271">
        <v>6</v>
      </c>
      <c r="J1271">
        <v>152</v>
      </c>
      <c r="K1271">
        <v>221</v>
      </c>
      <c r="L1271">
        <v>200</v>
      </c>
      <c r="M1271" t="s">
        <v>39</v>
      </c>
      <c r="N1271">
        <v>5</v>
      </c>
      <c r="O1271" t="s">
        <v>31</v>
      </c>
      <c r="P1271">
        <v>64.5</v>
      </c>
      <c r="Q1271">
        <v>2592</v>
      </c>
      <c r="R1271">
        <v>5</v>
      </c>
      <c r="S1271">
        <v>0</v>
      </c>
      <c r="T1271" t="s">
        <v>73</v>
      </c>
      <c r="U1271" t="s">
        <v>74</v>
      </c>
      <c r="V1271">
        <v>206262</v>
      </c>
      <c r="W1271">
        <v>3.7</v>
      </c>
      <c r="X1271">
        <v>4</v>
      </c>
      <c r="Y1271" t="s">
        <v>43</v>
      </c>
      <c r="Z1271">
        <v>3.51</v>
      </c>
      <c r="AA1271" t="s">
        <v>35</v>
      </c>
    </row>
    <row r="1272" spans="1:27" x14ac:dyDescent="0.3">
      <c r="A1272" t="s">
        <v>44</v>
      </c>
      <c r="B1272" t="s">
        <v>110</v>
      </c>
      <c r="C1272">
        <v>2024</v>
      </c>
      <c r="D1272" t="s">
        <v>50</v>
      </c>
      <c r="E1272">
        <v>58896.05</v>
      </c>
      <c r="F1272">
        <v>104.7</v>
      </c>
      <c r="G1272">
        <v>389</v>
      </c>
      <c r="H1272">
        <v>101.3</v>
      </c>
      <c r="I1272">
        <v>4.57</v>
      </c>
      <c r="J1272">
        <v>184</v>
      </c>
      <c r="K1272">
        <v>752</v>
      </c>
      <c r="L1272">
        <v>710</v>
      </c>
      <c r="M1272" t="s">
        <v>39</v>
      </c>
      <c r="N1272">
        <v>7</v>
      </c>
      <c r="O1272" t="s">
        <v>40</v>
      </c>
      <c r="P1272">
        <v>65</v>
      </c>
      <c r="Q1272">
        <v>1846</v>
      </c>
      <c r="R1272">
        <v>4</v>
      </c>
      <c r="S1272">
        <v>2</v>
      </c>
      <c r="T1272" t="s">
        <v>47</v>
      </c>
      <c r="U1272" t="s">
        <v>42</v>
      </c>
      <c r="V1272">
        <v>16859</v>
      </c>
      <c r="W1272">
        <v>3.9</v>
      </c>
      <c r="X1272">
        <v>5</v>
      </c>
      <c r="Y1272" t="s">
        <v>43</v>
      </c>
      <c r="Z1272">
        <v>3.72</v>
      </c>
      <c r="AA1272" t="s">
        <v>43</v>
      </c>
    </row>
    <row r="1273" spans="1:27" x14ac:dyDescent="0.3">
      <c r="A1273" t="s">
        <v>58</v>
      </c>
      <c r="B1273" t="s">
        <v>70</v>
      </c>
      <c r="C1273">
        <v>2024</v>
      </c>
      <c r="D1273" t="s">
        <v>50</v>
      </c>
      <c r="E1273">
        <v>113572.04</v>
      </c>
      <c r="F1273">
        <v>85.7</v>
      </c>
      <c r="G1273">
        <v>286</v>
      </c>
      <c r="H1273">
        <v>129.9</v>
      </c>
      <c r="I1273">
        <v>5.52</v>
      </c>
      <c r="J1273">
        <v>177</v>
      </c>
      <c r="K1273">
        <v>660</v>
      </c>
      <c r="L1273">
        <v>563</v>
      </c>
      <c r="M1273" t="s">
        <v>39</v>
      </c>
      <c r="N1273">
        <v>5</v>
      </c>
      <c r="O1273" t="s">
        <v>46</v>
      </c>
      <c r="P1273">
        <v>76.400000000000006</v>
      </c>
      <c r="Q1273">
        <v>1776</v>
      </c>
      <c r="R1273">
        <v>4</v>
      </c>
      <c r="S1273">
        <v>2</v>
      </c>
      <c r="T1273" t="s">
        <v>32</v>
      </c>
      <c r="U1273" t="s">
        <v>33</v>
      </c>
      <c r="V1273">
        <v>73690</v>
      </c>
      <c r="W1273">
        <v>3.8</v>
      </c>
      <c r="X1273">
        <v>7</v>
      </c>
      <c r="Y1273" t="s">
        <v>43</v>
      </c>
      <c r="Z1273">
        <v>3.34</v>
      </c>
      <c r="AA1273" t="s">
        <v>35</v>
      </c>
    </row>
    <row r="1274" spans="1:27" x14ac:dyDescent="0.3">
      <c r="A1274" t="s">
        <v>84</v>
      </c>
      <c r="B1274" t="s">
        <v>89</v>
      </c>
      <c r="C1274">
        <v>2025</v>
      </c>
      <c r="D1274" t="s">
        <v>68</v>
      </c>
      <c r="E1274">
        <v>32151.97</v>
      </c>
      <c r="F1274">
        <v>58.3</v>
      </c>
      <c r="G1274">
        <v>176</v>
      </c>
      <c r="H1274">
        <v>88.3</v>
      </c>
      <c r="I1274">
        <v>5.4</v>
      </c>
      <c r="J1274">
        <v>169</v>
      </c>
      <c r="K1274">
        <v>156</v>
      </c>
      <c r="L1274">
        <v>200</v>
      </c>
      <c r="M1274" t="s">
        <v>39</v>
      </c>
      <c r="N1274">
        <v>5</v>
      </c>
      <c r="O1274" t="s">
        <v>56</v>
      </c>
      <c r="P1274">
        <v>34.6</v>
      </c>
      <c r="Q1274">
        <v>1556</v>
      </c>
      <c r="R1274">
        <v>4</v>
      </c>
      <c r="S1274">
        <v>0</v>
      </c>
      <c r="T1274" t="s">
        <v>47</v>
      </c>
      <c r="U1274" t="s">
        <v>74</v>
      </c>
      <c r="V1274">
        <v>25887</v>
      </c>
      <c r="W1274">
        <v>3.1</v>
      </c>
      <c r="X1274">
        <v>4</v>
      </c>
      <c r="Y1274" t="s">
        <v>43</v>
      </c>
      <c r="Z1274">
        <v>3.02</v>
      </c>
      <c r="AA1274" t="s">
        <v>35</v>
      </c>
    </row>
    <row r="1275" spans="1:27" x14ac:dyDescent="0.3">
      <c r="A1275" t="s">
        <v>52</v>
      </c>
      <c r="B1275" t="s">
        <v>55</v>
      </c>
      <c r="C1275">
        <v>2024</v>
      </c>
      <c r="D1275" t="s">
        <v>38</v>
      </c>
      <c r="E1275">
        <v>168092.71</v>
      </c>
      <c r="F1275">
        <v>81.2</v>
      </c>
      <c r="G1275">
        <v>269</v>
      </c>
      <c r="H1275">
        <v>254.7</v>
      </c>
      <c r="I1275">
        <v>7.94</v>
      </c>
      <c r="J1275">
        <v>124</v>
      </c>
      <c r="K1275">
        <v>1000</v>
      </c>
      <c r="L1275">
        <v>891</v>
      </c>
      <c r="M1275" t="s">
        <v>54</v>
      </c>
      <c r="N1275">
        <v>5</v>
      </c>
      <c r="O1275" t="s">
        <v>57</v>
      </c>
      <c r="P1275">
        <v>22.6</v>
      </c>
      <c r="Q1275">
        <v>1659</v>
      </c>
      <c r="R1275">
        <v>3</v>
      </c>
      <c r="S1275">
        <v>3</v>
      </c>
      <c r="T1275" t="s">
        <v>47</v>
      </c>
      <c r="U1275" t="s">
        <v>33</v>
      </c>
      <c r="V1275">
        <v>434155</v>
      </c>
      <c r="W1275">
        <v>3.8</v>
      </c>
      <c r="X1275">
        <v>6</v>
      </c>
      <c r="Y1275" t="s">
        <v>61</v>
      </c>
      <c r="Z1275">
        <v>3.31</v>
      </c>
      <c r="AA1275" t="s">
        <v>35</v>
      </c>
    </row>
    <row r="1276" spans="1:27" x14ac:dyDescent="0.3">
      <c r="A1276" t="s">
        <v>76</v>
      </c>
      <c r="B1276" t="s">
        <v>98</v>
      </c>
      <c r="C1276">
        <v>2020</v>
      </c>
      <c r="D1276" t="s">
        <v>29</v>
      </c>
      <c r="E1276">
        <v>74306.48</v>
      </c>
      <c r="F1276">
        <v>85.9</v>
      </c>
      <c r="G1276">
        <v>286</v>
      </c>
      <c r="H1276">
        <v>175.1</v>
      </c>
      <c r="I1276">
        <v>3.09</v>
      </c>
      <c r="J1276">
        <v>200</v>
      </c>
      <c r="K1276">
        <v>962</v>
      </c>
      <c r="L1276">
        <v>889</v>
      </c>
      <c r="M1276" t="s">
        <v>30</v>
      </c>
      <c r="N1276">
        <v>7</v>
      </c>
      <c r="O1276" t="s">
        <v>31</v>
      </c>
      <c r="P1276">
        <v>68.400000000000006</v>
      </c>
      <c r="Q1276">
        <v>2759</v>
      </c>
      <c r="R1276">
        <v>5</v>
      </c>
      <c r="S1276">
        <v>1</v>
      </c>
      <c r="T1276" t="s">
        <v>51</v>
      </c>
      <c r="U1276" t="s">
        <v>38</v>
      </c>
      <c r="V1276">
        <v>113130</v>
      </c>
      <c r="W1276">
        <v>3.7</v>
      </c>
      <c r="X1276">
        <v>4</v>
      </c>
      <c r="Y1276" t="s">
        <v>34</v>
      </c>
      <c r="Z1276">
        <v>3.33</v>
      </c>
      <c r="AA1276" t="s">
        <v>35</v>
      </c>
    </row>
    <row r="1277" spans="1:27" x14ac:dyDescent="0.3">
      <c r="A1277" t="s">
        <v>52</v>
      </c>
      <c r="B1277" t="s">
        <v>86</v>
      </c>
      <c r="C1277">
        <v>2025</v>
      </c>
      <c r="D1277" t="s">
        <v>29</v>
      </c>
      <c r="E1277">
        <v>99111.24</v>
      </c>
      <c r="F1277">
        <v>103.7</v>
      </c>
      <c r="G1277">
        <v>345</v>
      </c>
      <c r="H1277">
        <v>330.8</v>
      </c>
      <c r="I1277">
        <v>4.34</v>
      </c>
      <c r="J1277">
        <v>182</v>
      </c>
      <c r="K1277">
        <v>750</v>
      </c>
      <c r="L1277">
        <v>689</v>
      </c>
      <c r="M1277" t="s">
        <v>54</v>
      </c>
      <c r="N1277">
        <v>7</v>
      </c>
      <c r="O1277" t="s">
        <v>31</v>
      </c>
      <c r="P1277">
        <v>60.8</v>
      </c>
      <c r="Q1277">
        <v>2442</v>
      </c>
      <c r="R1277">
        <v>5</v>
      </c>
      <c r="S1277">
        <v>3</v>
      </c>
      <c r="T1277" t="s">
        <v>47</v>
      </c>
      <c r="U1277" t="s">
        <v>38</v>
      </c>
      <c r="V1277">
        <v>160176</v>
      </c>
      <c r="W1277">
        <v>4</v>
      </c>
      <c r="X1277">
        <v>5</v>
      </c>
      <c r="Y1277" t="s">
        <v>43</v>
      </c>
      <c r="Z1277">
        <v>3.33</v>
      </c>
      <c r="AA1277" t="s">
        <v>35</v>
      </c>
    </row>
    <row r="1278" spans="1:27" x14ac:dyDescent="0.3">
      <c r="A1278" t="s">
        <v>71</v>
      </c>
      <c r="B1278" t="s">
        <v>81</v>
      </c>
      <c r="C1278">
        <v>2026</v>
      </c>
      <c r="D1278" t="s">
        <v>50</v>
      </c>
      <c r="E1278">
        <v>32377.24</v>
      </c>
      <c r="F1278">
        <v>104</v>
      </c>
      <c r="G1278">
        <v>378</v>
      </c>
      <c r="H1278">
        <v>82.5</v>
      </c>
      <c r="I1278">
        <v>4.1100000000000003</v>
      </c>
      <c r="J1278">
        <v>184</v>
      </c>
      <c r="K1278">
        <v>309</v>
      </c>
      <c r="L1278">
        <v>238</v>
      </c>
      <c r="M1278" t="s">
        <v>54</v>
      </c>
      <c r="N1278">
        <v>5</v>
      </c>
      <c r="O1278" t="s">
        <v>57</v>
      </c>
      <c r="P1278">
        <v>21.4</v>
      </c>
      <c r="Q1278">
        <v>1701</v>
      </c>
      <c r="R1278">
        <v>4</v>
      </c>
      <c r="S1278">
        <v>1</v>
      </c>
      <c r="T1278" t="s">
        <v>73</v>
      </c>
      <c r="U1278" t="s">
        <v>74</v>
      </c>
      <c r="V1278">
        <v>164156</v>
      </c>
      <c r="W1278">
        <v>3.8</v>
      </c>
      <c r="X1278">
        <v>3</v>
      </c>
      <c r="Y1278" t="s">
        <v>43</v>
      </c>
      <c r="Z1278">
        <v>3.63</v>
      </c>
      <c r="AA1278" t="s">
        <v>35</v>
      </c>
    </row>
    <row r="1279" spans="1:27" x14ac:dyDescent="0.3">
      <c r="A1279" t="s">
        <v>107</v>
      </c>
      <c r="B1279" t="s">
        <v>108</v>
      </c>
      <c r="C1279">
        <v>2021</v>
      </c>
      <c r="D1279" t="s">
        <v>68</v>
      </c>
      <c r="E1279">
        <v>163150.51999999999</v>
      </c>
      <c r="F1279">
        <v>73.900000000000006</v>
      </c>
      <c r="G1279">
        <v>281</v>
      </c>
      <c r="H1279">
        <v>216.8</v>
      </c>
      <c r="I1279">
        <v>7.11</v>
      </c>
      <c r="J1279">
        <v>137</v>
      </c>
      <c r="K1279">
        <v>828</v>
      </c>
      <c r="L1279">
        <v>758</v>
      </c>
      <c r="M1279" t="s">
        <v>30</v>
      </c>
      <c r="N1279">
        <v>5</v>
      </c>
      <c r="O1279" t="s">
        <v>46</v>
      </c>
      <c r="P1279">
        <v>61.1</v>
      </c>
      <c r="Q1279">
        <v>1678</v>
      </c>
      <c r="R1279">
        <v>5</v>
      </c>
      <c r="S1279">
        <v>1</v>
      </c>
      <c r="T1279" t="s">
        <v>32</v>
      </c>
      <c r="U1279" t="s">
        <v>33</v>
      </c>
      <c r="V1279">
        <v>2340</v>
      </c>
      <c r="W1279">
        <v>4</v>
      </c>
      <c r="X1279">
        <v>6</v>
      </c>
      <c r="Y1279" t="s">
        <v>61</v>
      </c>
      <c r="Z1279">
        <v>3.8</v>
      </c>
      <c r="AA1279" t="s">
        <v>69</v>
      </c>
    </row>
    <row r="1280" spans="1:27" x14ac:dyDescent="0.3">
      <c r="A1280" t="s">
        <v>52</v>
      </c>
      <c r="B1280" t="s">
        <v>80</v>
      </c>
      <c r="C1280">
        <v>2023</v>
      </c>
      <c r="D1280" t="s">
        <v>38</v>
      </c>
      <c r="E1280">
        <v>172193.15</v>
      </c>
      <c r="F1280">
        <v>58.2</v>
      </c>
      <c r="G1280">
        <v>181</v>
      </c>
      <c r="H1280">
        <v>222.8</v>
      </c>
      <c r="I1280">
        <v>6.94</v>
      </c>
      <c r="J1280">
        <v>147</v>
      </c>
      <c r="K1280">
        <v>1000</v>
      </c>
      <c r="L1280">
        <v>859</v>
      </c>
      <c r="M1280" t="s">
        <v>54</v>
      </c>
      <c r="N1280">
        <v>5</v>
      </c>
      <c r="O1280" t="s">
        <v>31</v>
      </c>
      <c r="P1280">
        <v>69.400000000000006</v>
      </c>
      <c r="Q1280">
        <v>2679</v>
      </c>
      <c r="R1280">
        <v>5</v>
      </c>
      <c r="S1280">
        <v>2</v>
      </c>
      <c r="T1280" t="s">
        <v>47</v>
      </c>
      <c r="U1280" t="s">
        <v>33</v>
      </c>
      <c r="V1280">
        <v>199763</v>
      </c>
      <c r="W1280">
        <v>3.4</v>
      </c>
      <c r="X1280">
        <v>5</v>
      </c>
      <c r="Y1280" t="s">
        <v>43</v>
      </c>
      <c r="Z1280">
        <v>3.11</v>
      </c>
      <c r="AA1280" t="s">
        <v>35</v>
      </c>
    </row>
    <row r="1281" spans="1:27" x14ac:dyDescent="0.3">
      <c r="A1281" t="s">
        <v>76</v>
      </c>
      <c r="B1281" t="s">
        <v>77</v>
      </c>
      <c r="C1281">
        <v>2025</v>
      </c>
      <c r="D1281" t="s">
        <v>63</v>
      </c>
      <c r="E1281">
        <v>46056.18</v>
      </c>
      <c r="F1281">
        <v>74.8</v>
      </c>
      <c r="G1281">
        <v>259</v>
      </c>
      <c r="H1281">
        <v>101.6</v>
      </c>
      <c r="I1281">
        <v>6.39</v>
      </c>
      <c r="J1281">
        <v>153</v>
      </c>
      <c r="K1281">
        <v>458</v>
      </c>
      <c r="L1281">
        <v>417</v>
      </c>
      <c r="M1281" t="s">
        <v>39</v>
      </c>
      <c r="N1281">
        <v>7</v>
      </c>
      <c r="O1281" t="s">
        <v>65</v>
      </c>
      <c r="P1281">
        <v>18.7</v>
      </c>
      <c r="Q1281">
        <v>1504</v>
      </c>
      <c r="R1281">
        <v>5</v>
      </c>
      <c r="S1281">
        <v>1</v>
      </c>
      <c r="T1281" t="s">
        <v>51</v>
      </c>
      <c r="U1281" t="s">
        <v>42</v>
      </c>
      <c r="V1281">
        <v>143815</v>
      </c>
      <c r="W1281">
        <v>3.6</v>
      </c>
      <c r="X1281">
        <v>5</v>
      </c>
      <c r="Y1281" t="s">
        <v>43</v>
      </c>
      <c r="Z1281">
        <v>3.46</v>
      </c>
      <c r="AA1281" t="s">
        <v>35</v>
      </c>
    </row>
    <row r="1282" spans="1:27" x14ac:dyDescent="0.3">
      <c r="A1282" t="s">
        <v>48</v>
      </c>
      <c r="B1282" t="s">
        <v>79</v>
      </c>
      <c r="C1282">
        <v>2025</v>
      </c>
      <c r="D1282" t="s">
        <v>29</v>
      </c>
      <c r="E1282">
        <v>88002.42</v>
      </c>
      <c r="F1282">
        <v>95.9</v>
      </c>
      <c r="G1282">
        <v>334</v>
      </c>
      <c r="H1282">
        <v>206.4</v>
      </c>
      <c r="I1282">
        <v>2.6</v>
      </c>
      <c r="J1282">
        <v>200</v>
      </c>
      <c r="K1282">
        <v>1000</v>
      </c>
      <c r="L1282">
        <v>908</v>
      </c>
      <c r="M1282" t="s">
        <v>54</v>
      </c>
      <c r="N1282">
        <v>5</v>
      </c>
      <c r="O1282" t="s">
        <v>40</v>
      </c>
      <c r="P1282">
        <v>54.2</v>
      </c>
      <c r="Q1282">
        <v>1841</v>
      </c>
      <c r="R1282">
        <v>5</v>
      </c>
      <c r="S1282">
        <v>1</v>
      </c>
      <c r="T1282" t="s">
        <v>51</v>
      </c>
      <c r="U1282" t="s">
        <v>38</v>
      </c>
      <c r="V1282">
        <v>60132</v>
      </c>
      <c r="W1282">
        <v>3.6</v>
      </c>
      <c r="X1282">
        <v>4</v>
      </c>
      <c r="Y1282" t="s">
        <v>34</v>
      </c>
      <c r="Z1282">
        <v>3.48</v>
      </c>
      <c r="AA1282" t="s">
        <v>35</v>
      </c>
    </row>
    <row r="1283" spans="1:27" x14ac:dyDescent="0.3">
      <c r="A1283" t="s">
        <v>44</v>
      </c>
      <c r="B1283" t="s">
        <v>110</v>
      </c>
      <c r="C1283">
        <v>2025</v>
      </c>
      <c r="D1283" t="s">
        <v>63</v>
      </c>
      <c r="E1283">
        <v>57562.96</v>
      </c>
      <c r="F1283">
        <v>48</v>
      </c>
      <c r="G1283">
        <v>172</v>
      </c>
      <c r="H1283">
        <v>143</v>
      </c>
      <c r="I1283">
        <v>6.33</v>
      </c>
      <c r="J1283">
        <v>154</v>
      </c>
      <c r="K1283">
        <v>716</v>
      </c>
      <c r="L1283">
        <v>637</v>
      </c>
      <c r="M1283" t="s">
        <v>30</v>
      </c>
      <c r="N1283">
        <v>5</v>
      </c>
      <c r="O1283" t="s">
        <v>40</v>
      </c>
      <c r="P1283">
        <v>46.1</v>
      </c>
      <c r="Q1283">
        <v>2246</v>
      </c>
      <c r="R1283">
        <v>5</v>
      </c>
      <c r="S1283">
        <v>1</v>
      </c>
      <c r="T1283" t="s">
        <v>47</v>
      </c>
      <c r="U1283" t="s">
        <v>42</v>
      </c>
      <c r="V1283">
        <v>18527</v>
      </c>
      <c r="W1283">
        <v>3.4</v>
      </c>
      <c r="X1283">
        <v>5</v>
      </c>
      <c r="Y1283" t="s">
        <v>43</v>
      </c>
      <c r="Z1283">
        <v>3.58</v>
      </c>
      <c r="AA1283" t="s">
        <v>43</v>
      </c>
    </row>
    <row r="1284" spans="1:27" x14ac:dyDescent="0.3">
      <c r="A1284" t="s">
        <v>48</v>
      </c>
      <c r="B1284" t="s">
        <v>123</v>
      </c>
      <c r="C1284">
        <v>2021</v>
      </c>
      <c r="D1284" t="s">
        <v>38</v>
      </c>
      <c r="E1284">
        <v>91322.04</v>
      </c>
      <c r="F1284">
        <v>65.900000000000006</v>
      </c>
      <c r="G1284">
        <v>229</v>
      </c>
      <c r="H1284">
        <v>67.7</v>
      </c>
      <c r="I1284">
        <v>6.42</v>
      </c>
      <c r="J1284">
        <v>156</v>
      </c>
      <c r="K1284">
        <v>1000</v>
      </c>
      <c r="L1284">
        <v>818</v>
      </c>
      <c r="M1284" t="s">
        <v>54</v>
      </c>
      <c r="N1284">
        <v>7</v>
      </c>
      <c r="O1284" t="s">
        <v>40</v>
      </c>
      <c r="P1284">
        <v>52.4</v>
      </c>
      <c r="Q1284">
        <v>2083</v>
      </c>
      <c r="R1284">
        <v>4</v>
      </c>
      <c r="S1284">
        <v>1</v>
      </c>
      <c r="T1284" t="s">
        <v>51</v>
      </c>
      <c r="U1284" t="s">
        <v>38</v>
      </c>
      <c r="V1284">
        <v>103135</v>
      </c>
      <c r="W1284">
        <v>3.4</v>
      </c>
      <c r="X1284">
        <v>3</v>
      </c>
      <c r="Y1284" t="s">
        <v>43</v>
      </c>
      <c r="Z1284">
        <v>3.47</v>
      </c>
      <c r="AA1284" t="s">
        <v>35</v>
      </c>
    </row>
    <row r="1285" spans="1:27" x14ac:dyDescent="0.3">
      <c r="A1285" t="s">
        <v>52</v>
      </c>
      <c r="B1285" t="s">
        <v>53</v>
      </c>
      <c r="C1285">
        <v>2025</v>
      </c>
      <c r="D1285" t="s">
        <v>68</v>
      </c>
      <c r="E1285">
        <v>39764.730000000003</v>
      </c>
      <c r="F1285">
        <v>62.8</v>
      </c>
      <c r="G1285">
        <v>218</v>
      </c>
      <c r="H1285">
        <v>293.10000000000002</v>
      </c>
      <c r="I1285">
        <v>7.52</v>
      </c>
      <c r="J1285">
        <v>135</v>
      </c>
      <c r="K1285">
        <v>254</v>
      </c>
      <c r="L1285">
        <v>280</v>
      </c>
      <c r="M1285" t="s">
        <v>54</v>
      </c>
      <c r="N1285">
        <v>5</v>
      </c>
      <c r="O1285" t="s">
        <v>31</v>
      </c>
      <c r="P1285">
        <v>58.1</v>
      </c>
      <c r="Q1285">
        <v>2486</v>
      </c>
      <c r="R1285">
        <v>5</v>
      </c>
      <c r="S1285">
        <v>3</v>
      </c>
      <c r="T1285" t="s">
        <v>47</v>
      </c>
      <c r="U1285" t="s">
        <v>42</v>
      </c>
      <c r="V1285">
        <v>177083</v>
      </c>
      <c r="W1285">
        <v>3.7</v>
      </c>
      <c r="X1285">
        <v>6</v>
      </c>
      <c r="Y1285" t="s">
        <v>61</v>
      </c>
      <c r="Z1285">
        <v>3.47</v>
      </c>
      <c r="AA1285" t="s">
        <v>35</v>
      </c>
    </row>
    <row r="1286" spans="1:27" x14ac:dyDescent="0.3">
      <c r="A1286" t="s">
        <v>71</v>
      </c>
      <c r="B1286" t="s">
        <v>104</v>
      </c>
      <c r="C1286">
        <v>2025</v>
      </c>
      <c r="D1286" t="s">
        <v>50</v>
      </c>
      <c r="E1286">
        <v>23723.54</v>
      </c>
      <c r="F1286">
        <v>84.2</v>
      </c>
      <c r="G1286">
        <v>308</v>
      </c>
      <c r="H1286">
        <v>134.1</v>
      </c>
      <c r="I1286">
        <v>4.21</v>
      </c>
      <c r="J1286">
        <v>185</v>
      </c>
      <c r="K1286">
        <v>177</v>
      </c>
      <c r="L1286">
        <v>200</v>
      </c>
      <c r="M1286" t="s">
        <v>54</v>
      </c>
      <c r="N1286">
        <v>7</v>
      </c>
      <c r="O1286" t="s">
        <v>31</v>
      </c>
      <c r="P1286">
        <v>57.3</v>
      </c>
      <c r="Q1286">
        <v>2484</v>
      </c>
      <c r="R1286">
        <v>4</v>
      </c>
      <c r="S1286">
        <v>1</v>
      </c>
      <c r="T1286" t="s">
        <v>73</v>
      </c>
      <c r="U1286" t="s">
        <v>74</v>
      </c>
      <c r="V1286">
        <v>224275</v>
      </c>
      <c r="W1286">
        <v>3.7</v>
      </c>
      <c r="X1286">
        <v>4</v>
      </c>
      <c r="Y1286" t="s">
        <v>43</v>
      </c>
      <c r="Z1286">
        <v>3.66</v>
      </c>
      <c r="AA1286" t="s">
        <v>35</v>
      </c>
    </row>
    <row r="1287" spans="1:27" x14ac:dyDescent="0.3">
      <c r="A1287" t="s">
        <v>76</v>
      </c>
      <c r="B1287" t="s">
        <v>114</v>
      </c>
      <c r="C1287">
        <v>2023</v>
      </c>
      <c r="D1287" t="s">
        <v>38</v>
      </c>
      <c r="E1287">
        <v>42532.36</v>
      </c>
      <c r="F1287">
        <v>70.099999999999994</v>
      </c>
      <c r="G1287">
        <v>253</v>
      </c>
      <c r="H1287">
        <v>92.1</v>
      </c>
      <c r="I1287">
        <v>5.87</v>
      </c>
      <c r="J1287">
        <v>167</v>
      </c>
      <c r="K1287">
        <v>351</v>
      </c>
      <c r="L1287">
        <v>261</v>
      </c>
      <c r="M1287" t="s">
        <v>54</v>
      </c>
      <c r="N1287">
        <v>7</v>
      </c>
      <c r="O1287" t="s">
        <v>56</v>
      </c>
      <c r="P1287">
        <v>21</v>
      </c>
      <c r="Q1287">
        <v>1500</v>
      </c>
      <c r="R1287">
        <v>5</v>
      </c>
      <c r="S1287">
        <v>1</v>
      </c>
      <c r="T1287" t="s">
        <v>51</v>
      </c>
      <c r="U1287" t="s">
        <v>42</v>
      </c>
      <c r="V1287">
        <v>118099</v>
      </c>
      <c r="W1287">
        <v>3.3</v>
      </c>
      <c r="X1287">
        <v>4</v>
      </c>
      <c r="Y1287" t="s">
        <v>43</v>
      </c>
      <c r="Z1287">
        <v>3.61</v>
      </c>
      <c r="AA1287" t="s">
        <v>35</v>
      </c>
    </row>
    <row r="1288" spans="1:27" x14ac:dyDescent="0.3">
      <c r="A1288" t="s">
        <v>52</v>
      </c>
      <c r="B1288" t="s">
        <v>64</v>
      </c>
      <c r="C1288">
        <v>2023</v>
      </c>
      <c r="D1288" t="s">
        <v>63</v>
      </c>
      <c r="E1288">
        <v>29555.66</v>
      </c>
      <c r="F1288">
        <v>54.9</v>
      </c>
      <c r="G1288">
        <v>182</v>
      </c>
      <c r="H1288">
        <v>213.2</v>
      </c>
      <c r="I1288">
        <v>5.79</v>
      </c>
      <c r="J1288">
        <v>163</v>
      </c>
      <c r="K1288">
        <v>150</v>
      </c>
      <c r="L1288">
        <v>200</v>
      </c>
      <c r="M1288" t="s">
        <v>30</v>
      </c>
      <c r="N1288">
        <v>5</v>
      </c>
      <c r="O1288" t="s">
        <v>31</v>
      </c>
      <c r="P1288">
        <v>71.3</v>
      </c>
      <c r="Q1288">
        <v>2661</v>
      </c>
      <c r="R1288">
        <v>4</v>
      </c>
      <c r="S1288">
        <v>2</v>
      </c>
      <c r="T1288" t="s">
        <v>47</v>
      </c>
      <c r="U1288" t="s">
        <v>74</v>
      </c>
      <c r="V1288">
        <v>119019</v>
      </c>
      <c r="W1288">
        <v>3.6</v>
      </c>
      <c r="X1288">
        <v>5</v>
      </c>
      <c r="Y1288" t="s">
        <v>43</v>
      </c>
      <c r="Z1288">
        <v>3.32</v>
      </c>
      <c r="AA1288" t="s">
        <v>35</v>
      </c>
    </row>
    <row r="1289" spans="1:27" x14ac:dyDescent="0.3">
      <c r="A1289" t="s">
        <v>71</v>
      </c>
      <c r="B1289" t="s">
        <v>81</v>
      </c>
      <c r="C1289">
        <v>2023</v>
      </c>
      <c r="D1289" t="s">
        <v>38</v>
      </c>
      <c r="E1289">
        <v>62695.67</v>
      </c>
      <c r="F1289">
        <v>55.1</v>
      </c>
      <c r="G1289">
        <v>191</v>
      </c>
      <c r="H1289">
        <v>126</v>
      </c>
      <c r="I1289">
        <v>7.14</v>
      </c>
      <c r="J1289">
        <v>143</v>
      </c>
      <c r="K1289">
        <v>677</v>
      </c>
      <c r="L1289">
        <v>604</v>
      </c>
      <c r="M1289" t="s">
        <v>54</v>
      </c>
      <c r="N1289">
        <v>5</v>
      </c>
      <c r="O1289" t="s">
        <v>31</v>
      </c>
      <c r="P1289">
        <v>66.599999999999994</v>
      </c>
      <c r="Q1289">
        <v>2371</v>
      </c>
      <c r="R1289">
        <v>3</v>
      </c>
      <c r="S1289">
        <v>1</v>
      </c>
      <c r="T1289" t="s">
        <v>73</v>
      </c>
      <c r="U1289" t="s">
        <v>42</v>
      </c>
      <c r="V1289">
        <v>249959</v>
      </c>
      <c r="W1289">
        <v>3.5</v>
      </c>
      <c r="X1289">
        <v>4</v>
      </c>
      <c r="Y1289" t="s">
        <v>61</v>
      </c>
      <c r="Z1289">
        <v>3.47</v>
      </c>
      <c r="AA1289" t="s">
        <v>35</v>
      </c>
    </row>
    <row r="1290" spans="1:27" x14ac:dyDescent="0.3">
      <c r="A1290" t="s">
        <v>52</v>
      </c>
      <c r="B1290" t="s">
        <v>55</v>
      </c>
      <c r="C1290">
        <v>2025</v>
      </c>
      <c r="D1290" t="s">
        <v>50</v>
      </c>
      <c r="E1290">
        <v>71009.25</v>
      </c>
      <c r="F1290">
        <v>81</v>
      </c>
      <c r="G1290">
        <v>305</v>
      </c>
      <c r="H1290">
        <v>251.1</v>
      </c>
      <c r="I1290">
        <v>5.81</v>
      </c>
      <c r="J1290">
        <v>162</v>
      </c>
      <c r="K1290">
        <v>446</v>
      </c>
      <c r="L1290">
        <v>472</v>
      </c>
      <c r="M1290" t="s">
        <v>54</v>
      </c>
      <c r="N1290">
        <v>5</v>
      </c>
      <c r="O1290" t="s">
        <v>46</v>
      </c>
      <c r="P1290">
        <v>74.400000000000006</v>
      </c>
      <c r="Q1290">
        <v>1500</v>
      </c>
      <c r="R1290">
        <v>4</v>
      </c>
      <c r="S1290">
        <v>2</v>
      </c>
      <c r="T1290" t="s">
        <v>47</v>
      </c>
      <c r="U1290" t="s">
        <v>38</v>
      </c>
      <c r="V1290">
        <v>465765</v>
      </c>
      <c r="W1290">
        <v>3.9</v>
      </c>
      <c r="X1290">
        <v>4</v>
      </c>
      <c r="Y1290" t="s">
        <v>43</v>
      </c>
      <c r="Z1290">
        <v>3.77</v>
      </c>
      <c r="AA1290" t="s">
        <v>35</v>
      </c>
    </row>
    <row r="1291" spans="1:27" x14ac:dyDescent="0.3">
      <c r="A1291" t="s">
        <v>52</v>
      </c>
      <c r="B1291" t="s">
        <v>64</v>
      </c>
      <c r="C1291">
        <v>2023</v>
      </c>
      <c r="D1291" t="s">
        <v>50</v>
      </c>
      <c r="E1291">
        <v>41849.58</v>
      </c>
      <c r="F1291">
        <v>96.1</v>
      </c>
      <c r="G1291">
        <v>319</v>
      </c>
      <c r="H1291">
        <v>282.3</v>
      </c>
      <c r="I1291">
        <v>5.76</v>
      </c>
      <c r="J1291">
        <v>174</v>
      </c>
      <c r="K1291">
        <v>272</v>
      </c>
      <c r="L1291">
        <v>317</v>
      </c>
      <c r="M1291" t="s">
        <v>39</v>
      </c>
      <c r="N1291">
        <v>7</v>
      </c>
      <c r="O1291" t="s">
        <v>46</v>
      </c>
      <c r="P1291">
        <v>65.5</v>
      </c>
      <c r="Q1291">
        <v>1500</v>
      </c>
      <c r="R1291">
        <v>5</v>
      </c>
      <c r="S1291">
        <v>3</v>
      </c>
      <c r="T1291" t="s">
        <v>47</v>
      </c>
      <c r="U1291" t="s">
        <v>42</v>
      </c>
      <c r="V1291">
        <v>211387</v>
      </c>
      <c r="W1291">
        <v>4</v>
      </c>
      <c r="X1291">
        <v>4</v>
      </c>
      <c r="Y1291" t="s">
        <v>43</v>
      </c>
      <c r="Z1291">
        <v>3.32</v>
      </c>
      <c r="AA1291" t="s">
        <v>35</v>
      </c>
    </row>
    <row r="1292" spans="1:27" x14ac:dyDescent="0.3">
      <c r="A1292" t="s">
        <v>27</v>
      </c>
      <c r="B1292" t="s">
        <v>82</v>
      </c>
      <c r="C1292">
        <v>2025</v>
      </c>
      <c r="D1292" t="s">
        <v>63</v>
      </c>
      <c r="E1292">
        <v>36800.160000000003</v>
      </c>
      <c r="F1292">
        <v>48.1</v>
      </c>
      <c r="G1292">
        <v>169</v>
      </c>
      <c r="H1292">
        <v>115.5</v>
      </c>
      <c r="I1292">
        <v>6.37</v>
      </c>
      <c r="J1292">
        <v>152</v>
      </c>
      <c r="K1292">
        <v>222</v>
      </c>
      <c r="L1292">
        <v>200</v>
      </c>
      <c r="M1292" t="s">
        <v>54</v>
      </c>
      <c r="N1292">
        <v>5</v>
      </c>
      <c r="O1292" t="s">
        <v>40</v>
      </c>
      <c r="P1292">
        <v>49</v>
      </c>
      <c r="Q1292">
        <v>2050</v>
      </c>
      <c r="R1292">
        <v>5</v>
      </c>
      <c r="S1292">
        <v>1</v>
      </c>
      <c r="T1292" t="s">
        <v>32</v>
      </c>
      <c r="U1292" t="s">
        <v>42</v>
      </c>
      <c r="V1292">
        <v>290748</v>
      </c>
      <c r="W1292">
        <v>3.4</v>
      </c>
      <c r="X1292">
        <v>3</v>
      </c>
      <c r="Y1292" t="s">
        <v>43</v>
      </c>
      <c r="Z1292">
        <v>3.51</v>
      </c>
      <c r="AA1292" t="s">
        <v>35</v>
      </c>
    </row>
    <row r="1293" spans="1:27" x14ac:dyDescent="0.3">
      <c r="A1293" t="s">
        <v>52</v>
      </c>
      <c r="B1293" t="s">
        <v>55</v>
      </c>
      <c r="C1293">
        <v>2024</v>
      </c>
      <c r="D1293" t="s">
        <v>38</v>
      </c>
      <c r="E1293">
        <v>166324.35999999999</v>
      </c>
      <c r="F1293">
        <v>61.4</v>
      </c>
      <c r="G1293">
        <v>212</v>
      </c>
      <c r="H1293">
        <v>252.7</v>
      </c>
      <c r="I1293">
        <v>7.43</v>
      </c>
      <c r="J1293">
        <v>136</v>
      </c>
      <c r="K1293">
        <v>1000</v>
      </c>
      <c r="L1293">
        <v>933</v>
      </c>
      <c r="M1293" t="s">
        <v>30</v>
      </c>
      <c r="N1293">
        <v>7</v>
      </c>
      <c r="O1293" t="s">
        <v>31</v>
      </c>
      <c r="P1293">
        <v>55.5</v>
      </c>
      <c r="Q1293">
        <v>2510</v>
      </c>
      <c r="R1293">
        <v>5</v>
      </c>
      <c r="S1293">
        <v>3</v>
      </c>
      <c r="T1293" t="s">
        <v>47</v>
      </c>
      <c r="U1293" t="s">
        <v>33</v>
      </c>
      <c r="V1293">
        <v>466326</v>
      </c>
      <c r="W1293">
        <v>4.3</v>
      </c>
      <c r="X1293">
        <v>5</v>
      </c>
      <c r="Y1293" t="s">
        <v>61</v>
      </c>
      <c r="Z1293">
        <v>3.45</v>
      </c>
      <c r="AA1293" t="s">
        <v>35</v>
      </c>
    </row>
    <row r="1294" spans="1:27" x14ac:dyDescent="0.3">
      <c r="A1294" t="s">
        <v>48</v>
      </c>
      <c r="B1294" t="s">
        <v>79</v>
      </c>
      <c r="C1294">
        <v>2024</v>
      </c>
      <c r="D1294" t="s">
        <v>63</v>
      </c>
      <c r="E1294">
        <v>71842.960000000006</v>
      </c>
      <c r="F1294">
        <v>77</v>
      </c>
      <c r="G1294">
        <v>291</v>
      </c>
      <c r="H1294">
        <v>90.9</v>
      </c>
      <c r="I1294">
        <v>5.22</v>
      </c>
      <c r="J1294">
        <v>170</v>
      </c>
      <c r="K1294">
        <v>802</v>
      </c>
      <c r="L1294">
        <v>770</v>
      </c>
      <c r="M1294" t="s">
        <v>54</v>
      </c>
      <c r="N1294">
        <v>5</v>
      </c>
      <c r="O1294" t="s">
        <v>46</v>
      </c>
      <c r="P1294">
        <v>64.900000000000006</v>
      </c>
      <c r="Q1294">
        <v>1500</v>
      </c>
      <c r="R1294">
        <v>4</v>
      </c>
      <c r="S1294">
        <v>2</v>
      </c>
      <c r="T1294" t="s">
        <v>51</v>
      </c>
      <c r="U1294" t="s">
        <v>38</v>
      </c>
      <c r="V1294">
        <v>123890</v>
      </c>
      <c r="W1294">
        <v>3.7</v>
      </c>
      <c r="X1294">
        <v>3</v>
      </c>
      <c r="Y1294" t="s">
        <v>43</v>
      </c>
      <c r="Z1294">
        <v>3.78</v>
      </c>
      <c r="AA1294" t="s">
        <v>35</v>
      </c>
    </row>
    <row r="1295" spans="1:27" x14ac:dyDescent="0.3">
      <c r="A1295" t="s">
        <v>91</v>
      </c>
      <c r="B1295" t="s">
        <v>122</v>
      </c>
      <c r="C1295">
        <v>2024</v>
      </c>
      <c r="D1295" t="s">
        <v>50</v>
      </c>
      <c r="E1295">
        <v>117382.51</v>
      </c>
      <c r="F1295">
        <v>96.5</v>
      </c>
      <c r="G1295">
        <v>334</v>
      </c>
      <c r="H1295">
        <v>145</v>
      </c>
      <c r="I1295">
        <v>5.0999999999999996</v>
      </c>
      <c r="J1295">
        <v>180</v>
      </c>
      <c r="K1295">
        <v>1000</v>
      </c>
      <c r="L1295">
        <v>892</v>
      </c>
      <c r="M1295" t="s">
        <v>39</v>
      </c>
      <c r="N1295">
        <v>5</v>
      </c>
      <c r="O1295" t="s">
        <v>57</v>
      </c>
      <c r="P1295">
        <v>25</v>
      </c>
      <c r="Q1295">
        <v>1713</v>
      </c>
      <c r="R1295">
        <v>4</v>
      </c>
      <c r="S1295">
        <v>2</v>
      </c>
      <c r="T1295" t="s">
        <v>32</v>
      </c>
      <c r="U1295" t="s">
        <v>33</v>
      </c>
      <c r="V1295">
        <v>33138</v>
      </c>
      <c r="W1295">
        <v>3.5</v>
      </c>
      <c r="X1295">
        <v>7</v>
      </c>
      <c r="Y1295" t="s">
        <v>43</v>
      </c>
      <c r="Z1295">
        <v>3.46</v>
      </c>
      <c r="AA1295" t="s">
        <v>35</v>
      </c>
    </row>
    <row r="1296" spans="1:27" x14ac:dyDescent="0.3">
      <c r="A1296" t="s">
        <v>84</v>
      </c>
      <c r="B1296" t="s">
        <v>85</v>
      </c>
      <c r="C1296">
        <v>2024</v>
      </c>
      <c r="D1296" t="s">
        <v>63</v>
      </c>
      <c r="E1296">
        <v>46219.97</v>
      </c>
      <c r="F1296">
        <v>70.900000000000006</v>
      </c>
      <c r="G1296">
        <v>239</v>
      </c>
      <c r="H1296">
        <v>139.6</v>
      </c>
      <c r="I1296">
        <v>7.85</v>
      </c>
      <c r="J1296">
        <v>123</v>
      </c>
      <c r="K1296">
        <v>385</v>
      </c>
      <c r="L1296">
        <v>389</v>
      </c>
      <c r="M1296" t="s">
        <v>54</v>
      </c>
      <c r="N1296">
        <v>5</v>
      </c>
      <c r="O1296" t="s">
        <v>46</v>
      </c>
      <c r="P1296">
        <v>73.2</v>
      </c>
      <c r="Q1296">
        <v>1620</v>
      </c>
      <c r="R1296">
        <v>4</v>
      </c>
      <c r="S1296">
        <v>0</v>
      </c>
      <c r="T1296" t="s">
        <v>47</v>
      </c>
      <c r="U1296" t="s">
        <v>42</v>
      </c>
      <c r="V1296">
        <v>60684</v>
      </c>
      <c r="W1296">
        <v>3.4</v>
      </c>
      <c r="X1296">
        <v>4</v>
      </c>
      <c r="Y1296" t="s">
        <v>61</v>
      </c>
      <c r="Z1296">
        <v>3.37</v>
      </c>
      <c r="AA1296" t="s">
        <v>35</v>
      </c>
    </row>
    <row r="1297" spans="1:27" x14ac:dyDescent="0.3">
      <c r="A1297" t="s">
        <v>52</v>
      </c>
      <c r="B1297" t="s">
        <v>64</v>
      </c>
      <c r="C1297">
        <v>2024</v>
      </c>
      <c r="D1297" t="s">
        <v>63</v>
      </c>
      <c r="E1297">
        <v>29639.14</v>
      </c>
      <c r="F1297">
        <v>52.4</v>
      </c>
      <c r="G1297">
        <v>164</v>
      </c>
      <c r="H1297">
        <v>300.89999999999998</v>
      </c>
      <c r="I1297">
        <v>5.41</v>
      </c>
      <c r="J1297">
        <v>171</v>
      </c>
      <c r="K1297">
        <v>157</v>
      </c>
      <c r="L1297">
        <v>200</v>
      </c>
      <c r="M1297" t="s">
        <v>30</v>
      </c>
      <c r="N1297">
        <v>7</v>
      </c>
      <c r="O1297" t="s">
        <v>40</v>
      </c>
      <c r="P1297">
        <v>51.3</v>
      </c>
      <c r="Q1297">
        <v>2004</v>
      </c>
      <c r="R1297">
        <v>4</v>
      </c>
      <c r="S1297">
        <v>2</v>
      </c>
      <c r="T1297" t="s">
        <v>47</v>
      </c>
      <c r="U1297" t="s">
        <v>74</v>
      </c>
      <c r="V1297">
        <v>195341</v>
      </c>
      <c r="W1297">
        <v>3.4</v>
      </c>
      <c r="X1297">
        <v>4</v>
      </c>
      <c r="Y1297" t="s">
        <v>43</v>
      </c>
      <c r="Z1297">
        <v>3.13</v>
      </c>
      <c r="AA1297" t="s">
        <v>35</v>
      </c>
    </row>
    <row r="1298" spans="1:27" x14ac:dyDescent="0.3">
      <c r="A1298" t="s">
        <v>52</v>
      </c>
      <c r="B1298" t="s">
        <v>80</v>
      </c>
      <c r="C1298">
        <v>2025</v>
      </c>
      <c r="D1298" t="s">
        <v>38</v>
      </c>
      <c r="E1298">
        <v>81977.77</v>
      </c>
      <c r="F1298">
        <v>68.400000000000006</v>
      </c>
      <c r="G1298">
        <v>192</v>
      </c>
      <c r="H1298">
        <v>348.5</v>
      </c>
      <c r="I1298">
        <v>6.51</v>
      </c>
      <c r="J1298">
        <v>155</v>
      </c>
      <c r="K1298">
        <v>587</v>
      </c>
      <c r="L1298">
        <v>518</v>
      </c>
      <c r="M1298" t="s">
        <v>54</v>
      </c>
      <c r="N1298">
        <v>7</v>
      </c>
      <c r="O1298" t="s">
        <v>31</v>
      </c>
      <c r="P1298">
        <v>69</v>
      </c>
      <c r="Q1298">
        <v>2412</v>
      </c>
      <c r="R1298">
        <v>5</v>
      </c>
      <c r="S1298">
        <v>2</v>
      </c>
      <c r="T1298" t="s">
        <v>47</v>
      </c>
      <c r="U1298" t="s">
        <v>38</v>
      </c>
      <c r="V1298">
        <v>146854</v>
      </c>
      <c r="W1298">
        <v>3.5</v>
      </c>
      <c r="X1298">
        <v>5</v>
      </c>
      <c r="Y1298" t="s">
        <v>43</v>
      </c>
      <c r="Z1298">
        <v>2.81</v>
      </c>
      <c r="AA1298" t="s">
        <v>35</v>
      </c>
    </row>
    <row r="1299" spans="1:27" x14ac:dyDescent="0.3">
      <c r="A1299" t="s">
        <v>52</v>
      </c>
      <c r="B1299" t="s">
        <v>64</v>
      </c>
      <c r="C1299">
        <v>2025</v>
      </c>
      <c r="D1299" t="s">
        <v>29</v>
      </c>
      <c r="E1299">
        <v>94641.12</v>
      </c>
      <c r="F1299">
        <v>111.8</v>
      </c>
      <c r="G1299">
        <v>362</v>
      </c>
      <c r="H1299">
        <v>284.2</v>
      </c>
      <c r="I1299">
        <v>3.02</v>
      </c>
      <c r="J1299">
        <v>200</v>
      </c>
      <c r="K1299">
        <v>630</v>
      </c>
      <c r="L1299">
        <v>538</v>
      </c>
      <c r="M1299" t="s">
        <v>54</v>
      </c>
      <c r="N1299">
        <v>7</v>
      </c>
      <c r="O1299" t="s">
        <v>40</v>
      </c>
      <c r="P1299">
        <v>65.900000000000006</v>
      </c>
      <c r="Q1299">
        <v>2014</v>
      </c>
      <c r="R1299">
        <v>4</v>
      </c>
      <c r="S1299">
        <v>3</v>
      </c>
      <c r="T1299" t="s">
        <v>47</v>
      </c>
      <c r="U1299" t="s">
        <v>38</v>
      </c>
      <c r="V1299">
        <v>235320</v>
      </c>
      <c r="W1299">
        <v>4</v>
      </c>
      <c r="X1299">
        <v>6</v>
      </c>
      <c r="Y1299" t="s">
        <v>34</v>
      </c>
      <c r="Z1299">
        <v>3.24</v>
      </c>
      <c r="AA1299" t="s">
        <v>35</v>
      </c>
    </row>
    <row r="1300" spans="1:27" x14ac:dyDescent="0.3">
      <c r="A1300" t="s">
        <v>91</v>
      </c>
      <c r="B1300" t="s">
        <v>97</v>
      </c>
      <c r="C1300">
        <v>2023</v>
      </c>
      <c r="D1300" t="s">
        <v>50</v>
      </c>
      <c r="E1300">
        <v>113237.82</v>
      </c>
      <c r="F1300">
        <v>108.8</v>
      </c>
      <c r="G1300">
        <v>398</v>
      </c>
      <c r="H1300">
        <v>144.19999999999999</v>
      </c>
      <c r="I1300">
        <v>5.14</v>
      </c>
      <c r="J1300">
        <v>174</v>
      </c>
      <c r="K1300">
        <v>986</v>
      </c>
      <c r="L1300">
        <v>880</v>
      </c>
      <c r="M1300" t="s">
        <v>30</v>
      </c>
      <c r="N1300">
        <v>5</v>
      </c>
      <c r="O1300" t="s">
        <v>56</v>
      </c>
      <c r="P1300">
        <v>33.9</v>
      </c>
      <c r="Q1300">
        <v>1537</v>
      </c>
      <c r="R1300">
        <v>4</v>
      </c>
      <c r="S1300">
        <v>1</v>
      </c>
      <c r="T1300" t="s">
        <v>32</v>
      </c>
      <c r="U1300" t="s">
        <v>33</v>
      </c>
      <c r="V1300">
        <v>31347</v>
      </c>
      <c r="W1300">
        <v>3.5</v>
      </c>
      <c r="X1300">
        <v>7</v>
      </c>
      <c r="Y1300" t="s">
        <v>43</v>
      </c>
      <c r="Z1300">
        <v>3.66</v>
      </c>
      <c r="AA1300" t="s">
        <v>35</v>
      </c>
    </row>
    <row r="1301" spans="1:27" x14ac:dyDescent="0.3">
      <c r="A1301" t="s">
        <v>44</v>
      </c>
      <c r="B1301" t="s">
        <v>45</v>
      </c>
      <c r="C1301">
        <v>2024</v>
      </c>
      <c r="D1301" t="s">
        <v>50</v>
      </c>
      <c r="E1301">
        <v>41353.279999999999</v>
      </c>
      <c r="F1301">
        <v>81.8</v>
      </c>
      <c r="G1301">
        <v>274</v>
      </c>
      <c r="H1301">
        <v>67.3</v>
      </c>
      <c r="I1301">
        <v>4.7</v>
      </c>
      <c r="J1301">
        <v>178</v>
      </c>
      <c r="K1301">
        <v>452</v>
      </c>
      <c r="L1301">
        <v>383</v>
      </c>
      <c r="M1301" t="s">
        <v>30</v>
      </c>
      <c r="N1301">
        <v>7</v>
      </c>
      <c r="O1301" t="s">
        <v>31</v>
      </c>
      <c r="P1301">
        <v>59.3</v>
      </c>
      <c r="Q1301">
        <v>2412</v>
      </c>
      <c r="R1301">
        <v>4</v>
      </c>
      <c r="S1301">
        <v>0</v>
      </c>
      <c r="T1301" t="s">
        <v>47</v>
      </c>
      <c r="U1301" t="s">
        <v>42</v>
      </c>
      <c r="V1301">
        <v>28209</v>
      </c>
      <c r="W1301">
        <v>3.6</v>
      </c>
      <c r="X1301">
        <v>4</v>
      </c>
      <c r="Y1301" t="s">
        <v>43</v>
      </c>
      <c r="Z1301">
        <v>3.35</v>
      </c>
      <c r="AA1301" t="s">
        <v>35</v>
      </c>
    </row>
    <row r="1302" spans="1:27" x14ac:dyDescent="0.3">
      <c r="A1302" t="s">
        <v>52</v>
      </c>
      <c r="B1302" t="s">
        <v>55</v>
      </c>
      <c r="C1302">
        <v>2021</v>
      </c>
      <c r="D1302" t="s">
        <v>68</v>
      </c>
      <c r="E1302">
        <v>116565.3</v>
      </c>
      <c r="F1302">
        <v>80.7</v>
      </c>
      <c r="G1302">
        <v>282</v>
      </c>
      <c r="H1302">
        <v>329.9</v>
      </c>
      <c r="I1302">
        <v>7.85</v>
      </c>
      <c r="J1302">
        <v>136</v>
      </c>
      <c r="K1302">
        <v>823</v>
      </c>
      <c r="L1302">
        <v>688</v>
      </c>
      <c r="M1302" t="s">
        <v>54</v>
      </c>
      <c r="N1302">
        <v>5</v>
      </c>
      <c r="O1302" t="s">
        <v>65</v>
      </c>
      <c r="P1302">
        <v>34.700000000000003</v>
      </c>
      <c r="Q1302">
        <v>1669</v>
      </c>
      <c r="R1302">
        <v>5</v>
      </c>
      <c r="S1302">
        <v>2</v>
      </c>
      <c r="T1302" t="s">
        <v>47</v>
      </c>
      <c r="U1302" t="s">
        <v>33</v>
      </c>
      <c r="V1302">
        <v>458264</v>
      </c>
      <c r="W1302">
        <v>4</v>
      </c>
      <c r="X1302">
        <v>6</v>
      </c>
      <c r="Y1302" t="s">
        <v>61</v>
      </c>
      <c r="Z1302">
        <v>3.49</v>
      </c>
      <c r="AA1302" t="s">
        <v>35</v>
      </c>
    </row>
    <row r="1303" spans="1:27" x14ac:dyDescent="0.3">
      <c r="A1303" t="s">
        <v>100</v>
      </c>
      <c r="B1303" t="s">
        <v>135</v>
      </c>
      <c r="C1303">
        <v>2025</v>
      </c>
      <c r="D1303" t="s">
        <v>68</v>
      </c>
      <c r="E1303">
        <v>73079.97</v>
      </c>
      <c r="F1303">
        <v>50.5</v>
      </c>
      <c r="G1303">
        <v>174</v>
      </c>
      <c r="H1303">
        <v>50.9</v>
      </c>
      <c r="I1303">
        <v>6.59</v>
      </c>
      <c r="J1303">
        <v>143</v>
      </c>
      <c r="K1303">
        <v>606</v>
      </c>
      <c r="L1303">
        <v>548</v>
      </c>
      <c r="M1303" t="s">
        <v>54</v>
      </c>
      <c r="N1303">
        <v>7</v>
      </c>
      <c r="O1303" t="s">
        <v>57</v>
      </c>
      <c r="P1303">
        <v>25.4</v>
      </c>
      <c r="Q1303">
        <v>1732</v>
      </c>
      <c r="R1303">
        <v>4</v>
      </c>
      <c r="S1303">
        <v>1</v>
      </c>
      <c r="T1303" t="s">
        <v>73</v>
      </c>
      <c r="U1303" t="s">
        <v>38</v>
      </c>
      <c r="V1303">
        <v>11643</v>
      </c>
      <c r="W1303">
        <v>3</v>
      </c>
      <c r="X1303">
        <v>4</v>
      </c>
      <c r="Y1303" t="s">
        <v>43</v>
      </c>
      <c r="Z1303">
        <v>3.45</v>
      </c>
      <c r="AA1303" t="s">
        <v>43</v>
      </c>
    </row>
    <row r="1304" spans="1:27" x14ac:dyDescent="0.3">
      <c r="A1304" t="s">
        <v>52</v>
      </c>
      <c r="B1304" t="s">
        <v>64</v>
      </c>
      <c r="C1304">
        <v>2025</v>
      </c>
      <c r="D1304" t="s">
        <v>63</v>
      </c>
      <c r="E1304">
        <v>106992.78</v>
      </c>
      <c r="F1304">
        <v>50.9</v>
      </c>
      <c r="G1304">
        <v>162</v>
      </c>
      <c r="H1304">
        <v>212.5</v>
      </c>
      <c r="I1304">
        <v>6.34</v>
      </c>
      <c r="J1304">
        <v>152</v>
      </c>
      <c r="K1304">
        <v>809</v>
      </c>
      <c r="L1304">
        <v>752</v>
      </c>
      <c r="M1304" t="s">
        <v>39</v>
      </c>
      <c r="N1304">
        <v>5</v>
      </c>
      <c r="O1304" t="s">
        <v>57</v>
      </c>
      <c r="P1304">
        <v>19.8</v>
      </c>
      <c r="Q1304">
        <v>1727</v>
      </c>
      <c r="R1304">
        <v>5</v>
      </c>
      <c r="S1304">
        <v>3</v>
      </c>
      <c r="T1304" t="s">
        <v>47</v>
      </c>
      <c r="U1304" t="s">
        <v>33</v>
      </c>
      <c r="V1304">
        <v>178229</v>
      </c>
      <c r="W1304">
        <v>3.6</v>
      </c>
      <c r="X1304">
        <v>5</v>
      </c>
      <c r="Y1304" t="s">
        <v>43</v>
      </c>
      <c r="Z1304">
        <v>3.18</v>
      </c>
      <c r="AA1304" t="s">
        <v>35</v>
      </c>
    </row>
    <row r="1305" spans="1:27" x14ac:dyDescent="0.3">
      <c r="A1305" t="s">
        <v>48</v>
      </c>
      <c r="B1305" t="s">
        <v>60</v>
      </c>
      <c r="C1305">
        <v>2024</v>
      </c>
      <c r="D1305" t="s">
        <v>68</v>
      </c>
      <c r="E1305">
        <v>42318.559999999998</v>
      </c>
      <c r="F1305">
        <v>40.5</v>
      </c>
      <c r="G1305">
        <v>150</v>
      </c>
      <c r="H1305">
        <v>56</v>
      </c>
      <c r="I1305">
        <v>6.46</v>
      </c>
      <c r="J1305">
        <v>164</v>
      </c>
      <c r="K1305">
        <v>383</v>
      </c>
      <c r="L1305">
        <v>312</v>
      </c>
      <c r="M1305" t="s">
        <v>39</v>
      </c>
      <c r="N1305">
        <v>5</v>
      </c>
      <c r="O1305" t="s">
        <v>46</v>
      </c>
      <c r="P1305">
        <v>64.7</v>
      </c>
      <c r="Q1305">
        <v>1500</v>
      </c>
      <c r="R1305">
        <v>5</v>
      </c>
      <c r="S1305">
        <v>0</v>
      </c>
      <c r="T1305" t="s">
        <v>51</v>
      </c>
      <c r="U1305" t="s">
        <v>42</v>
      </c>
      <c r="V1305">
        <v>90341</v>
      </c>
      <c r="W1305">
        <v>3.4</v>
      </c>
      <c r="X1305">
        <v>4</v>
      </c>
      <c r="Y1305" t="s">
        <v>43</v>
      </c>
      <c r="Z1305">
        <v>3.7</v>
      </c>
      <c r="AA1305" t="s">
        <v>35</v>
      </c>
    </row>
    <row r="1306" spans="1:27" x14ac:dyDescent="0.3">
      <c r="A1306" t="s">
        <v>44</v>
      </c>
      <c r="B1306" t="s">
        <v>109</v>
      </c>
      <c r="C1306">
        <v>2025</v>
      </c>
      <c r="D1306" t="s">
        <v>50</v>
      </c>
      <c r="E1306">
        <v>51965.01</v>
      </c>
      <c r="F1306">
        <v>75.8</v>
      </c>
      <c r="G1306">
        <v>297</v>
      </c>
      <c r="H1306">
        <v>72.8</v>
      </c>
      <c r="I1306">
        <v>5.09</v>
      </c>
      <c r="J1306">
        <v>177</v>
      </c>
      <c r="K1306">
        <v>565</v>
      </c>
      <c r="L1306">
        <v>508</v>
      </c>
      <c r="M1306" t="s">
        <v>30</v>
      </c>
      <c r="N1306">
        <v>5</v>
      </c>
      <c r="O1306" t="s">
        <v>57</v>
      </c>
      <c r="P1306">
        <v>21.8</v>
      </c>
      <c r="Q1306">
        <v>1582</v>
      </c>
      <c r="R1306">
        <v>5</v>
      </c>
      <c r="S1306">
        <v>2</v>
      </c>
      <c r="T1306" t="s">
        <v>47</v>
      </c>
      <c r="U1306" t="s">
        <v>42</v>
      </c>
      <c r="V1306">
        <v>28326</v>
      </c>
      <c r="W1306">
        <v>3.7</v>
      </c>
      <c r="X1306">
        <v>5</v>
      </c>
      <c r="Y1306" t="s">
        <v>43</v>
      </c>
      <c r="Z1306">
        <v>3.92</v>
      </c>
      <c r="AA1306" t="s">
        <v>35</v>
      </c>
    </row>
    <row r="1307" spans="1:27" x14ac:dyDescent="0.3">
      <c r="A1307" t="s">
        <v>58</v>
      </c>
      <c r="B1307" t="s">
        <v>105</v>
      </c>
      <c r="C1307">
        <v>2025</v>
      </c>
      <c r="D1307" t="s">
        <v>50</v>
      </c>
      <c r="E1307">
        <v>136371.95000000001</v>
      </c>
      <c r="F1307">
        <v>98.8</v>
      </c>
      <c r="G1307">
        <v>323</v>
      </c>
      <c r="H1307">
        <v>56.3</v>
      </c>
      <c r="I1307">
        <v>4.7699999999999996</v>
      </c>
      <c r="J1307">
        <v>180</v>
      </c>
      <c r="K1307">
        <v>834</v>
      </c>
      <c r="L1307">
        <v>747</v>
      </c>
      <c r="M1307" t="s">
        <v>30</v>
      </c>
      <c r="N1307">
        <v>7</v>
      </c>
      <c r="O1307" t="s">
        <v>57</v>
      </c>
      <c r="P1307">
        <v>26.2</v>
      </c>
      <c r="Q1307">
        <v>1500</v>
      </c>
      <c r="R1307">
        <v>4</v>
      </c>
      <c r="S1307">
        <v>1</v>
      </c>
      <c r="T1307" t="s">
        <v>32</v>
      </c>
      <c r="U1307" t="s">
        <v>33</v>
      </c>
      <c r="V1307">
        <v>34019</v>
      </c>
      <c r="W1307">
        <v>4.3</v>
      </c>
      <c r="X1307">
        <v>6</v>
      </c>
      <c r="Y1307" t="s">
        <v>43</v>
      </c>
      <c r="Z1307">
        <v>3.27</v>
      </c>
      <c r="AA1307" t="s">
        <v>35</v>
      </c>
    </row>
    <row r="1308" spans="1:27" x14ac:dyDescent="0.3">
      <c r="A1308" t="s">
        <v>44</v>
      </c>
      <c r="B1308" t="s">
        <v>110</v>
      </c>
      <c r="C1308">
        <v>2023</v>
      </c>
      <c r="D1308" t="s">
        <v>50</v>
      </c>
      <c r="E1308">
        <v>53068.74</v>
      </c>
      <c r="F1308">
        <v>78.7</v>
      </c>
      <c r="G1308">
        <v>273</v>
      </c>
      <c r="H1308">
        <v>148</v>
      </c>
      <c r="I1308">
        <v>4.7</v>
      </c>
      <c r="J1308">
        <v>184</v>
      </c>
      <c r="K1308">
        <v>620</v>
      </c>
      <c r="L1308">
        <v>579</v>
      </c>
      <c r="M1308" t="s">
        <v>30</v>
      </c>
      <c r="N1308">
        <v>5</v>
      </c>
      <c r="O1308" t="s">
        <v>40</v>
      </c>
      <c r="P1308">
        <v>56.2</v>
      </c>
      <c r="Q1308">
        <v>1900</v>
      </c>
      <c r="R1308">
        <v>5</v>
      </c>
      <c r="S1308">
        <v>0</v>
      </c>
      <c r="T1308" t="s">
        <v>47</v>
      </c>
      <c r="U1308" t="s">
        <v>42</v>
      </c>
      <c r="V1308">
        <v>9605</v>
      </c>
      <c r="W1308">
        <v>3.3</v>
      </c>
      <c r="X1308">
        <v>5</v>
      </c>
      <c r="Y1308" t="s">
        <v>43</v>
      </c>
      <c r="Z1308">
        <v>3.47</v>
      </c>
      <c r="AA1308" t="s">
        <v>43</v>
      </c>
    </row>
    <row r="1309" spans="1:27" x14ac:dyDescent="0.3">
      <c r="A1309" t="s">
        <v>84</v>
      </c>
      <c r="B1309" t="s">
        <v>106</v>
      </c>
      <c r="C1309">
        <v>2025</v>
      </c>
      <c r="D1309" t="s">
        <v>63</v>
      </c>
      <c r="E1309">
        <v>45556.75</v>
      </c>
      <c r="F1309">
        <v>57.9</v>
      </c>
      <c r="G1309">
        <v>221</v>
      </c>
      <c r="H1309">
        <v>91.5</v>
      </c>
      <c r="I1309">
        <v>6.36</v>
      </c>
      <c r="J1309">
        <v>153</v>
      </c>
      <c r="K1309">
        <v>387</v>
      </c>
      <c r="L1309">
        <v>360</v>
      </c>
      <c r="M1309" t="s">
        <v>30</v>
      </c>
      <c r="N1309">
        <v>5</v>
      </c>
      <c r="O1309" t="s">
        <v>57</v>
      </c>
      <c r="P1309">
        <v>40</v>
      </c>
      <c r="Q1309">
        <v>1500</v>
      </c>
      <c r="R1309">
        <v>5</v>
      </c>
      <c r="S1309">
        <v>1</v>
      </c>
      <c r="T1309" t="s">
        <v>47</v>
      </c>
      <c r="U1309" t="s">
        <v>42</v>
      </c>
      <c r="V1309">
        <v>46977</v>
      </c>
      <c r="W1309">
        <v>3.3</v>
      </c>
      <c r="X1309">
        <v>5</v>
      </c>
      <c r="Y1309" t="s">
        <v>43</v>
      </c>
      <c r="Z1309">
        <v>3.82</v>
      </c>
      <c r="AA1309" t="s">
        <v>35</v>
      </c>
    </row>
    <row r="1310" spans="1:27" x14ac:dyDescent="0.3">
      <c r="A1310" t="s">
        <v>71</v>
      </c>
      <c r="B1310" t="s">
        <v>115</v>
      </c>
      <c r="C1310">
        <v>2022</v>
      </c>
      <c r="D1310" t="s">
        <v>63</v>
      </c>
      <c r="E1310">
        <v>24219.14</v>
      </c>
      <c r="F1310">
        <v>71.400000000000006</v>
      </c>
      <c r="G1310">
        <v>265</v>
      </c>
      <c r="H1310">
        <v>147.19999999999999</v>
      </c>
      <c r="I1310">
        <v>5.13</v>
      </c>
      <c r="J1310">
        <v>170</v>
      </c>
      <c r="K1310">
        <v>267</v>
      </c>
      <c r="L1310">
        <v>228</v>
      </c>
      <c r="M1310" t="s">
        <v>39</v>
      </c>
      <c r="N1310">
        <v>7</v>
      </c>
      <c r="O1310" t="s">
        <v>57</v>
      </c>
      <c r="P1310">
        <v>31.1</v>
      </c>
      <c r="Q1310">
        <v>1500</v>
      </c>
      <c r="R1310">
        <v>4</v>
      </c>
      <c r="S1310">
        <v>0</v>
      </c>
      <c r="T1310" t="s">
        <v>73</v>
      </c>
      <c r="U1310" t="s">
        <v>74</v>
      </c>
      <c r="V1310">
        <v>166519</v>
      </c>
      <c r="W1310">
        <v>3.3</v>
      </c>
      <c r="X1310">
        <v>4</v>
      </c>
      <c r="Y1310" t="s">
        <v>43</v>
      </c>
      <c r="Z1310">
        <v>3.71</v>
      </c>
      <c r="AA1310" t="s">
        <v>35</v>
      </c>
    </row>
    <row r="1311" spans="1:27" x14ac:dyDescent="0.3">
      <c r="A1311" t="s">
        <v>84</v>
      </c>
      <c r="B1311" t="s">
        <v>89</v>
      </c>
      <c r="C1311">
        <v>2020</v>
      </c>
      <c r="D1311" t="s">
        <v>68</v>
      </c>
      <c r="E1311">
        <v>62155.3</v>
      </c>
      <c r="F1311">
        <v>60.7</v>
      </c>
      <c r="G1311">
        <v>186</v>
      </c>
      <c r="H1311">
        <v>139</v>
      </c>
      <c r="I1311">
        <v>6.68</v>
      </c>
      <c r="J1311">
        <v>161</v>
      </c>
      <c r="K1311">
        <v>665</v>
      </c>
      <c r="L1311">
        <v>623</v>
      </c>
      <c r="M1311" t="s">
        <v>30</v>
      </c>
      <c r="N1311">
        <v>5</v>
      </c>
      <c r="O1311" t="s">
        <v>46</v>
      </c>
      <c r="P1311">
        <v>70.599999999999994</v>
      </c>
      <c r="Q1311">
        <v>1500</v>
      </c>
      <c r="R1311">
        <v>5</v>
      </c>
      <c r="S1311">
        <v>1</v>
      </c>
      <c r="T1311" t="s">
        <v>47</v>
      </c>
      <c r="U1311" t="s">
        <v>42</v>
      </c>
      <c r="V1311">
        <v>60595</v>
      </c>
      <c r="W1311">
        <v>3.4</v>
      </c>
      <c r="X1311">
        <v>4</v>
      </c>
      <c r="Y1311" t="s">
        <v>43</v>
      </c>
      <c r="Z1311">
        <v>3.06</v>
      </c>
      <c r="AA1311" t="s">
        <v>35</v>
      </c>
    </row>
    <row r="1312" spans="1:27" x14ac:dyDescent="0.3">
      <c r="A1312" t="s">
        <v>52</v>
      </c>
      <c r="B1312" t="s">
        <v>55</v>
      </c>
      <c r="C1312">
        <v>2024</v>
      </c>
      <c r="D1312" t="s">
        <v>29</v>
      </c>
      <c r="E1312">
        <v>162214.07999999999</v>
      </c>
      <c r="F1312">
        <v>80.599999999999994</v>
      </c>
      <c r="G1312">
        <v>269</v>
      </c>
      <c r="H1312">
        <v>202.5</v>
      </c>
      <c r="I1312">
        <v>2.82</v>
      </c>
      <c r="J1312">
        <v>200</v>
      </c>
      <c r="K1312">
        <v>1000</v>
      </c>
      <c r="L1312">
        <v>892</v>
      </c>
      <c r="M1312" t="s">
        <v>30</v>
      </c>
      <c r="N1312">
        <v>7</v>
      </c>
      <c r="O1312" t="s">
        <v>56</v>
      </c>
      <c r="P1312">
        <v>32.200000000000003</v>
      </c>
      <c r="Q1312">
        <v>1852</v>
      </c>
      <c r="R1312">
        <v>5</v>
      </c>
      <c r="S1312">
        <v>2</v>
      </c>
      <c r="T1312" t="s">
        <v>47</v>
      </c>
      <c r="U1312" t="s">
        <v>33</v>
      </c>
      <c r="V1312">
        <v>443580</v>
      </c>
      <c r="W1312">
        <v>3.8</v>
      </c>
      <c r="X1312">
        <v>6</v>
      </c>
      <c r="Y1312" t="s">
        <v>34</v>
      </c>
      <c r="Z1312">
        <v>3.34</v>
      </c>
      <c r="AA1312" t="s">
        <v>35</v>
      </c>
    </row>
    <row r="1313" spans="1:27" x14ac:dyDescent="0.3">
      <c r="A1313" t="s">
        <v>94</v>
      </c>
      <c r="B1313" t="s">
        <v>125</v>
      </c>
      <c r="C1313">
        <v>2023</v>
      </c>
      <c r="D1313" t="s">
        <v>63</v>
      </c>
      <c r="E1313">
        <v>76292.22</v>
      </c>
      <c r="F1313">
        <v>51.4</v>
      </c>
      <c r="G1313">
        <v>180</v>
      </c>
      <c r="H1313">
        <v>50.9</v>
      </c>
      <c r="I1313">
        <v>5.28</v>
      </c>
      <c r="J1313">
        <v>174</v>
      </c>
      <c r="K1313">
        <v>435</v>
      </c>
      <c r="L1313">
        <v>384</v>
      </c>
      <c r="M1313" t="s">
        <v>54</v>
      </c>
      <c r="N1313">
        <v>7</v>
      </c>
      <c r="O1313" t="s">
        <v>31</v>
      </c>
      <c r="P1313">
        <v>77.7</v>
      </c>
      <c r="Q1313">
        <v>2642</v>
      </c>
      <c r="R1313">
        <v>5</v>
      </c>
      <c r="S1313">
        <v>2</v>
      </c>
      <c r="T1313" t="s">
        <v>32</v>
      </c>
      <c r="U1313" t="s">
        <v>38</v>
      </c>
      <c r="V1313">
        <v>57167</v>
      </c>
      <c r="W1313">
        <v>3.3</v>
      </c>
      <c r="X1313">
        <v>8</v>
      </c>
      <c r="Y1313" t="s">
        <v>43</v>
      </c>
      <c r="Z1313">
        <v>3.5</v>
      </c>
      <c r="AA1313" t="s">
        <v>35</v>
      </c>
    </row>
    <row r="1314" spans="1:27" x14ac:dyDescent="0.3">
      <c r="A1314" t="s">
        <v>48</v>
      </c>
      <c r="B1314" t="s">
        <v>88</v>
      </c>
      <c r="C1314">
        <v>2020</v>
      </c>
      <c r="D1314" t="s">
        <v>50</v>
      </c>
      <c r="E1314">
        <v>70023.960000000006</v>
      </c>
      <c r="F1314">
        <v>107.3</v>
      </c>
      <c r="G1314">
        <v>379</v>
      </c>
      <c r="H1314">
        <v>50.8</v>
      </c>
      <c r="I1314">
        <v>4.21</v>
      </c>
      <c r="J1314">
        <v>190</v>
      </c>
      <c r="K1314">
        <v>776</v>
      </c>
      <c r="L1314">
        <v>677</v>
      </c>
      <c r="M1314" t="s">
        <v>39</v>
      </c>
      <c r="N1314">
        <v>5</v>
      </c>
      <c r="O1314" t="s">
        <v>40</v>
      </c>
      <c r="P1314">
        <v>45.1</v>
      </c>
      <c r="Q1314">
        <v>2118</v>
      </c>
      <c r="R1314">
        <v>5</v>
      </c>
      <c r="S1314">
        <v>0</v>
      </c>
      <c r="T1314" t="s">
        <v>51</v>
      </c>
      <c r="U1314" t="s">
        <v>38</v>
      </c>
      <c r="V1314">
        <v>63318</v>
      </c>
      <c r="W1314">
        <v>3.7</v>
      </c>
      <c r="X1314">
        <v>4</v>
      </c>
      <c r="Y1314" t="s">
        <v>43</v>
      </c>
      <c r="Z1314">
        <v>3.53</v>
      </c>
      <c r="AA1314" t="s">
        <v>35</v>
      </c>
    </row>
    <row r="1315" spans="1:27" x14ac:dyDescent="0.3">
      <c r="A1315" t="s">
        <v>84</v>
      </c>
      <c r="B1315" t="s">
        <v>106</v>
      </c>
      <c r="C1315">
        <v>2026</v>
      </c>
      <c r="D1315" t="s">
        <v>63</v>
      </c>
      <c r="E1315">
        <v>61243.81</v>
      </c>
      <c r="F1315">
        <v>76.7</v>
      </c>
      <c r="G1315">
        <v>281</v>
      </c>
      <c r="H1315">
        <v>98.6</v>
      </c>
      <c r="I1315">
        <v>5.96</v>
      </c>
      <c r="J1315">
        <v>163</v>
      </c>
      <c r="K1315">
        <v>647</v>
      </c>
      <c r="L1315">
        <v>644</v>
      </c>
      <c r="M1315" t="s">
        <v>54</v>
      </c>
      <c r="N1315">
        <v>7</v>
      </c>
      <c r="O1315" t="s">
        <v>65</v>
      </c>
      <c r="P1315">
        <v>39.799999999999997</v>
      </c>
      <c r="Q1315">
        <v>1714</v>
      </c>
      <c r="R1315">
        <v>4</v>
      </c>
      <c r="S1315">
        <v>0</v>
      </c>
      <c r="T1315" t="s">
        <v>47</v>
      </c>
      <c r="U1315" t="s">
        <v>42</v>
      </c>
      <c r="V1315">
        <v>57282</v>
      </c>
      <c r="W1315">
        <v>3.5</v>
      </c>
      <c r="X1315">
        <v>4</v>
      </c>
      <c r="Y1315" t="s">
        <v>43</v>
      </c>
      <c r="Z1315">
        <v>3.66</v>
      </c>
      <c r="AA1315" t="s">
        <v>35</v>
      </c>
    </row>
    <row r="1316" spans="1:27" x14ac:dyDescent="0.3">
      <c r="A1316" t="s">
        <v>27</v>
      </c>
      <c r="B1316" t="s">
        <v>28</v>
      </c>
      <c r="C1316">
        <v>2024</v>
      </c>
      <c r="D1316" t="s">
        <v>29</v>
      </c>
      <c r="E1316">
        <v>60928.37</v>
      </c>
      <c r="F1316">
        <v>119.9</v>
      </c>
      <c r="G1316">
        <v>406</v>
      </c>
      <c r="H1316">
        <v>157.6</v>
      </c>
      <c r="I1316">
        <v>3.7</v>
      </c>
      <c r="J1316">
        <v>200</v>
      </c>
      <c r="K1316">
        <v>633</v>
      </c>
      <c r="L1316">
        <v>585</v>
      </c>
      <c r="M1316" t="s">
        <v>30</v>
      </c>
      <c r="N1316">
        <v>7</v>
      </c>
      <c r="O1316" t="s">
        <v>31</v>
      </c>
      <c r="P1316">
        <v>58.9</v>
      </c>
      <c r="Q1316">
        <v>2556</v>
      </c>
      <c r="R1316">
        <v>5</v>
      </c>
      <c r="S1316">
        <v>1</v>
      </c>
      <c r="T1316" t="s">
        <v>32</v>
      </c>
      <c r="U1316" t="s">
        <v>42</v>
      </c>
      <c r="V1316">
        <v>257710</v>
      </c>
      <c r="W1316">
        <v>3.6</v>
      </c>
      <c r="X1316">
        <v>3</v>
      </c>
      <c r="Y1316" t="s">
        <v>34</v>
      </c>
      <c r="Z1316">
        <v>3.39</v>
      </c>
      <c r="AA1316" t="s">
        <v>35</v>
      </c>
    </row>
    <row r="1317" spans="1:27" x14ac:dyDescent="0.3">
      <c r="A1317" t="s">
        <v>91</v>
      </c>
      <c r="B1317" t="s">
        <v>97</v>
      </c>
      <c r="C1317">
        <v>2021</v>
      </c>
      <c r="D1317" t="s">
        <v>38</v>
      </c>
      <c r="E1317">
        <v>119496.22</v>
      </c>
      <c r="F1317">
        <v>73.8</v>
      </c>
      <c r="G1317">
        <v>254</v>
      </c>
      <c r="H1317">
        <v>88.4</v>
      </c>
      <c r="I1317">
        <v>7.75</v>
      </c>
      <c r="J1317">
        <v>133</v>
      </c>
      <c r="K1317">
        <v>1000</v>
      </c>
      <c r="L1317">
        <v>915</v>
      </c>
      <c r="M1317" t="s">
        <v>30</v>
      </c>
      <c r="N1317">
        <v>5</v>
      </c>
      <c r="O1317" t="s">
        <v>46</v>
      </c>
      <c r="P1317">
        <v>73.900000000000006</v>
      </c>
      <c r="Q1317">
        <v>1533</v>
      </c>
      <c r="R1317">
        <v>5</v>
      </c>
      <c r="S1317">
        <v>1</v>
      </c>
      <c r="T1317" t="s">
        <v>32</v>
      </c>
      <c r="U1317" t="s">
        <v>33</v>
      </c>
      <c r="V1317">
        <v>47944</v>
      </c>
      <c r="W1317">
        <v>3.4</v>
      </c>
      <c r="X1317">
        <v>6</v>
      </c>
      <c r="Y1317" t="s">
        <v>61</v>
      </c>
      <c r="Z1317">
        <v>3.44</v>
      </c>
      <c r="AA1317" t="s">
        <v>35</v>
      </c>
    </row>
    <row r="1318" spans="1:27" x14ac:dyDescent="0.3">
      <c r="A1318" t="s">
        <v>76</v>
      </c>
      <c r="B1318" t="s">
        <v>117</v>
      </c>
      <c r="C1318">
        <v>2025</v>
      </c>
      <c r="D1318" t="s">
        <v>68</v>
      </c>
      <c r="E1318">
        <v>66375.02</v>
      </c>
      <c r="F1318">
        <v>59.8</v>
      </c>
      <c r="G1318">
        <v>232</v>
      </c>
      <c r="H1318">
        <v>84.1</v>
      </c>
      <c r="I1318">
        <v>7.25</v>
      </c>
      <c r="J1318">
        <v>143</v>
      </c>
      <c r="K1318">
        <v>741</v>
      </c>
      <c r="L1318">
        <v>638</v>
      </c>
      <c r="M1318" t="s">
        <v>39</v>
      </c>
      <c r="N1318">
        <v>7</v>
      </c>
      <c r="O1318" t="s">
        <v>57</v>
      </c>
      <c r="P1318">
        <v>21.5</v>
      </c>
      <c r="Q1318">
        <v>1500</v>
      </c>
      <c r="R1318">
        <v>4</v>
      </c>
      <c r="S1318">
        <v>0</v>
      </c>
      <c r="T1318" t="s">
        <v>51</v>
      </c>
      <c r="U1318" t="s">
        <v>38</v>
      </c>
      <c r="V1318">
        <v>125248</v>
      </c>
      <c r="W1318">
        <v>3.2</v>
      </c>
      <c r="X1318">
        <v>3</v>
      </c>
      <c r="Y1318" t="s">
        <v>61</v>
      </c>
      <c r="Z1318">
        <v>3.88</v>
      </c>
      <c r="AA1318" t="s">
        <v>35</v>
      </c>
    </row>
    <row r="1319" spans="1:27" x14ac:dyDescent="0.3">
      <c r="A1319" t="s">
        <v>44</v>
      </c>
      <c r="B1319" t="s">
        <v>109</v>
      </c>
      <c r="C1319">
        <v>2025</v>
      </c>
      <c r="D1319" t="s">
        <v>29</v>
      </c>
      <c r="E1319">
        <v>68553.58</v>
      </c>
      <c r="F1319">
        <v>80.599999999999994</v>
      </c>
      <c r="G1319">
        <v>282</v>
      </c>
      <c r="H1319">
        <v>184.7</v>
      </c>
      <c r="I1319">
        <v>3.59</v>
      </c>
      <c r="J1319">
        <v>193</v>
      </c>
      <c r="K1319">
        <v>978</v>
      </c>
      <c r="L1319">
        <v>870</v>
      </c>
      <c r="M1319" t="s">
        <v>39</v>
      </c>
      <c r="N1319">
        <v>5</v>
      </c>
      <c r="O1319" t="s">
        <v>40</v>
      </c>
      <c r="P1319">
        <v>36.5</v>
      </c>
      <c r="Q1319">
        <v>2177</v>
      </c>
      <c r="R1319">
        <v>5</v>
      </c>
      <c r="S1319">
        <v>0</v>
      </c>
      <c r="T1319" t="s">
        <v>47</v>
      </c>
      <c r="U1319" t="s">
        <v>38</v>
      </c>
      <c r="V1319">
        <v>27343</v>
      </c>
      <c r="W1319">
        <v>3.6</v>
      </c>
      <c r="X1319">
        <v>4</v>
      </c>
      <c r="Y1319" t="s">
        <v>34</v>
      </c>
      <c r="Z1319">
        <v>3.5</v>
      </c>
      <c r="AA1319" t="s">
        <v>35</v>
      </c>
    </row>
    <row r="1320" spans="1:27" x14ac:dyDescent="0.3">
      <c r="A1320" t="s">
        <v>52</v>
      </c>
      <c r="B1320" t="s">
        <v>80</v>
      </c>
      <c r="C1320">
        <v>2026</v>
      </c>
      <c r="D1320" t="s">
        <v>68</v>
      </c>
      <c r="E1320">
        <v>80796.91</v>
      </c>
      <c r="F1320">
        <v>64.599999999999994</v>
      </c>
      <c r="G1320">
        <v>239</v>
      </c>
      <c r="H1320">
        <v>287.60000000000002</v>
      </c>
      <c r="I1320">
        <v>6.99</v>
      </c>
      <c r="J1320">
        <v>148</v>
      </c>
      <c r="K1320">
        <v>622</v>
      </c>
      <c r="L1320">
        <v>531</v>
      </c>
      <c r="M1320" t="s">
        <v>54</v>
      </c>
      <c r="N1320">
        <v>7</v>
      </c>
      <c r="O1320" t="s">
        <v>31</v>
      </c>
      <c r="P1320">
        <v>60.2</v>
      </c>
      <c r="Q1320">
        <v>2600</v>
      </c>
      <c r="R1320">
        <v>4</v>
      </c>
      <c r="S1320">
        <v>2</v>
      </c>
      <c r="T1320" t="s">
        <v>47</v>
      </c>
      <c r="U1320" t="s">
        <v>38</v>
      </c>
      <c r="V1320">
        <v>212130</v>
      </c>
      <c r="W1320">
        <v>3.7</v>
      </c>
      <c r="X1320">
        <v>4</v>
      </c>
      <c r="Y1320" t="s">
        <v>43</v>
      </c>
      <c r="Z1320">
        <v>3.7</v>
      </c>
      <c r="AA1320" t="s">
        <v>35</v>
      </c>
    </row>
    <row r="1321" spans="1:27" x14ac:dyDescent="0.3">
      <c r="A1321" t="s">
        <v>52</v>
      </c>
      <c r="B1321" t="s">
        <v>55</v>
      </c>
      <c r="C1321">
        <v>2021</v>
      </c>
      <c r="D1321" t="s">
        <v>63</v>
      </c>
      <c r="E1321">
        <v>59816.02</v>
      </c>
      <c r="F1321">
        <v>58.9</v>
      </c>
      <c r="G1321">
        <v>204</v>
      </c>
      <c r="H1321">
        <v>321.10000000000002</v>
      </c>
      <c r="I1321">
        <v>5.9</v>
      </c>
      <c r="J1321">
        <v>157</v>
      </c>
      <c r="K1321">
        <v>431</v>
      </c>
      <c r="L1321">
        <v>386</v>
      </c>
      <c r="M1321" t="s">
        <v>30</v>
      </c>
      <c r="N1321">
        <v>5</v>
      </c>
      <c r="O1321" t="s">
        <v>46</v>
      </c>
      <c r="P1321">
        <v>63</v>
      </c>
      <c r="Q1321">
        <v>1500</v>
      </c>
      <c r="R1321">
        <v>4</v>
      </c>
      <c r="S1321">
        <v>3</v>
      </c>
      <c r="T1321" t="s">
        <v>47</v>
      </c>
      <c r="U1321" t="s">
        <v>42</v>
      </c>
      <c r="V1321">
        <v>446207</v>
      </c>
      <c r="W1321">
        <v>3.7</v>
      </c>
      <c r="X1321">
        <v>6</v>
      </c>
      <c r="Y1321" t="s">
        <v>43</v>
      </c>
      <c r="Z1321">
        <v>3.46</v>
      </c>
      <c r="AA1321" t="s">
        <v>35</v>
      </c>
    </row>
    <row r="1322" spans="1:27" x14ac:dyDescent="0.3">
      <c r="A1322" t="s">
        <v>71</v>
      </c>
      <c r="B1322" t="s">
        <v>72</v>
      </c>
      <c r="C1322">
        <v>2020</v>
      </c>
      <c r="D1322" t="s">
        <v>29</v>
      </c>
      <c r="E1322">
        <v>61584.07</v>
      </c>
      <c r="F1322">
        <v>117</v>
      </c>
      <c r="G1322">
        <v>409</v>
      </c>
      <c r="H1322">
        <v>225.5</v>
      </c>
      <c r="I1322">
        <v>3.84</v>
      </c>
      <c r="J1322">
        <v>196</v>
      </c>
      <c r="K1322">
        <v>687</v>
      </c>
      <c r="L1322">
        <v>636</v>
      </c>
      <c r="M1322" t="s">
        <v>30</v>
      </c>
      <c r="N1322">
        <v>5</v>
      </c>
      <c r="O1322" t="s">
        <v>65</v>
      </c>
      <c r="P1322">
        <v>28.7</v>
      </c>
      <c r="Q1322">
        <v>1600</v>
      </c>
      <c r="R1322">
        <v>5</v>
      </c>
      <c r="S1322">
        <v>0</v>
      </c>
      <c r="T1322" t="s">
        <v>73</v>
      </c>
      <c r="U1322" t="s">
        <v>42</v>
      </c>
      <c r="V1322">
        <v>190643</v>
      </c>
      <c r="W1322">
        <v>3.9</v>
      </c>
      <c r="X1322">
        <v>5</v>
      </c>
      <c r="Y1322" t="s">
        <v>34</v>
      </c>
      <c r="Z1322">
        <v>3.5</v>
      </c>
      <c r="AA1322" t="s">
        <v>35</v>
      </c>
    </row>
    <row r="1323" spans="1:27" x14ac:dyDescent="0.3">
      <c r="A1323" t="s">
        <v>52</v>
      </c>
      <c r="B1323" t="s">
        <v>86</v>
      </c>
      <c r="C1323">
        <v>2024</v>
      </c>
      <c r="D1323" t="s">
        <v>63</v>
      </c>
      <c r="E1323">
        <v>99143.24</v>
      </c>
      <c r="F1323">
        <v>56.5</v>
      </c>
      <c r="G1323">
        <v>200</v>
      </c>
      <c r="H1323">
        <v>325.2</v>
      </c>
      <c r="I1323">
        <v>6.99</v>
      </c>
      <c r="J1323">
        <v>142</v>
      </c>
      <c r="K1323">
        <v>685</v>
      </c>
      <c r="L1323">
        <v>610</v>
      </c>
      <c r="M1323" t="s">
        <v>54</v>
      </c>
      <c r="N1323">
        <v>5</v>
      </c>
      <c r="O1323" t="s">
        <v>57</v>
      </c>
      <c r="P1323">
        <v>26.4</v>
      </c>
      <c r="Q1323">
        <v>1638</v>
      </c>
      <c r="R1323">
        <v>3</v>
      </c>
      <c r="S1323">
        <v>2</v>
      </c>
      <c r="T1323" t="s">
        <v>47</v>
      </c>
      <c r="U1323" t="s">
        <v>38</v>
      </c>
      <c r="V1323">
        <v>177987</v>
      </c>
      <c r="W1323">
        <v>3.6</v>
      </c>
      <c r="X1323">
        <v>6</v>
      </c>
      <c r="Y1323" t="s">
        <v>43</v>
      </c>
      <c r="Z1323">
        <v>3.54</v>
      </c>
      <c r="AA1323" t="s">
        <v>35</v>
      </c>
    </row>
    <row r="1324" spans="1:27" x14ac:dyDescent="0.3">
      <c r="A1324" t="s">
        <v>58</v>
      </c>
      <c r="B1324" t="s">
        <v>59</v>
      </c>
      <c r="C1324">
        <v>2023</v>
      </c>
      <c r="D1324" t="s">
        <v>63</v>
      </c>
      <c r="E1324">
        <v>129584.74</v>
      </c>
      <c r="F1324">
        <v>64.2</v>
      </c>
      <c r="G1324">
        <v>260</v>
      </c>
      <c r="H1324">
        <v>81.2</v>
      </c>
      <c r="I1324">
        <v>7.72</v>
      </c>
      <c r="J1324">
        <v>126</v>
      </c>
      <c r="K1324">
        <v>788</v>
      </c>
      <c r="L1324">
        <v>737</v>
      </c>
      <c r="M1324" t="s">
        <v>39</v>
      </c>
      <c r="N1324">
        <v>7</v>
      </c>
      <c r="O1324" t="s">
        <v>56</v>
      </c>
      <c r="P1324">
        <v>30.6</v>
      </c>
      <c r="Q1324">
        <v>1739</v>
      </c>
      <c r="R1324">
        <v>5</v>
      </c>
      <c r="S1324">
        <v>1</v>
      </c>
      <c r="T1324" t="s">
        <v>32</v>
      </c>
      <c r="U1324" t="s">
        <v>33</v>
      </c>
      <c r="V1324">
        <v>24901</v>
      </c>
      <c r="W1324">
        <v>3.8</v>
      </c>
      <c r="X1324">
        <v>6</v>
      </c>
      <c r="Y1324" t="s">
        <v>61</v>
      </c>
      <c r="Z1324">
        <v>4.05</v>
      </c>
      <c r="AA1324" t="s">
        <v>35</v>
      </c>
    </row>
    <row r="1325" spans="1:27" x14ac:dyDescent="0.3">
      <c r="A1325" t="s">
        <v>71</v>
      </c>
      <c r="B1325" t="s">
        <v>72</v>
      </c>
      <c r="C1325">
        <v>2021</v>
      </c>
      <c r="D1325" t="s">
        <v>29</v>
      </c>
      <c r="E1325">
        <v>99786.36</v>
      </c>
      <c r="F1325">
        <v>108.9</v>
      </c>
      <c r="G1325">
        <v>369</v>
      </c>
      <c r="H1325">
        <v>206.4</v>
      </c>
      <c r="I1325">
        <v>3.23</v>
      </c>
      <c r="J1325">
        <v>200</v>
      </c>
      <c r="K1325">
        <v>1000</v>
      </c>
      <c r="L1325">
        <v>861</v>
      </c>
      <c r="M1325" t="s">
        <v>30</v>
      </c>
      <c r="N1325">
        <v>5</v>
      </c>
      <c r="O1325" t="s">
        <v>65</v>
      </c>
      <c r="P1325">
        <v>32.5</v>
      </c>
      <c r="Q1325">
        <v>1675</v>
      </c>
      <c r="R1325">
        <v>5</v>
      </c>
      <c r="S1325">
        <v>0</v>
      </c>
      <c r="T1325" t="s">
        <v>73</v>
      </c>
      <c r="U1325" t="s">
        <v>38</v>
      </c>
      <c r="V1325">
        <v>126447</v>
      </c>
      <c r="W1325">
        <v>3.9</v>
      </c>
      <c r="X1325">
        <v>3</v>
      </c>
      <c r="Y1325" t="s">
        <v>34</v>
      </c>
      <c r="Z1325">
        <v>3.39</v>
      </c>
      <c r="AA1325" t="s">
        <v>35</v>
      </c>
    </row>
    <row r="1326" spans="1:27" x14ac:dyDescent="0.3">
      <c r="A1326" t="s">
        <v>132</v>
      </c>
      <c r="B1326" t="s">
        <v>133</v>
      </c>
      <c r="C1326">
        <v>2026</v>
      </c>
      <c r="D1326" t="s">
        <v>63</v>
      </c>
      <c r="E1326">
        <v>137880.07999999999</v>
      </c>
      <c r="F1326">
        <v>41.3</v>
      </c>
      <c r="G1326">
        <v>150</v>
      </c>
      <c r="H1326">
        <v>291</v>
      </c>
      <c r="I1326">
        <v>7.96</v>
      </c>
      <c r="J1326">
        <v>127</v>
      </c>
      <c r="K1326">
        <v>488</v>
      </c>
      <c r="L1326">
        <v>458</v>
      </c>
      <c r="M1326" t="s">
        <v>39</v>
      </c>
      <c r="N1326">
        <v>7</v>
      </c>
      <c r="O1326" t="s">
        <v>31</v>
      </c>
      <c r="P1326">
        <v>53.2</v>
      </c>
      <c r="Q1326">
        <v>2482</v>
      </c>
      <c r="R1326">
        <v>5</v>
      </c>
      <c r="S1326">
        <v>1</v>
      </c>
      <c r="T1326" t="s">
        <v>47</v>
      </c>
      <c r="U1326" t="s">
        <v>33</v>
      </c>
      <c r="V1326">
        <v>21377</v>
      </c>
      <c r="W1326">
        <v>3.2</v>
      </c>
      <c r="X1326">
        <v>5</v>
      </c>
      <c r="Y1326" t="s">
        <v>61</v>
      </c>
      <c r="Z1326">
        <v>3.63</v>
      </c>
      <c r="AA1326" t="s">
        <v>35</v>
      </c>
    </row>
    <row r="1327" spans="1:27" x14ac:dyDescent="0.3">
      <c r="A1327" t="s">
        <v>71</v>
      </c>
      <c r="B1327" t="s">
        <v>72</v>
      </c>
      <c r="C1327">
        <v>2025</v>
      </c>
      <c r="D1327" t="s">
        <v>50</v>
      </c>
      <c r="E1327">
        <v>57737.75</v>
      </c>
      <c r="F1327">
        <v>106.1</v>
      </c>
      <c r="G1327">
        <v>383</v>
      </c>
      <c r="H1327">
        <v>148.9</v>
      </c>
      <c r="I1327">
        <v>4.2300000000000004</v>
      </c>
      <c r="J1327">
        <v>189</v>
      </c>
      <c r="K1327">
        <v>660</v>
      </c>
      <c r="L1327">
        <v>579</v>
      </c>
      <c r="M1327" t="s">
        <v>30</v>
      </c>
      <c r="N1327">
        <v>5</v>
      </c>
      <c r="O1327" t="s">
        <v>57</v>
      </c>
      <c r="P1327">
        <v>34.200000000000003</v>
      </c>
      <c r="Q1327">
        <v>1878</v>
      </c>
      <c r="R1327">
        <v>4</v>
      </c>
      <c r="S1327">
        <v>2</v>
      </c>
      <c r="T1327" t="s">
        <v>73</v>
      </c>
      <c r="U1327" t="s">
        <v>42</v>
      </c>
      <c r="V1327">
        <v>108943</v>
      </c>
      <c r="W1327">
        <v>4.0999999999999996</v>
      </c>
      <c r="X1327">
        <v>4</v>
      </c>
      <c r="Y1327" t="s">
        <v>43</v>
      </c>
      <c r="Z1327">
        <v>3.61</v>
      </c>
      <c r="AA1327" t="s">
        <v>35</v>
      </c>
    </row>
    <row r="1328" spans="1:27" x14ac:dyDescent="0.3">
      <c r="A1328" t="s">
        <v>52</v>
      </c>
      <c r="B1328" t="s">
        <v>55</v>
      </c>
      <c r="C1328">
        <v>2023</v>
      </c>
      <c r="D1328" t="s">
        <v>63</v>
      </c>
      <c r="E1328">
        <v>112472.41</v>
      </c>
      <c r="F1328">
        <v>74.3</v>
      </c>
      <c r="G1328">
        <v>238</v>
      </c>
      <c r="H1328">
        <v>263.8</v>
      </c>
      <c r="I1328">
        <v>7.32</v>
      </c>
      <c r="J1328">
        <v>142</v>
      </c>
      <c r="K1328">
        <v>800</v>
      </c>
      <c r="L1328">
        <v>741</v>
      </c>
      <c r="M1328" t="s">
        <v>39</v>
      </c>
      <c r="N1328">
        <v>5</v>
      </c>
      <c r="O1328" t="s">
        <v>46</v>
      </c>
      <c r="P1328">
        <v>63.4</v>
      </c>
      <c r="Q1328">
        <v>1500</v>
      </c>
      <c r="R1328">
        <v>5</v>
      </c>
      <c r="S1328">
        <v>3</v>
      </c>
      <c r="T1328" t="s">
        <v>47</v>
      </c>
      <c r="U1328" t="s">
        <v>33</v>
      </c>
      <c r="V1328">
        <v>485203</v>
      </c>
      <c r="W1328">
        <v>3.7</v>
      </c>
      <c r="X1328">
        <v>4</v>
      </c>
      <c r="Y1328" t="s">
        <v>61</v>
      </c>
      <c r="Z1328">
        <v>3.2</v>
      </c>
      <c r="AA1328" t="s">
        <v>35</v>
      </c>
    </row>
    <row r="1329" spans="1:27" x14ac:dyDescent="0.3">
      <c r="A1329" t="s">
        <v>84</v>
      </c>
      <c r="B1329" t="s">
        <v>89</v>
      </c>
      <c r="C1329">
        <v>2025</v>
      </c>
      <c r="D1329" t="s">
        <v>50</v>
      </c>
      <c r="E1329">
        <v>54602.2</v>
      </c>
      <c r="F1329">
        <v>96</v>
      </c>
      <c r="G1329">
        <v>344</v>
      </c>
      <c r="H1329">
        <v>102.3</v>
      </c>
      <c r="I1329">
        <v>4.45</v>
      </c>
      <c r="J1329">
        <v>181</v>
      </c>
      <c r="K1329">
        <v>560</v>
      </c>
      <c r="L1329">
        <v>508</v>
      </c>
      <c r="M1329" t="s">
        <v>30</v>
      </c>
      <c r="N1329">
        <v>5</v>
      </c>
      <c r="O1329" t="s">
        <v>46</v>
      </c>
      <c r="P1329">
        <v>61.8</v>
      </c>
      <c r="Q1329">
        <v>1886</v>
      </c>
      <c r="R1329">
        <v>3</v>
      </c>
      <c r="S1329">
        <v>1</v>
      </c>
      <c r="T1329" t="s">
        <v>47</v>
      </c>
      <c r="U1329" t="s">
        <v>42</v>
      </c>
      <c r="V1329">
        <v>50891</v>
      </c>
      <c r="W1329">
        <v>3.5</v>
      </c>
      <c r="X1329">
        <v>4</v>
      </c>
      <c r="Y1329" t="s">
        <v>43</v>
      </c>
      <c r="Z1329">
        <v>3.58</v>
      </c>
      <c r="AA1329" t="s">
        <v>35</v>
      </c>
    </row>
    <row r="1330" spans="1:27" x14ac:dyDescent="0.3">
      <c r="A1330" t="s">
        <v>91</v>
      </c>
      <c r="B1330" t="s">
        <v>112</v>
      </c>
      <c r="C1330">
        <v>2021</v>
      </c>
      <c r="D1330" t="s">
        <v>50</v>
      </c>
      <c r="E1330">
        <v>86702.14</v>
      </c>
      <c r="F1330">
        <v>97.3</v>
      </c>
      <c r="G1330">
        <v>331</v>
      </c>
      <c r="H1330">
        <v>69.099999999999994</v>
      </c>
      <c r="I1330">
        <v>5.0199999999999996</v>
      </c>
      <c r="J1330">
        <v>176</v>
      </c>
      <c r="K1330">
        <v>662</v>
      </c>
      <c r="L1330">
        <v>609</v>
      </c>
      <c r="M1330" t="s">
        <v>54</v>
      </c>
      <c r="N1330">
        <v>5</v>
      </c>
      <c r="O1330" t="s">
        <v>40</v>
      </c>
      <c r="P1330">
        <v>63.9</v>
      </c>
      <c r="Q1330">
        <v>2095</v>
      </c>
      <c r="R1330">
        <v>3</v>
      </c>
      <c r="S1330">
        <v>2</v>
      </c>
      <c r="T1330" t="s">
        <v>32</v>
      </c>
      <c r="U1330" t="s">
        <v>38</v>
      </c>
      <c r="V1330">
        <v>40089</v>
      </c>
      <c r="W1330">
        <v>3.7</v>
      </c>
      <c r="X1330">
        <v>7</v>
      </c>
      <c r="Y1330" t="s">
        <v>43</v>
      </c>
      <c r="Z1330">
        <v>3.4</v>
      </c>
      <c r="AA1330" t="s">
        <v>35</v>
      </c>
    </row>
    <row r="1331" spans="1:27" x14ac:dyDescent="0.3">
      <c r="A1331" t="s">
        <v>76</v>
      </c>
      <c r="B1331" t="s">
        <v>114</v>
      </c>
      <c r="C1331">
        <v>2023</v>
      </c>
      <c r="D1331" t="s">
        <v>29</v>
      </c>
      <c r="E1331">
        <v>107017.27</v>
      </c>
      <c r="F1331">
        <v>75.2</v>
      </c>
      <c r="G1331">
        <v>259</v>
      </c>
      <c r="H1331">
        <v>223.3</v>
      </c>
      <c r="I1331">
        <v>4.08</v>
      </c>
      <c r="J1331">
        <v>184</v>
      </c>
      <c r="K1331">
        <v>1000</v>
      </c>
      <c r="L1331">
        <v>920</v>
      </c>
      <c r="M1331" t="s">
        <v>54</v>
      </c>
      <c r="N1331">
        <v>5</v>
      </c>
      <c r="O1331" t="s">
        <v>40</v>
      </c>
      <c r="P1331">
        <v>60.4</v>
      </c>
      <c r="Q1331">
        <v>2285</v>
      </c>
      <c r="R1331">
        <v>5</v>
      </c>
      <c r="S1331">
        <v>0</v>
      </c>
      <c r="T1331" t="s">
        <v>51</v>
      </c>
      <c r="U1331" t="s">
        <v>33</v>
      </c>
      <c r="V1331">
        <v>67872</v>
      </c>
      <c r="W1331">
        <v>3.4</v>
      </c>
      <c r="X1331">
        <v>4</v>
      </c>
      <c r="Y1331" t="s">
        <v>43</v>
      </c>
      <c r="Z1331">
        <v>3.44</v>
      </c>
      <c r="AA1331" t="s">
        <v>35</v>
      </c>
    </row>
    <row r="1332" spans="1:27" x14ac:dyDescent="0.3">
      <c r="A1332" t="s">
        <v>48</v>
      </c>
      <c r="B1332" t="s">
        <v>49</v>
      </c>
      <c r="C1332">
        <v>2025</v>
      </c>
      <c r="D1332" t="s">
        <v>50</v>
      </c>
      <c r="E1332">
        <v>76787.3</v>
      </c>
      <c r="F1332">
        <v>75.400000000000006</v>
      </c>
      <c r="G1332">
        <v>275</v>
      </c>
      <c r="H1332">
        <v>121.5</v>
      </c>
      <c r="I1332">
        <v>5.81</v>
      </c>
      <c r="J1332">
        <v>171</v>
      </c>
      <c r="K1332">
        <v>887</v>
      </c>
      <c r="L1332">
        <v>779</v>
      </c>
      <c r="M1332" t="s">
        <v>54</v>
      </c>
      <c r="N1332">
        <v>5</v>
      </c>
      <c r="O1332" t="s">
        <v>40</v>
      </c>
      <c r="P1332">
        <v>60.2</v>
      </c>
      <c r="Q1332">
        <v>2168</v>
      </c>
      <c r="R1332">
        <v>4</v>
      </c>
      <c r="S1332">
        <v>0</v>
      </c>
      <c r="T1332" t="s">
        <v>51</v>
      </c>
      <c r="U1332" t="s">
        <v>38</v>
      </c>
      <c r="V1332">
        <v>116634</v>
      </c>
      <c r="W1332">
        <v>3.7</v>
      </c>
      <c r="X1332">
        <v>3</v>
      </c>
      <c r="Y1332" t="s">
        <v>43</v>
      </c>
      <c r="Z1332">
        <v>3.65</v>
      </c>
      <c r="AA1332" t="s">
        <v>35</v>
      </c>
    </row>
    <row r="1333" spans="1:27" x14ac:dyDescent="0.3">
      <c r="A1333" t="s">
        <v>44</v>
      </c>
      <c r="B1333" t="s">
        <v>109</v>
      </c>
      <c r="C1333">
        <v>2024</v>
      </c>
      <c r="D1333" t="s">
        <v>50</v>
      </c>
      <c r="E1333">
        <v>54182.3</v>
      </c>
      <c r="F1333">
        <v>85.5</v>
      </c>
      <c r="G1333">
        <v>299</v>
      </c>
      <c r="H1333">
        <v>106.1</v>
      </c>
      <c r="I1333">
        <v>5.9</v>
      </c>
      <c r="J1333">
        <v>165</v>
      </c>
      <c r="K1333">
        <v>666</v>
      </c>
      <c r="L1333">
        <v>603</v>
      </c>
      <c r="M1333" t="s">
        <v>30</v>
      </c>
      <c r="N1333">
        <v>7</v>
      </c>
      <c r="O1333" t="s">
        <v>31</v>
      </c>
      <c r="P1333">
        <v>59.3</v>
      </c>
      <c r="Q1333">
        <v>2617</v>
      </c>
      <c r="R1333">
        <v>4</v>
      </c>
      <c r="S1333">
        <v>0</v>
      </c>
      <c r="T1333" t="s">
        <v>47</v>
      </c>
      <c r="U1333" t="s">
        <v>42</v>
      </c>
      <c r="V1333">
        <v>4380</v>
      </c>
      <c r="W1333">
        <v>3.5</v>
      </c>
      <c r="X1333">
        <v>4</v>
      </c>
      <c r="Y1333" t="s">
        <v>43</v>
      </c>
      <c r="Z1333">
        <v>3.5</v>
      </c>
      <c r="AA1333" t="s">
        <v>69</v>
      </c>
    </row>
    <row r="1334" spans="1:27" x14ac:dyDescent="0.3">
      <c r="A1334" t="s">
        <v>71</v>
      </c>
      <c r="B1334" t="s">
        <v>104</v>
      </c>
      <c r="C1334">
        <v>2022</v>
      </c>
      <c r="D1334" t="s">
        <v>50</v>
      </c>
      <c r="E1334">
        <v>43671.62</v>
      </c>
      <c r="F1334">
        <v>95.1</v>
      </c>
      <c r="G1334">
        <v>328</v>
      </c>
      <c r="H1334">
        <v>90.4</v>
      </c>
      <c r="I1334">
        <v>4.97</v>
      </c>
      <c r="J1334">
        <v>173</v>
      </c>
      <c r="K1334">
        <v>517</v>
      </c>
      <c r="L1334">
        <v>391</v>
      </c>
      <c r="M1334" t="s">
        <v>30</v>
      </c>
      <c r="N1334">
        <v>7</v>
      </c>
      <c r="O1334" t="s">
        <v>57</v>
      </c>
      <c r="P1334">
        <v>21.4</v>
      </c>
      <c r="Q1334">
        <v>1500</v>
      </c>
      <c r="R1334">
        <v>3</v>
      </c>
      <c r="S1334">
        <v>0</v>
      </c>
      <c r="T1334" t="s">
        <v>73</v>
      </c>
      <c r="U1334" t="s">
        <v>42</v>
      </c>
      <c r="V1334">
        <v>203792</v>
      </c>
      <c r="W1334">
        <v>3.5</v>
      </c>
      <c r="X1334">
        <v>3</v>
      </c>
      <c r="Y1334" t="s">
        <v>43</v>
      </c>
      <c r="Z1334">
        <v>3.45</v>
      </c>
      <c r="AA1334" t="s">
        <v>35</v>
      </c>
    </row>
    <row r="1335" spans="1:27" x14ac:dyDescent="0.3">
      <c r="A1335" t="s">
        <v>139</v>
      </c>
      <c r="B1335" t="s">
        <v>140</v>
      </c>
      <c r="C1335">
        <v>2025</v>
      </c>
      <c r="D1335" t="s">
        <v>38</v>
      </c>
      <c r="E1335">
        <v>55513.599999999999</v>
      </c>
      <c r="F1335">
        <v>48.7</v>
      </c>
      <c r="G1335">
        <v>150</v>
      </c>
      <c r="H1335">
        <v>126.5</v>
      </c>
      <c r="I1335">
        <v>5.94</v>
      </c>
      <c r="J1335">
        <v>162</v>
      </c>
      <c r="K1335">
        <v>434</v>
      </c>
      <c r="L1335">
        <v>369</v>
      </c>
      <c r="M1335" t="s">
        <v>30</v>
      </c>
      <c r="N1335">
        <v>5</v>
      </c>
      <c r="O1335" t="s">
        <v>65</v>
      </c>
      <c r="P1335">
        <v>21</v>
      </c>
      <c r="Q1335">
        <v>1521</v>
      </c>
      <c r="R1335">
        <v>4</v>
      </c>
      <c r="S1335">
        <v>0</v>
      </c>
      <c r="T1335" t="s">
        <v>73</v>
      </c>
      <c r="U1335" t="s">
        <v>42</v>
      </c>
      <c r="V1335">
        <v>22327</v>
      </c>
      <c r="W1335">
        <v>3.3</v>
      </c>
      <c r="X1335">
        <v>4</v>
      </c>
      <c r="Y1335" t="s">
        <v>43</v>
      </c>
      <c r="Z1335">
        <v>3.08</v>
      </c>
      <c r="AA1335" t="s">
        <v>35</v>
      </c>
    </row>
    <row r="1336" spans="1:27" x14ac:dyDescent="0.3">
      <c r="A1336" t="s">
        <v>132</v>
      </c>
      <c r="B1336" t="s">
        <v>133</v>
      </c>
      <c r="C1336">
        <v>2024</v>
      </c>
      <c r="D1336" t="s">
        <v>38</v>
      </c>
      <c r="E1336">
        <v>269775.2</v>
      </c>
      <c r="F1336">
        <v>76.3</v>
      </c>
      <c r="G1336">
        <v>276</v>
      </c>
      <c r="H1336">
        <v>262.39999999999998</v>
      </c>
      <c r="I1336">
        <v>5.1100000000000003</v>
      </c>
      <c r="J1336">
        <v>163</v>
      </c>
      <c r="K1336">
        <v>1000</v>
      </c>
      <c r="L1336">
        <v>928</v>
      </c>
      <c r="M1336" t="s">
        <v>30</v>
      </c>
      <c r="N1336">
        <v>7</v>
      </c>
      <c r="O1336" t="s">
        <v>56</v>
      </c>
      <c r="P1336">
        <v>16.600000000000001</v>
      </c>
      <c r="Q1336">
        <v>1560</v>
      </c>
      <c r="R1336">
        <v>4</v>
      </c>
      <c r="S1336">
        <v>1</v>
      </c>
      <c r="T1336" t="s">
        <v>47</v>
      </c>
      <c r="U1336" t="s">
        <v>33</v>
      </c>
      <c r="V1336">
        <v>4056</v>
      </c>
      <c r="W1336">
        <v>3.3</v>
      </c>
      <c r="X1336">
        <v>4</v>
      </c>
      <c r="Y1336" t="s">
        <v>43</v>
      </c>
      <c r="Z1336">
        <v>3.62</v>
      </c>
      <c r="AA1336" t="s">
        <v>69</v>
      </c>
    </row>
    <row r="1337" spans="1:27" x14ac:dyDescent="0.3">
      <c r="A1337" t="s">
        <v>91</v>
      </c>
      <c r="B1337" t="s">
        <v>92</v>
      </c>
      <c r="C1337">
        <v>2026</v>
      </c>
      <c r="D1337" t="s">
        <v>38</v>
      </c>
      <c r="E1337">
        <v>125637.29</v>
      </c>
      <c r="F1337">
        <v>67.5</v>
      </c>
      <c r="G1337">
        <v>240</v>
      </c>
      <c r="H1337">
        <v>56</v>
      </c>
      <c r="I1337">
        <v>7.12</v>
      </c>
      <c r="J1337">
        <v>151</v>
      </c>
      <c r="K1337">
        <v>1000</v>
      </c>
      <c r="L1337">
        <v>870</v>
      </c>
      <c r="M1337" t="s">
        <v>54</v>
      </c>
      <c r="N1337">
        <v>5</v>
      </c>
      <c r="O1337" t="s">
        <v>56</v>
      </c>
      <c r="P1337">
        <v>28.2</v>
      </c>
      <c r="Q1337">
        <v>1713</v>
      </c>
      <c r="R1337">
        <v>5</v>
      </c>
      <c r="S1337">
        <v>2</v>
      </c>
      <c r="T1337" t="s">
        <v>32</v>
      </c>
      <c r="U1337" t="s">
        <v>33</v>
      </c>
      <c r="V1337">
        <v>47587</v>
      </c>
      <c r="W1337">
        <v>3.6</v>
      </c>
      <c r="X1337">
        <v>7</v>
      </c>
      <c r="Y1337" t="s">
        <v>61</v>
      </c>
      <c r="Z1337">
        <v>3.56</v>
      </c>
      <c r="AA1337" t="s">
        <v>35</v>
      </c>
    </row>
    <row r="1338" spans="1:27" x14ac:dyDescent="0.3">
      <c r="A1338" t="s">
        <v>52</v>
      </c>
      <c r="B1338" t="s">
        <v>53</v>
      </c>
      <c r="C1338">
        <v>2024</v>
      </c>
      <c r="D1338" t="s">
        <v>38</v>
      </c>
      <c r="E1338">
        <v>111275.22</v>
      </c>
      <c r="F1338">
        <v>82.9</v>
      </c>
      <c r="G1338">
        <v>291</v>
      </c>
      <c r="H1338">
        <v>207.4</v>
      </c>
      <c r="I1338">
        <v>5.18</v>
      </c>
      <c r="J1338">
        <v>171</v>
      </c>
      <c r="K1338">
        <v>794</v>
      </c>
      <c r="L1338">
        <v>685</v>
      </c>
      <c r="M1338" t="s">
        <v>30</v>
      </c>
      <c r="N1338">
        <v>5</v>
      </c>
      <c r="O1338" t="s">
        <v>40</v>
      </c>
      <c r="P1338">
        <v>62.4</v>
      </c>
      <c r="Q1338">
        <v>1551</v>
      </c>
      <c r="R1338">
        <v>5</v>
      </c>
      <c r="S1338">
        <v>2</v>
      </c>
      <c r="T1338" t="s">
        <v>47</v>
      </c>
      <c r="U1338" t="s">
        <v>33</v>
      </c>
      <c r="V1338">
        <v>172863</v>
      </c>
      <c r="W1338">
        <v>3.9</v>
      </c>
      <c r="X1338">
        <v>5</v>
      </c>
      <c r="Y1338" t="s">
        <v>43</v>
      </c>
      <c r="Z1338">
        <v>3.51</v>
      </c>
      <c r="AA1338" t="s">
        <v>35</v>
      </c>
    </row>
    <row r="1339" spans="1:27" x14ac:dyDescent="0.3">
      <c r="A1339" t="s">
        <v>91</v>
      </c>
      <c r="B1339" t="s">
        <v>124</v>
      </c>
      <c r="C1339">
        <v>2025</v>
      </c>
      <c r="D1339" t="s">
        <v>63</v>
      </c>
      <c r="E1339">
        <v>84529.75</v>
      </c>
      <c r="F1339">
        <v>77.3</v>
      </c>
      <c r="G1339">
        <v>276</v>
      </c>
      <c r="H1339">
        <v>118.7</v>
      </c>
      <c r="I1339">
        <v>5.17</v>
      </c>
      <c r="J1339">
        <v>176</v>
      </c>
      <c r="K1339">
        <v>611</v>
      </c>
      <c r="L1339">
        <v>549</v>
      </c>
      <c r="M1339" t="s">
        <v>30</v>
      </c>
      <c r="N1339">
        <v>5</v>
      </c>
      <c r="O1339" t="s">
        <v>56</v>
      </c>
      <c r="P1339">
        <v>32.4</v>
      </c>
      <c r="Q1339">
        <v>1644</v>
      </c>
      <c r="R1339">
        <v>4</v>
      </c>
      <c r="S1339">
        <v>2</v>
      </c>
      <c r="T1339" t="s">
        <v>32</v>
      </c>
      <c r="U1339" t="s">
        <v>38</v>
      </c>
      <c r="V1339">
        <v>25679</v>
      </c>
      <c r="W1339">
        <v>3.7</v>
      </c>
      <c r="X1339">
        <v>7</v>
      </c>
      <c r="Y1339" t="s">
        <v>43</v>
      </c>
      <c r="Z1339">
        <v>3.57</v>
      </c>
      <c r="AA1339" t="s">
        <v>35</v>
      </c>
    </row>
    <row r="1340" spans="1:27" x14ac:dyDescent="0.3">
      <c r="A1340" t="s">
        <v>52</v>
      </c>
      <c r="B1340" t="s">
        <v>64</v>
      </c>
      <c r="C1340">
        <v>2025</v>
      </c>
      <c r="D1340" t="s">
        <v>63</v>
      </c>
      <c r="E1340">
        <v>97308.1</v>
      </c>
      <c r="F1340">
        <v>56.4</v>
      </c>
      <c r="G1340">
        <v>188</v>
      </c>
      <c r="H1340">
        <v>210</v>
      </c>
      <c r="I1340">
        <v>7.16</v>
      </c>
      <c r="J1340">
        <v>153</v>
      </c>
      <c r="K1340">
        <v>714</v>
      </c>
      <c r="L1340">
        <v>652</v>
      </c>
      <c r="M1340" t="s">
        <v>39</v>
      </c>
      <c r="N1340">
        <v>7</v>
      </c>
      <c r="O1340" t="s">
        <v>40</v>
      </c>
      <c r="P1340">
        <v>41.8</v>
      </c>
      <c r="Q1340">
        <v>2139</v>
      </c>
      <c r="R1340">
        <v>4</v>
      </c>
      <c r="S1340">
        <v>2</v>
      </c>
      <c r="T1340" t="s">
        <v>47</v>
      </c>
      <c r="U1340" t="s">
        <v>38</v>
      </c>
      <c r="V1340">
        <v>239872</v>
      </c>
      <c r="W1340">
        <v>3.7</v>
      </c>
      <c r="X1340">
        <v>5</v>
      </c>
      <c r="Y1340" t="s">
        <v>61</v>
      </c>
      <c r="Z1340">
        <v>3.33</v>
      </c>
      <c r="AA1340" t="s">
        <v>35</v>
      </c>
    </row>
    <row r="1341" spans="1:27" x14ac:dyDescent="0.3">
      <c r="A1341" t="s">
        <v>52</v>
      </c>
      <c r="B1341" t="s">
        <v>86</v>
      </c>
      <c r="C1341">
        <v>2025</v>
      </c>
      <c r="D1341" t="s">
        <v>38</v>
      </c>
      <c r="E1341">
        <v>35653.980000000003</v>
      </c>
      <c r="F1341">
        <v>52</v>
      </c>
      <c r="G1341">
        <v>162</v>
      </c>
      <c r="H1341">
        <v>274.8</v>
      </c>
      <c r="I1341">
        <v>6.58</v>
      </c>
      <c r="J1341">
        <v>146</v>
      </c>
      <c r="K1341">
        <v>182</v>
      </c>
      <c r="L1341">
        <v>200</v>
      </c>
      <c r="M1341" t="s">
        <v>39</v>
      </c>
      <c r="N1341">
        <v>5</v>
      </c>
      <c r="O1341" t="s">
        <v>31</v>
      </c>
      <c r="P1341">
        <v>60</v>
      </c>
      <c r="Q1341">
        <v>2311</v>
      </c>
      <c r="R1341">
        <v>4</v>
      </c>
      <c r="S1341">
        <v>2</v>
      </c>
      <c r="T1341" t="s">
        <v>47</v>
      </c>
      <c r="U1341" t="s">
        <v>42</v>
      </c>
      <c r="V1341">
        <v>228295</v>
      </c>
      <c r="W1341">
        <v>3.6</v>
      </c>
      <c r="X1341">
        <v>4</v>
      </c>
      <c r="Y1341" t="s">
        <v>43</v>
      </c>
      <c r="Z1341">
        <v>3.12</v>
      </c>
      <c r="AA1341" t="s">
        <v>35</v>
      </c>
    </row>
    <row r="1342" spans="1:27" x14ac:dyDescent="0.3">
      <c r="A1342" t="s">
        <v>71</v>
      </c>
      <c r="B1342" t="s">
        <v>90</v>
      </c>
      <c r="C1342">
        <v>2026</v>
      </c>
      <c r="D1342" t="s">
        <v>50</v>
      </c>
      <c r="E1342">
        <v>101979.86</v>
      </c>
      <c r="F1342">
        <v>105.4</v>
      </c>
      <c r="G1342">
        <v>376</v>
      </c>
      <c r="H1342">
        <v>140.19999999999999</v>
      </c>
      <c r="I1342">
        <v>4.62</v>
      </c>
      <c r="J1342">
        <v>183</v>
      </c>
      <c r="K1342">
        <v>1000</v>
      </c>
      <c r="L1342">
        <v>924</v>
      </c>
      <c r="M1342" t="s">
        <v>39</v>
      </c>
      <c r="N1342">
        <v>5</v>
      </c>
      <c r="O1342" t="s">
        <v>46</v>
      </c>
      <c r="P1342">
        <v>74.5</v>
      </c>
      <c r="Q1342">
        <v>1500</v>
      </c>
      <c r="R1342">
        <v>4</v>
      </c>
      <c r="S1342">
        <v>0</v>
      </c>
      <c r="T1342" t="s">
        <v>73</v>
      </c>
      <c r="U1342" t="s">
        <v>33</v>
      </c>
      <c r="V1342">
        <v>128300</v>
      </c>
      <c r="W1342">
        <v>4</v>
      </c>
      <c r="X1342">
        <v>5</v>
      </c>
      <c r="Y1342" t="s">
        <v>43</v>
      </c>
      <c r="Z1342">
        <v>3.57</v>
      </c>
      <c r="AA1342" t="s">
        <v>35</v>
      </c>
    </row>
    <row r="1343" spans="1:27" x14ac:dyDescent="0.3">
      <c r="A1343" t="s">
        <v>76</v>
      </c>
      <c r="B1343" t="s">
        <v>87</v>
      </c>
      <c r="C1343">
        <v>2025</v>
      </c>
      <c r="D1343" t="s">
        <v>50</v>
      </c>
      <c r="E1343">
        <v>80040.399999999994</v>
      </c>
      <c r="F1343">
        <v>81.099999999999994</v>
      </c>
      <c r="G1343">
        <v>284</v>
      </c>
      <c r="H1343">
        <v>105.4</v>
      </c>
      <c r="I1343">
        <v>4.38</v>
      </c>
      <c r="J1343">
        <v>181</v>
      </c>
      <c r="K1343">
        <v>1000</v>
      </c>
      <c r="L1343">
        <v>895</v>
      </c>
      <c r="M1343" t="s">
        <v>30</v>
      </c>
      <c r="N1343">
        <v>5</v>
      </c>
      <c r="O1343" t="s">
        <v>31</v>
      </c>
      <c r="P1343">
        <v>59.1</v>
      </c>
      <c r="Q1343">
        <v>2281</v>
      </c>
      <c r="R1343">
        <v>5</v>
      </c>
      <c r="S1343">
        <v>0</v>
      </c>
      <c r="T1343" t="s">
        <v>51</v>
      </c>
      <c r="U1343" t="s">
        <v>38</v>
      </c>
      <c r="V1343">
        <v>146157</v>
      </c>
      <c r="W1343">
        <v>3.7</v>
      </c>
      <c r="X1343">
        <v>4</v>
      </c>
      <c r="Y1343" t="s">
        <v>43</v>
      </c>
      <c r="Z1343">
        <v>3.5</v>
      </c>
      <c r="AA1343" t="s">
        <v>35</v>
      </c>
    </row>
    <row r="1344" spans="1:27" x14ac:dyDescent="0.3">
      <c r="A1344" t="s">
        <v>58</v>
      </c>
      <c r="B1344" t="s">
        <v>111</v>
      </c>
      <c r="C1344">
        <v>2026</v>
      </c>
      <c r="D1344" t="s">
        <v>29</v>
      </c>
      <c r="E1344">
        <v>104553.67</v>
      </c>
      <c r="F1344">
        <v>111.7</v>
      </c>
      <c r="G1344">
        <v>412</v>
      </c>
      <c r="H1344">
        <v>187.5</v>
      </c>
      <c r="I1344">
        <v>3.3</v>
      </c>
      <c r="J1344">
        <v>192</v>
      </c>
      <c r="K1344">
        <v>554</v>
      </c>
      <c r="L1344">
        <v>463</v>
      </c>
      <c r="M1344" t="s">
        <v>39</v>
      </c>
      <c r="N1344">
        <v>5</v>
      </c>
      <c r="O1344" t="s">
        <v>56</v>
      </c>
      <c r="P1344">
        <v>25.3</v>
      </c>
      <c r="Q1344">
        <v>1664</v>
      </c>
      <c r="R1344">
        <v>4</v>
      </c>
      <c r="S1344">
        <v>1</v>
      </c>
      <c r="T1344" t="s">
        <v>32</v>
      </c>
      <c r="U1344" t="s">
        <v>33</v>
      </c>
      <c r="V1344">
        <v>68955</v>
      </c>
      <c r="W1344">
        <v>4.4000000000000004</v>
      </c>
      <c r="X1344">
        <v>7</v>
      </c>
      <c r="Y1344" t="s">
        <v>34</v>
      </c>
      <c r="Z1344">
        <v>3.69</v>
      </c>
      <c r="AA1344" t="s">
        <v>35</v>
      </c>
    </row>
    <row r="1345" spans="1:27" x14ac:dyDescent="0.3">
      <c r="A1345" t="s">
        <v>44</v>
      </c>
      <c r="B1345" t="s">
        <v>110</v>
      </c>
      <c r="C1345">
        <v>2023</v>
      </c>
      <c r="D1345" t="s">
        <v>50</v>
      </c>
      <c r="E1345">
        <v>65559.399999999994</v>
      </c>
      <c r="F1345">
        <v>97.3</v>
      </c>
      <c r="G1345">
        <v>331</v>
      </c>
      <c r="H1345">
        <v>105</v>
      </c>
      <c r="I1345">
        <v>5.0199999999999996</v>
      </c>
      <c r="J1345">
        <v>177</v>
      </c>
      <c r="K1345">
        <v>844</v>
      </c>
      <c r="L1345">
        <v>702</v>
      </c>
      <c r="M1345" t="s">
        <v>39</v>
      </c>
      <c r="N1345">
        <v>5</v>
      </c>
      <c r="O1345" t="s">
        <v>40</v>
      </c>
      <c r="P1345">
        <v>45.3</v>
      </c>
      <c r="Q1345">
        <v>1966</v>
      </c>
      <c r="R1345">
        <v>4</v>
      </c>
      <c r="S1345">
        <v>1</v>
      </c>
      <c r="T1345" t="s">
        <v>47</v>
      </c>
      <c r="U1345" t="s">
        <v>38</v>
      </c>
      <c r="V1345">
        <v>6658</v>
      </c>
      <c r="W1345">
        <v>3.7</v>
      </c>
      <c r="X1345">
        <v>4</v>
      </c>
      <c r="Y1345" t="s">
        <v>43</v>
      </c>
      <c r="Z1345">
        <v>3.4</v>
      </c>
      <c r="AA1345" t="s">
        <v>43</v>
      </c>
    </row>
    <row r="1346" spans="1:27" x14ac:dyDescent="0.3">
      <c r="A1346" t="s">
        <v>44</v>
      </c>
      <c r="B1346" t="s">
        <v>110</v>
      </c>
      <c r="C1346">
        <v>2025</v>
      </c>
      <c r="D1346" t="s">
        <v>63</v>
      </c>
      <c r="E1346">
        <v>64750.83</v>
      </c>
      <c r="F1346">
        <v>60.4</v>
      </c>
      <c r="G1346">
        <v>230</v>
      </c>
      <c r="H1346">
        <v>72.2</v>
      </c>
      <c r="I1346">
        <v>7.58</v>
      </c>
      <c r="J1346">
        <v>137</v>
      </c>
      <c r="K1346">
        <v>899</v>
      </c>
      <c r="L1346">
        <v>829</v>
      </c>
      <c r="M1346" t="s">
        <v>30</v>
      </c>
      <c r="N1346">
        <v>7</v>
      </c>
      <c r="O1346" t="s">
        <v>40</v>
      </c>
      <c r="P1346">
        <v>45.9</v>
      </c>
      <c r="Q1346">
        <v>2008</v>
      </c>
      <c r="R1346">
        <v>4</v>
      </c>
      <c r="S1346">
        <v>2</v>
      </c>
      <c r="T1346" t="s">
        <v>47</v>
      </c>
      <c r="U1346" t="s">
        <v>42</v>
      </c>
      <c r="V1346">
        <v>23069</v>
      </c>
      <c r="W1346">
        <v>3.6</v>
      </c>
      <c r="X1346">
        <v>5</v>
      </c>
      <c r="Y1346" t="s">
        <v>61</v>
      </c>
      <c r="Z1346">
        <v>3.81</v>
      </c>
      <c r="AA1346" t="s">
        <v>35</v>
      </c>
    </row>
    <row r="1347" spans="1:27" x14ac:dyDescent="0.3">
      <c r="A1347" t="s">
        <v>27</v>
      </c>
      <c r="B1347" t="s">
        <v>93</v>
      </c>
      <c r="C1347">
        <v>2023</v>
      </c>
      <c r="D1347" t="s">
        <v>68</v>
      </c>
      <c r="E1347">
        <v>32332.16</v>
      </c>
      <c r="F1347">
        <v>53.1</v>
      </c>
      <c r="G1347">
        <v>184</v>
      </c>
      <c r="H1347">
        <v>146.1</v>
      </c>
      <c r="I1347">
        <v>5.64</v>
      </c>
      <c r="J1347">
        <v>170</v>
      </c>
      <c r="K1347">
        <v>169</v>
      </c>
      <c r="L1347">
        <v>200</v>
      </c>
      <c r="M1347" t="s">
        <v>54</v>
      </c>
      <c r="N1347">
        <v>5</v>
      </c>
      <c r="O1347" t="s">
        <v>56</v>
      </c>
      <c r="P1347">
        <v>22.5</v>
      </c>
      <c r="Q1347">
        <v>1596</v>
      </c>
      <c r="R1347">
        <v>5</v>
      </c>
      <c r="S1347">
        <v>1</v>
      </c>
      <c r="T1347" t="s">
        <v>32</v>
      </c>
      <c r="U1347" t="s">
        <v>74</v>
      </c>
      <c r="V1347">
        <v>283336</v>
      </c>
      <c r="W1347">
        <v>3.5</v>
      </c>
      <c r="X1347">
        <v>3</v>
      </c>
      <c r="Y1347" t="s">
        <v>43</v>
      </c>
      <c r="Z1347">
        <v>3.47</v>
      </c>
      <c r="AA1347" t="s">
        <v>35</v>
      </c>
    </row>
    <row r="1348" spans="1:27" x14ac:dyDescent="0.3">
      <c r="A1348" t="s">
        <v>71</v>
      </c>
      <c r="B1348" t="s">
        <v>115</v>
      </c>
      <c r="C1348">
        <v>2026</v>
      </c>
      <c r="D1348" t="s">
        <v>29</v>
      </c>
      <c r="E1348">
        <v>112008.03</v>
      </c>
      <c r="F1348">
        <v>112.5</v>
      </c>
      <c r="G1348">
        <v>389</v>
      </c>
      <c r="H1348">
        <v>190.5</v>
      </c>
      <c r="I1348">
        <v>3.29</v>
      </c>
      <c r="J1348">
        <v>200</v>
      </c>
      <c r="K1348">
        <v>1000</v>
      </c>
      <c r="L1348">
        <v>897</v>
      </c>
      <c r="M1348" t="s">
        <v>54</v>
      </c>
      <c r="N1348">
        <v>7</v>
      </c>
      <c r="O1348" t="s">
        <v>40</v>
      </c>
      <c r="P1348">
        <v>38.6</v>
      </c>
      <c r="Q1348">
        <v>2173</v>
      </c>
      <c r="R1348">
        <v>3</v>
      </c>
      <c r="S1348">
        <v>0</v>
      </c>
      <c r="T1348" t="s">
        <v>73</v>
      </c>
      <c r="U1348" t="s">
        <v>33</v>
      </c>
      <c r="V1348">
        <v>201649</v>
      </c>
      <c r="W1348">
        <v>3.6</v>
      </c>
      <c r="X1348">
        <v>5</v>
      </c>
      <c r="Y1348" t="s">
        <v>34</v>
      </c>
      <c r="Z1348">
        <v>3.46</v>
      </c>
      <c r="AA1348" t="s">
        <v>35</v>
      </c>
    </row>
    <row r="1349" spans="1:27" x14ac:dyDescent="0.3">
      <c r="A1349" t="s">
        <v>27</v>
      </c>
      <c r="B1349" t="s">
        <v>28</v>
      </c>
      <c r="C1349">
        <v>2023</v>
      </c>
      <c r="D1349" t="s">
        <v>29</v>
      </c>
      <c r="E1349">
        <v>114648.63</v>
      </c>
      <c r="F1349">
        <v>104.8</v>
      </c>
      <c r="G1349">
        <v>352</v>
      </c>
      <c r="H1349">
        <v>221.6</v>
      </c>
      <c r="I1349">
        <v>3.92</v>
      </c>
      <c r="J1349">
        <v>197</v>
      </c>
      <c r="K1349">
        <v>1000</v>
      </c>
      <c r="L1349">
        <v>934</v>
      </c>
      <c r="M1349" t="s">
        <v>54</v>
      </c>
      <c r="N1349">
        <v>7</v>
      </c>
      <c r="O1349" t="s">
        <v>40</v>
      </c>
      <c r="P1349">
        <v>35.700000000000003</v>
      </c>
      <c r="Q1349">
        <v>2254</v>
      </c>
      <c r="R1349">
        <v>4</v>
      </c>
      <c r="S1349">
        <v>1</v>
      </c>
      <c r="T1349" t="s">
        <v>32</v>
      </c>
      <c r="U1349" t="s">
        <v>33</v>
      </c>
      <c r="V1349">
        <v>297615</v>
      </c>
      <c r="W1349">
        <v>3.7</v>
      </c>
      <c r="X1349">
        <v>4</v>
      </c>
      <c r="Y1349" t="s">
        <v>34</v>
      </c>
      <c r="Z1349">
        <v>3.36</v>
      </c>
      <c r="AA1349" t="s">
        <v>35</v>
      </c>
    </row>
    <row r="1350" spans="1:27" x14ac:dyDescent="0.3">
      <c r="A1350" t="s">
        <v>107</v>
      </c>
      <c r="B1350" t="s">
        <v>121</v>
      </c>
      <c r="C1350">
        <v>2025</v>
      </c>
      <c r="D1350" t="s">
        <v>38</v>
      </c>
      <c r="E1350">
        <v>111303.96</v>
      </c>
      <c r="F1350">
        <v>67.099999999999994</v>
      </c>
      <c r="G1350">
        <v>242</v>
      </c>
      <c r="H1350">
        <v>317.89999999999998</v>
      </c>
      <c r="I1350">
        <v>7.4</v>
      </c>
      <c r="J1350">
        <v>145</v>
      </c>
      <c r="K1350">
        <v>387</v>
      </c>
      <c r="L1350">
        <v>369</v>
      </c>
      <c r="M1350" t="s">
        <v>54</v>
      </c>
      <c r="N1350">
        <v>7</v>
      </c>
      <c r="O1350" t="s">
        <v>46</v>
      </c>
      <c r="P1350">
        <v>79</v>
      </c>
      <c r="Q1350">
        <v>1500</v>
      </c>
      <c r="R1350">
        <v>5</v>
      </c>
      <c r="S1350">
        <v>1</v>
      </c>
      <c r="T1350" t="s">
        <v>32</v>
      </c>
      <c r="U1350" t="s">
        <v>33</v>
      </c>
      <c r="V1350">
        <v>5234</v>
      </c>
      <c r="W1350">
        <v>3.8</v>
      </c>
      <c r="X1350">
        <v>6</v>
      </c>
      <c r="Y1350" t="s">
        <v>61</v>
      </c>
      <c r="Z1350">
        <v>3.61</v>
      </c>
      <c r="AA1350" t="s">
        <v>43</v>
      </c>
    </row>
    <row r="1351" spans="1:27" x14ac:dyDescent="0.3">
      <c r="A1351" t="s">
        <v>52</v>
      </c>
      <c r="B1351" t="s">
        <v>55</v>
      </c>
      <c r="C1351">
        <v>2021</v>
      </c>
      <c r="D1351" t="s">
        <v>38</v>
      </c>
      <c r="E1351">
        <v>60365.37</v>
      </c>
      <c r="F1351">
        <v>70.3</v>
      </c>
      <c r="G1351">
        <v>225</v>
      </c>
      <c r="H1351">
        <v>248</v>
      </c>
      <c r="I1351">
        <v>5.77</v>
      </c>
      <c r="J1351">
        <v>155</v>
      </c>
      <c r="K1351">
        <v>390</v>
      </c>
      <c r="L1351">
        <v>337</v>
      </c>
      <c r="M1351" t="s">
        <v>30</v>
      </c>
      <c r="N1351">
        <v>7</v>
      </c>
      <c r="O1351" t="s">
        <v>65</v>
      </c>
      <c r="P1351">
        <v>17.399999999999999</v>
      </c>
      <c r="Q1351">
        <v>1624</v>
      </c>
      <c r="R1351">
        <v>5</v>
      </c>
      <c r="S1351">
        <v>2</v>
      </c>
      <c r="T1351" t="s">
        <v>47</v>
      </c>
      <c r="U1351" t="s">
        <v>42</v>
      </c>
      <c r="V1351">
        <v>438670</v>
      </c>
      <c r="W1351">
        <v>3.7</v>
      </c>
      <c r="X1351">
        <v>4</v>
      </c>
      <c r="Y1351" t="s">
        <v>43</v>
      </c>
      <c r="Z1351">
        <v>3.2</v>
      </c>
      <c r="AA1351" t="s">
        <v>35</v>
      </c>
    </row>
    <row r="1352" spans="1:27" x14ac:dyDescent="0.3">
      <c r="A1352" t="s">
        <v>58</v>
      </c>
      <c r="B1352" t="s">
        <v>134</v>
      </c>
      <c r="C1352">
        <v>2025</v>
      </c>
      <c r="D1352" t="s">
        <v>38</v>
      </c>
      <c r="E1352">
        <v>198768.13</v>
      </c>
      <c r="F1352">
        <v>55.6</v>
      </c>
      <c r="G1352">
        <v>194</v>
      </c>
      <c r="H1352">
        <v>83.6</v>
      </c>
      <c r="I1352">
        <v>5.28</v>
      </c>
      <c r="J1352">
        <v>170</v>
      </c>
      <c r="K1352">
        <v>1000</v>
      </c>
      <c r="L1352">
        <v>936</v>
      </c>
      <c r="M1352" t="s">
        <v>54</v>
      </c>
      <c r="N1352">
        <v>5</v>
      </c>
      <c r="O1352" t="s">
        <v>40</v>
      </c>
      <c r="P1352">
        <v>66.5</v>
      </c>
      <c r="Q1352">
        <v>2382</v>
      </c>
      <c r="R1352">
        <v>5</v>
      </c>
      <c r="S1352">
        <v>1</v>
      </c>
      <c r="T1352" t="s">
        <v>32</v>
      </c>
      <c r="U1352" t="s">
        <v>33</v>
      </c>
      <c r="V1352">
        <v>77200</v>
      </c>
      <c r="W1352">
        <v>3.7</v>
      </c>
      <c r="X1352">
        <v>6</v>
      </c>
      <c r="Y1352" t="s">
        <v>43</v>
      </c>
      <c r="Z1352">
        <v>3.49</v>
      </c>
      <c r="AA1352" t="s">
        <v>35</v>
      </c>
    </row>
    <row r="1353" spans="1:27" x14ac:dyDescent="0.3">
      <c r="A1353" t="s">
        <v>48</v>
      </c>
      <c r="B1353" t="s">
        <v>79</v>
      </c>
      <c r="C1353">
        <v>2024</v>
      </c>
      <c r="D1353" t="s">
        <v>68</v>
      </c>
      <c r="E1353">
        <v>32564.1</v>
      </c>
      <c r="F1353">
        <v>46.2</v>
      </c>
      <c r="G1353">
        <v>180</v>
      </c>
      <c r="H1353">
        <v>117.7</v>
      </c>
      <c r="I1353">
        <v>6.66</v>
      </c>
      <c r="J1353">
        <v>156</v>
      </c>
      <c r="K1353">
        <v>221</v>
      </c>
      <c r="L1353">
        <v>217</v>
      </c>
      <c r="M1353" t="s">
        <v>39</v>
      </c>
      <c r="N1353">
        <v>5</v>
      </c>
      <c r="O1353" t="s">
        <v>56</v>
      </c>
      <c r="P1353">
        <v>20.8</v>
      </c>
      <c r="Q1353">
        <v>1510</v>
      </c>
      <c r="R1353">
        <v>4</v>
      </c>
      <c r="S1353">
        <v>0</v>
      </c>
      <c r="T1353" t="s">
        <v>51</v>
      </c>
      <c r="U1353" t="s">
        <v>74</v>
      </c>
      <c r="V1353">
        <v>123543</v>
      </c>
      <c r="W1353">
        <v>3</v>
      </c>
      <c r="X1353">
        <v>3</v>
      </c>
      <c r="Y1353" t="s">
        <v>43</v>
      </c>
      <c r="Z1353">
        <v>3.9</v>
      </c>
      <c r="AA1353" t="s">
        <v>35</v>
      </c>
    </row>
    <row r="1354" spans="1:27" x14ac:dyDescent="0.3">
      <c r="A1354" t="s">
        <v>27</v>
      </c>
      <c r="B1354" t="s">
        <v>28</v>
      </c>
      <c r="C1354">
        <v>2025</v>
      </c>
      <c r="D1354" t="s">
        <v>38</v>
      </c>
      <c r="E1354">
        <v>116578.08</v>
      </c>
      <c r="F1354">
        <v>55.4</v>
      </c>
      <c r="G1354">
        <v>182</v>
      </c>
      <c r="H1354">
        <v>112.5</v>
      </c>
      <c r="I1354">
        <v>7.11</v>
      </c>
      <c r="J1354">
        <v>147</v>
      </c>
      <c r="K1354">
        <v>1000</v>
      </c>
      <c r="L1354">
        <v>920</v>
      </c>
      <c r="M1354" t="s">
        <v>54</v>
      </c>
      <c r="N1354">
        <v>5</v>
      </c>
      <c r="O1354" t="s">
        <v>46</v>
      </c>
      <c r="P1354">
        <v>61.6</v>
      </c>
      <c r="Q1354">
        <v>1580</v>
      </c>
      <c r="R1354">
        <v>3</v>
      </c>
      <c r="S1354">
        <v>2</v>
      </c>
      <c r="T1354" t="s">
        <v>32</v>
      </c>
      <c r="U1354" t="s">
        <v>33</v>
      </c>
      <c r="V1354">
        <v>202014</v>
      </c>
      <c r="W1354">
        <v>3.2</v>
      </c>
      <c r="X1354">
        <v>3</v>
      </c>
      <c r="Y1354" t="s">
        <v>61</v>
      </c>
      <c r="Z1354">
        <v>3.29</v>
      </c>
      <c r="AA1354" t="s">
        <v>35</v>
      </c>
    </row>
    <row r="1355" spans="1:27" x14ac:dyDescent="0.3">
      <c r="A1355" t="s">
        <v>44</v>
      </c>
      <c r="B1355" t="s">
        <v>45</v>
      </c>
      <c r="C1355">
        <v>2022</v>
      </c>
      <c r="D1355" t="s">
        <v>63</v>
      </c>
      <c r="E1355">
        <v>44453.56</v>
      </c>
      <c r="F1355">
        <v>69.7</v>
      </c>
      <c r="G1355">
        <v>242</v>
      </c>
      <c r="H1355">
        <v>54.4</v>
      </c>
      <c r="I1355">
        <v>7.29</v>
      </c>
      <c r="J1355">
        <v>145</v>
      </c>
      <c r="K1355">
        <v>498</v>
      </c>
      <c r="L1355">
        <v>426</v>
      </c>
      <c r="M1355" t="s">
        <v>39</v>
      </c>
      <c r="N1355">
        <v>5</v>
      </c>
      <c r="O1355" t="s">
        <v>46</v>
      </c>
      <c r="P1355">
        <v>78</v>
      </c>
      <c r="Q1355">
        <v>1500</v>
      </c>
      <c r="R1355">
        <v>5</v>
      </c>
      <c r="S1355">
        <v>1</v>
      </c>
      <c r="T1355" t="s">
        <v>47</v>
      </c>
      <c r="U1355" t="s">
        <v>42</v>
      </c>
      <c r="V1355">
        <v>19383</v>
      </c>
      <c r="W1355">
        <v>3.4</v>
      </c>
      <c r="X1355">
        <v>4</v>
      </c>
      <c r="Y1355" t="s">
        <v>61</v>
      </c>
      <c r="Z1355">
        <v>3.47</v>
      </c>
      <c r="AA1355" t="s">
        <v>43</v>
      </c>
    </row>
    <row r="1356" spans="1:27" x14ac:dyDescent="0.3">
      <c r="A1356" t="s">
        <v>76</v>
      </c>
      <c r="B1356" t="s">
        <v>98</v>
      </c>
      <c r="C1356">
        <v>2021</v>
      </c>
      <c r="D1356" t="s">
        <v>68</v>
      </c>
      <c r="E1356">
        <v>33847.360000000001</v>
      </c>
      <c r="F1356">
        <v>58.9</v>
      </c>
      <c r="G1356">
        <v>209</v>
      </c>
      <c r="H1356">
        <v>107.8</v>
      </c>
      <c r="I1356">
        <v>6.1</v>
      </c>
      <c r="J1356">
        <v>158</v>
      </c>
      <c r="K1356">
        <v>254</v>
      </c>
      <c r="L1356">
        <v>208</v>
      </c>
      <c r="M1356" t="s">
        <v>30</v>
      </c>
      <c r="N1356">
        <v>7</v>
      </c>
      <c r="O1356" t="s">
        <v>65</v>
      </c>
      <c r="P1356">
        <v>37</v>
      </c>
      <c r="Q1356">
        <v>1766</v>
      </c>
      <c r="R1356">
        <v>3</v>
      </c>
      <c r="S1356">
        <v>0</v>
      </c>
      <c r="T1356" t="s">
        <v>51</v>
      </c>
      <c r="U1356" t="s">
        <v>74</v>
      </c>
      <c r="V1356">
        <v>145242</v>
      </c>
      <c r="W1356">
        <v>3.3</v>
      </c>
      <c r="X1356">
        <v>3</v>
      </c>
      <c r="Y1356" t="s">
        <v>43</v>
      </c>
      <c r="Z1356">
        <v>3.55</v>
      </c>
      <c r="AA1356" t="s">
        <v>35</v>
      </c>
    </row>
    <row r="1357" spans="1:27" x14ac:dyDescent="0.3">
      <c r="A1357" t="s">
        <v>94</v>
      </c>
      <c r="B1357" t="s">
        <v>113</v>
      </c>
      <c r="C1357">
        <v>2024</v>
      </c>
      <c r="D1357" t="s">
        <v>63</v>
      </c>
      <c r="E1357">
        <v>51267.23</v>
      </c>
      <c r="F1357">
        <v>71.400000000000006</v>
      </c>
      <c r="G1357">
        <v>241</v>
      </c>
      <c r="H1357">
        <v>63.6</v>
      </c>
      <c r="I1357">
        <v>6</v>
      </c>
      <c r="J1357">
        <v>155</v>
      </c>
      <c r="K1357">
        <v>194</v>
      </c>
      <c r="L1357">
        <v>200</v>
      </c>
      <c r="M1357" t="s">
        <v>54</v>
      </c>
      <c r="N1357">
        <v>7</v>
      </c>
      <c r="O1357" t="s">
        <v>65</v>
      </c>
      <c r="P1357">
        <v>32.4</v>
      </c>
      <c r="Q1357">
        <v>1704</v>
      </c>
      <c r="R1357">
        <v>4</v>
      </c>
      <c r="S1357">
        <v>1</v>
      </c>
      <c r="T1357" t="s">
        <v>32</v>
      </c>
      <c r="U1357" t="s">
        <v>42</v>
      </c>
      <c r="V1357">
        <v>64472</v>
      </c>
      <c r="W1357">
        <v>3.5</v>
      </c>
      <c r="X1357">
        <v>6</v>
      </c>
      <c r="Y1357" t="s">
        <v>43</v>
      </c>
      <c r="Z1357">
        <v>3.38</v>
      </c>
      <c r="AA1357" t="s">
        <v>35</v>
      </c>
    </row>
    <row r="1358" spans="1:27" x14ac:dyDescent="0.3">
      <c r="A1358" t="s">
        <v>94</v>
      </c>
      <c r="B1358" t="s">
        <v>116</v>
      </c>
      <c r="C1358">
        <v>2025</v>
      </c>
      <c r="D1358" t="s">
        <v>68</v>
      </c>
      <c r="E1358">
        <v>77807.960000000006</v>
      </c>
      <c r="F1358">
        <v>46.7</v>
      </c>
      <c r="G1358">
        <v>186</v>
      </c>
      <c r="H1358">
        <v>100.6</v>
      </c>
      <c r="I1358">
        <v>7.48</v>
      </c>
      <c r="J1358">
        <v>131</v>
      </c>
      <c r="K1358">
        <v>428</v>
      </c>
      <c r="L1358">
        <v>409</v>
      </c>
      <c r="M1358" t="s">
        <v>39</v>
      </c>
      <c r="N1358">
        <v>5</v>
      </c>
      <c r="O1358" t="s">
        <v>46</v>
      </c>
      <c r="P1358">
        <v>70.099999999999994</v>
      </c>
      <c r="Q1358">
        <v>1701</v>
      </c>
      <c r="R1358">
        <v>5</v>
      </c>
      <c r="S1358">
        <v>2</v>
      </c>
      <c r="T1358" t="s">
        <v>32</v>
      </c>
      <c r="U1358" t="s">
        <v>38</v>
      </c>
      <c r="V1358">
        <v>67104</v>
      </c>
      <c r="W1358">
        <v>3.1</v>
      </c>
      <c r="X1358">
        <v>5</v>
      </c>
      <c r="Y1358" t="s">
        <v>61</v>
      </c>
      <c r="Z1358">
        <v>3.98</v>
      </c>
      <c r="AA1358" t="s">
        <v>35</v>
      </c>
    </row>
    <row r="1359" spans="1:27" x14ac:dyDescent="0.3">
      <c r="A1359" t="s">
        <v>27</v>
      </c>
      <c r="B1359" t="s">
        <v>78</v>
      </c>
      <c r="C1359">
        <v>2025</v>
      </c>
      <c r="D1359" t="s">
        <v>63</v>
      </c>
      <c r="E1359">
        <v>78903.539999999994</v>
      </c>
      <c r="F1359">
        <v>67.099999999999994</v>
      </c>
      <c r="G1359">
        <v>237</v>
      </c>
      <c r="H1359">
        <v>95</v>
      </c>
      <c r="I1359">
        <v>5.41</v>
      </c>
      <c r="J1359">
        <v>169</v>
      </c>
      <c r="K1359">
        <v>869</v>
      </c>
      <c r="L1359">
        <v>785</v>
      </c>
      <c r="M1359" t="s">
        <v>39</v>
      </c>
      <c r="N1359">
        <v>7</v>
      </c>
      <c r="O1359" t="s">
        <v>46</v>
      </c>
      <c r="P1359">
        <v>61.9</v>
      </c>
      <c r="Q1359">
        <v>1553</v>
      </c>
      <c r="R1359">
        <v>5</v>
      </c>
      <c r="S1359">
        <v>0</v>
      </c>
      <c r="T1359" t="s">
        <v>32</v>
      </c>
      <c r="U1359" t="s">
        <v>38</v>
      </c>
      <c r="V1359">
        <v>283626</v>
      </c>
      <c r="W1359">
        <v>3.4</v>
      </c>
      <c r="X1359">
        <v>4</v>
      </c>
      <c r="Y1359" t="s">
        <v>43</v>
      </c>
      <c r="Z1359">
        <v>3.53</v>
      </c>
      <c r="AA1359" t="s">
        <v>35</v>
      </c>
    </row>
    <row r="1360" spans="1:27" x14ac:dyDescent="0.3">
      <c r="A1360" t="s">
        <v>71</v>
      </c>
      <c r="B1360" t="s">
        <v>90</v>
      </c>
      <c r="C1360">
        <v>2024</v>
      </c>
      <c r="D1360" t="s">
        <v>50</v>
      </c>
      <c r="E1360">
        <v>75118.039999999994</v>
      </c>
      <c r="F1360">
        <v>88.3</v>
      </c>
      <c r="G1360">
        <v>325</v>
      </c>
      <c r="H1360">
        <v>84.8</v>
      </c>
      <c r="I1360">
        <v>4.1399999999999997</v>
      </c>
      <c r="J1360">
        <v>189</v>
      </c>
      <c r="K1360">
        <v>840</v>
      </c>
      <c r="L1360">
        <v>797</v>
      </c>
      <c r="M1360" t="s">
        <v>39</v>
      </c>
      <c r="N1360">
        <v>5</v>
      </c>
      <c r="O1360" t="s">
        <v>65</v>
      </c>
      <c r="P1360">
        <v>32.200000000000003</v>
      </c>
      <c r="Q1360">
        <v>1759</v>
      </c>
      <c r="R1360">
        <v>4</v>
      </c>
      <c r="S1360">
        <v>0</v>
      </c>
      <c r="T1360" t="s">
        <v>73</v>
      </c>
      <c r="U1360" t="s">
        <v>38</v>
      </c>
      <c r="V1360">
        <v>220772</v>
      </c>
      <c r="W1360">
        <v>3.7</v>
      </c>
      <c r="X1360">
        <v>3</v>
      </c>
      <c r="Y1360" t="s">
        <v>43</v>
      </c>
      <c r="Z1360">
        <v>3.68</v>
      </c>
      <c r="AA1360" t="s">
        <v>35</v>
      </c>
    </row>
    <row r="1361" spans="1:27" x14ac:dyDescent="0.3">
      <c r="A1361" t="s">
        <v>48</v>
      </c>
      <c r="B1361" t="s">
        <v>88</v>
      </c>
      <c r="C1361">
        <v>2023</v>
      </c>
      <c r="D1361" t="s">
        <v>29</v>
      </c>
      <c r="E1361">
        <v>76777.22</v>
      </c>
      <c r="F1361">
        <v>72.5</v>
      </c>
      <c r="G1361">
        <v>254</v>
      </c>
      <c r="H1361">
        <v>171.5</v>
      </c>
      <c r="I1361">
        <v>2.52</v>
      </c>
      <c r="J1361">
        <v>200</v>
      </c>
      <c r="K1361">
        <v>894</v>
      </c>
      <c r="L1361">
        <v>748</v>
      </c>
      <c r="M1361" t="s">
        <v>30</v>
      </c>
      <c r="N1361">
        <v>5</v>
      </c>
      <c r="O1361" t="s">
        <v>40</v>
      </c>
      <c r="P1361">
        <v>55.3</v>
      </c>
      <c r="Q1361">
        <v>2179</v>
      </c>
      <c r="R1361">
        <v>4</v>
      </c>
      <c r="S1361">
        <v>0</v>
      </c>
      <c r="T1361" t="s">
        <v>51</v>
      </c>
      <c r="U1361" t="s">
        <v>38</v>
      </c>
      <c r="V1361">
        <v>99948</v>
      </c>
      <c r="W1361">
        <v>3.7</v>
      </c>
      <c r="X1361">
        <v>5</v>
      </c>
      <c r="Y1361" t="s">
        <v>34</v>
      </c>
      <c r="Z1361">
        <v>3.5</v>
      </c>
      <c r="AA1361" t="s">
        <v>35</v>
      </c>
    </row>
    <row r="1362" spans="1:27" x14ac:dyDescent="0.3">
      <c r="A1362" t="s">
        <v>94</v>
      </c>
      <c r="B1362" t="s">
        <v>125</v>
      </c>
      <c r="C1362">
        <v>2025</v>
      </c>
      <c r="D1362" t="s">
        <v>68</v>
      </c>
      <c r="E1362">
        <v>119850.54</v>
      </c>
      <c r="F1362">
        <v>74.400000000000006</v>
      </c>
      <c r="G1362">
        <v>257</v>
      </c>
      <c r="H1362">
        <v>54.1</v>
      </c>
      <c r="I1362">
        <v>6.24</v>
      </c>
      <c r="J1362">
        <v>160</v>
      </c>
      <c r="K1362">
        <v>936</v>
      </c>
      <c r="L1362">
        <v>892</v>
      </c>
      <c r="M1362" t="s">
        <v>54</v>
      </c>
      <c r="N1362">
        <v>5</v>
      </c>
      <c r="O1362" t="s">
        <v>65</v>
      </c>
      <c r="P1362">
        <v>28.1</v>
      </c>
      <c r="Q1362">
        <v>1635</v>
      </c>
      <c r="R1362">
        <v>5</v>
      </c>
      <c r="S1362">
        <v>2</v>
      </c>
      <c r="T1362" t="s">
        <v>32</v>
      </c>
      <c r="U1362" t="s">
        <v>33</v>
      </c>
      <c r="V1362">
        <v>48973</v>
      </c>
      <c r="W1362">
        <v>3.7</v>
      </c>
      <c r="X1362">
        <v>6</v>
      </c>
      <c r="Y1362" t="s">
        <v>43</v>
      </c>
      <c r="Z1362">
        <v>3.45</v>
      </c>
      <c r="AA1362" t="s">
        <v>35</v>
      </c>
    </row>
    <row r="1363" spans="1:27" x14ac:dyDescent="0.3">
      <c r="A1363" t="s">
        <v>71</v>
      </c>
      <c r="B1363" t="s">
        <v>75</v>
      </c>
      <c r="C1363">
        <v>2025</v>
      </c>
      <c r="D1363" t="s">
        <v>38</v>
      </c>
      <c r="E1363">
        <v>45553.77</v>
      </c>
      <c r="F1363">
        <v>71.900000000000006</v>
      </c>
      <c r="G1363">
        <v>240</v>
      </c>
      <c r="H1363">
        <v>73.900000000000006</v>
      </c>
      <c r="I1363">
        <v>7.84</v>
      </c>
      <c r="J1363">
        <v>134</v>
      </c>
      <c r="K1363">
        <v>460</v>
      </c>
      <c r="L1363">
        <v>455</v>
      </c>
      <c r="M1363" t="s">
        <v>30</v>
      </c>
      <c r="N1363">
        <v>5</v>
      </c>
      <c r="O1363" t="s">
        <v>40</v>
      </c>
      <c r="P1363">
        <v>43.8</v>
      </c>
      <c r="Q1363">
        <v>2109</v>
      </c>
      <c r="R1363">
        <v>5</v>
      </c>
      <c r="S1363">
        <v>0</v>
      </c>
      <c r="T1363" t="s">
        <v>73</v>
      </c>
      <c r="U1363" t="s">
        <v>42</v>
      </c>
      <c r="V1363">
        <v>119429</v>
      </c>
      <c r="W1363">
        <v>3.2</v>
      </c>
      <c r="X1363">
        <v>5</v>
      </c>
      <c r="Y1363" t="s">
        <v>61</v>
      </c>
      <c r="Z1363">
        <v>3.34</v>
      </c>
      <c r="AA1363" t="s">
        <v>35</v>
      </c>
    </row>
    <row r="1364" spans="1:27" x14ac:dyDescent="0.3">
      <c r="A1364" t="s">
        <v>91</v>
      </c>
      <c r="B1364" t="s">
        <v>97</v>
      </c>
      <c r="C1364">
        <v>2023</v>
      </c>
      <c r="D1364" t="s">
        <v>29</v>
      </c>
      <c r="E1364">
        <v>111495.73</v>
      </c>
      <c r="F1364">
        <v>82.7</v>
      </c>
      <c r="G1364">
        <v>283</v>
      </c>
      <c r="H1364">
        <v>247</v>
      </c>
      <c r="I1364">
        <v>4.09</v>
      </c>
      <c r="J1364">
        <v>188</v>
      </c>
      <c r="K1364">
        <v>953</v>
      </c>
      <c r="L1364">
        <v>813</v>
      </c>
      <c r="M1364" t="s">
        <v>54</v>
      </c>
      <c r="N1364">
        <v>5</v>
      </c>
      <c r="O1364" t="s">
        <v>57</v>
      </c>
      <c r="P1364">
        <v>24.4</v>
      </c>
      <c r="Q1364">
        <v>1636</v>
      </c>
      <c r="R1364">
        <v>4</v>
      </c>
      <c r="S1364">
        <v>1</v>
      </c>
      <c r="T1364" t="s">
        <v>32</v>
      </c>
      <c r="U1364" t="s">
        <v>33</v>
      </c>
      <c r="V1364">
        <v>41408</v>
      </c>
      <c r="W1364">
        <v>3.7</v>
      </c>
      <c r="X1364">
        <v>6</v>
      </c>
      <c r="Y1364" t="s">
        <v>43</v>
      </c>
      <c r="Z1364">
        <v>3.42</v>
      </c>
      <c r="AA1364" t="s">
        <v>35</v>
      </c>
    </row>
    <row r="1365" spans="1:27" x14ac:dyDescent="0.3">
      <c r="A1365" t="s">
        <v>91</v>
      </c>
      <c r="B1365" t="s">
        <v>112</v>
      </c>
      <c r="C1365">
        <v>2024</v>
      </c>
      <c r="D1365" t="s">
        <v>29</v>
      </c>
      <c r="E1365">
        <v>134617.67000000001</v>
      </c>
      <c r="F1365">
        <v>90.5</v>
      </c>
      <c r="G1365">
        <v>308</v>
      </c>
      <c r="H1365">
        <v>215.3</v>
      </c>
      <c r="I1365">
        <v>4.1500000000000004</v>
      </c>
      <c r="J1365">
        <v>190</v>
      </c>
      <c r="K1365">
        <v>1000</v>
      </c>
      <c r="L1365">
        <v>928</v>
      </c>
      <c r="M1365" t="s">
        <v>30</v>
      </c>
      <c r="N1365">
        <v>5</v>
      </c>
      <c r="O1365" t="s">
        <v>57</v>
      </c>
      <c r="P1365">
        <v>32.5</v>
      </c>
      <c r="Q1365">
        <v>1939</v>
      </c>
      <c r="R1365">
        <v>5</v>
      </c>
      <c r="S1365">
        <v>2</v>
      </c>
      <c r="T1365" t="s">
        <v>32</v>
      </c>
      <c r="U1365" t="s">
        <v>33</v>
      </c>
      <c r="V1365">
        <v>68965</v>
      </c>
      <c r="W1365">
        <v>3.8</v>
      </c>
      <c r="X1365">
        <v>7</v>
      </c>
      <c r="Y1365" t="s">
        <v>43</v>
      </c>
      <c r="Z1365">
        <v>3.4</v>
      </c>
      <c r="AA1365" t="s">
        <v>35</v>
      </c>
    </row>
    <row r="1366" spans="1:27" x14ac:dyDescent="0.3">
      <c r="A1366" t="s">
        <v>44</v>
      </c>
      <c r="B1366" t="s">
        <v>45</v>
      </c>
      <c r="C1366">
        <v>2024</v>
      </c>
      <c r="D1366" t="s">
        <v>50</v>
      </c>
      <c r="E1366">
        <v>55216.4</v>
      </c>
      <c r="F1366">
        <v>81.900000000000006</v>
      </c>
      <c r="G1366">
        <v>299</v>
      </c>
      <c r="H1366">
        <v>82.8</v>
      </c>
      <c r="I1366">
        <v>5.75</v>
      </c>
      <c r="J1366">
        <v>153</v>
      </c>
      <c r="K1366">
        <v>668</v>
      </c>
      <c r="L1366">
        <v>609</v>
      </c>
      <c r="M1366" t="s">
        <v>54</v>
      </c>
      <c r="N1366">
        <v>5</v>
      </c>
      <c r="O1366" t="s">
        <v>57</v>
      </c>
      <c r="P1366">
        <v>28.5</v>
      </c>
      <c r="Q1366">
        <v>1500</v>
      </c>
      <c r="R1366">
        <v>5</v>
      </c>
      <c r="S1366">
        <v>1</v>
      </c>
      <c r="T1366" t="s">
        <v>47</v>
      </c>
      <c r="U1366" t="s">
        <v>42</v>
      </c>
      <c r="V1366">
        <v>805</v>
      </c>
      <c r="W1366">
        <v>3.8</v>
      </c>
      <c r="X1366">
        <v>3</v>
      </c>
      <c r="Y1366" t="s">
        <v>43</v>
      </c>
      <c r="Z1366">
        <v>3.65</v>
      </c>
      <c r="AA1366" t="s">
        <v>69</v>
      </c>
    </row>
    <row r="1367" spans="1:27" x14ac:dyDescent="0.3">
      <c r="A1367" t="s">
        <v>52</v>
      </c>
      <c r="B1367" t="s">
        <v>64</v>
      </c>
      <c r="C1367">
        <v>2023</v>
      </c>
      <c r="D1367" t="s">
        <v>38</v>
      </c>
      <c r="E1367">
        <v>163320.60999999999</v>
      </c>
      <c r="F1367">
        <v>72.8</v>
      </c>
      <c r="G1367">
        <v>240</v>
      </c>
      <c r="H1367">
        <v>346.7</v>
      </c>
      <c r="I1367">
        <v>6.75</v>
      </c>
      <c r="J1367">
        <v>147</v>
      </c>
      <c r="K1367">
        <v>1000</v>
      </c>
      <c r="L1367">
        <v>870</v>
      </c>
      <c r="M1367" t="s">
        <v>30</v>
      </c>
      <c r="N1367">
        <v>7</v>
      </c>
      <c r="O1367" t="s">
        <v>56</v>
      </c>
      <c r="P1367">
        <v>38.9</v>
      </c>
      <c r="Q1367">
        <v>1689</v>
      </c>
      <c r="R1367">
        <v>4</v>
      </c>
      <c r="S1367">
        <v>2</v>
      </c>
      <c r="T1367" t="s">
        <v>47</v>
      </c>
      <c r="U1367" t="s">
        <v>33</v>
      </c>
      <c r="V1367">
        <v>220716</v>
      </c>
      <c r="W1367">
        <v>3.7</v>
      </c>
      <c r="X1367">
        <v>5</v>
      </c>
      <c r="Y1367" t="s">
        <v>43</v>
      </c>
      <c r="Z1367">
        <v>3.3</v>
      </c>
      <c r="AA1367" t="s">
        <v>35</v>
      </c>
    </row>
    <row r="1368" spans="1:27" x14ac:dyDescent="0.3">
      <c r="A1368" t="s">
        <v>44</v>
      </c>
      <c r="B1368" t="s">
        <v>109</v>
      </c>
      <c r="C1368">
        <v>2026</v>
      </c>
      <c r="D1368" t="s">
        <v>38</v>
      </c>
      <c r="E1368">
        <v>52994.74</v>
      </c>
      <c r="F1368">
        <v>63.4</v>
      </c>
      <c r="G1368">
        <v>206</v>
      </c>
      <c r="H1368">
        <v>127.9</v>
      </c>
      <c r="I1368">
        <v>7.67</v>
      </c>
      <c r="J1368">
        <v>130</v>
      </c>
      <c r="K1368">
        <v>679</v>
      </c>
      <c r="L1368">
        <v>612</v>
      </c>
      <c r="M1368" t="s">
        <v>30</v>
      </c>
      <c r="N1368">
        <v>5</v>
      </c>
      <c r="O1368" t="s">
        <v>31</v>
      </c>
      <c r="P1368">
        <v>64.7</v>
      </c>
      <c r="Q1368">
        <v>2568</v>
      </c>
      <c r="R1368">
        <v>5</v>
      </c>
      <c r="S1368">
        <v>1</v>
      </c>
      <c r="T1368" t="s">
        <v>47</v>
      </c>
      <c r="U1368" t="s">
        <v>42</v>
      </c>
      <c r="V1368">
        <v>5490</v>
      </c>
      <c r="W1368">
        <v>3.3</v>
      </c>
      <c r="X1368">
        <v>3</v>
      </c>
      <c r="Y1368" t="s">
        <v>61</v>
      </c>
      <c r="Z1368">
        <v>3.25</v>
      </c>
      <c r="AA1368" t="s">
        <v>43</v>
      </c>
    </row>
    <row r="1369" spans="1:27" x14ac:dyDescent="0.3">
      <c r="A1369" t="s">
        <v>94</v>
      </c>
      <c r="B1369" t="s">
        <v>116</v>
      </c>
      <c r="C1369">
        <v>2024</v>
      </c>
      <c r="D1369" t="s">
        <v>68</v>
      </c>
      <c r="E1369">
        <v>111572.71</v>
      </c>
      <c r="F1369">
        <v>71.599999999999994</v>
      </c>
      <c r="G1369">
        <v>265</v>
      </c>
      <c r="H1369">
        <v>61</v>
      </c>
      <c r="I1369">
        <v>7.14</v>
      </c>
      <c r="J1369">
        <v>144</v>
      </c>
      <c r="K1369">
        <v>835</v>
      </c>
      <c r="L1369">
        <v>749</v>
      </c>
      <c r="M1369" t="s">
        <v>39</v>
      </c>
      <c r="N1369">
        <v>5</v>
      </c>
      <c r="O1369" t="s">
        <v>56</v>
      </c>
      <c r="P1369">
        <v>26.3</v>
      </c>
      <c r="Q1369">
        <v>1707</v>
      </c>
      <c r="R1369">
        <v>5</v>
      </c>
      <c r="S1369">
        <v>1</v>
      </c>
      <c r="T1369" t="s">
        <v>32</v>
      </c>
      <c r="U1369" t="s">
        <v>33</v>
      </c>
      <c r="V1369">
        <v>58813</v>
      </c>
      <c r="W1369">
        <v>3.3</v>
      </c>
      <c r="X1369">
        <v>8</v>
      </c>
      <c r="Y1369" t="s">
        <v>61</v>
      </c>
      <c r="Z1369">
        <v>3.7</v>
      </c>
      <c r="AA1369" t="s">
        <v>35</v>
      </c>
    </row>
    <row r="1370" spans="1:27" x14ac:dyDescent="0.3">
      <c r="A1370" t="s">
        <v>52</v>
      </c>
      <c r="B1370" t="s">
        <v>86</v>
      </c>
      <c r="C1370">
        <v>2024</v>
      </c>
      <c r="D1370" t="s">
        <v>29</v>
      </c>
      <c r="E1370">
        <v>79743.44</v>
      </c>
      <c r="F1370">
        <v>90.1</v>
      </c>
      <c r="G1370">
        <v>322</v>
      </c>
      <c r="H1370">
        <v>230.5</v>
      </c>
      <c r="I1370">
        <v>4.29</v>
      </c>
      <c r="J1370">
        <v>182</v>
      </c>
      <c r="K1370">
        <v>533</v>
      </c>
      <c r="L1370">
        <v>444</v>
      </c>
      <c r="M1370" t="s">
        <v>54</v>
      </c>
      <c r="N1370">
        <v>5</v>
      </c>
      <c r="O1370" t="s">
        <v>40</v>
      </c>
      <c r="P1370">
        <v>40.6</v>
      </c>
      <c r="Q1370">
        <v>2108</v>
      </c>
      <c r="R1370">
        <v>5</v>
      </c>
      <c r="S1370">
        <v>3</v>
      </c>
      <c r="T1370" t="s">
        <v>47</v>
      </c>
      <c r="U1370" t="s">
        <v>38</v>
      </c>
      <c r="V1370">
        <v>136484</v>
      </c>
      <c r="W1370">
        <v>3.8</v>
      </c>
      <c r="X1370">
        <v>6</v>
      </c>
      <c r="Y1370" t="s">
        <v>43</v>
      </c>
      <c r="Z1370">
        <v>3.57</v>
      </c>
      <c r="AA1370" t="s">
        <v>35</v>
      </c>
    </row>
    <row r="1371" spans="1:27" x14ac:dyDescent="0.3">
      <c r="A1371" t="s">
        <v>71</v>
      </c>
      <c r="B1371" t="s">
        <v>75</v>
      </c>
      <c r="C1371">
        <v>2025</v>
      </c>
      <c r="D1371" t="s">
        <v>38</v>
      </c>
      <c r="E1371">
        <v>26326.68</v>
      </c>
      <c r="F1371">
        <v>42.7</v>
      </c>
      <c r="G1371">
        <v>150</v>
      </c>
      <c r="H1371">
        <v>61.8</v>
      </c>
      <c r="I1371">
        <v>6.28</v>
      </c>
      <c r="J1371">
        <v>152</v>
      </c>
      <c r="K1371">
        <v>265</v>
      </c>
      <c r="L1371">
        <v>221</v>
      </c>
      <c r="M1371" t="s">
        <v>54</v>
      </c>
      <c r="N1371">
        <v>5</v>
      </c>
      <c r="O1371" t="s">
        <v>46</v>
      </c>
      <c r="P1371">
        <v>75.900000000000006</v>
      </c>
      <c r="Q1371">
        <v>1505</v>
      </c>
      <c r="R1371">
        <v>4</v>
      </c>
      <c r="S1371">
        <v>0</v>
      </c>
      <c r="T1371" t="s">
        <v>73</v>
      </c>
      <c r="U1371" t="s">
        <v>74</v>
      </c>
      <c r="V1371">
        <v>129109</v>
      </c>
      <c r="W1371">
        <v>3.1</v>
      </c>
      <c r="X1371">
        <v>4</v>
      </c>
      <c r="Y1371" t="s">
        <v>43</v>
      </c>
      <c r="Z1371">
        <v>3.51</v>
      </c>
      <c r="AA1371" t="s">
        <v>35</v>
      </c>
    </row>
    <row r="1372" spans="1:27" x14ac:dyDescent="0.3">
      <c r="A1372" t="s">
        <v>66</v>
      </c>
      <c r="B1372" t="s">
        <v>119</v>
      </c>
      <c r="C1372">
        <v>2026</v>
      </c>
      <c r="D1372" t="s">
        <v>68</v>
      </c>
      <c r="E1372">
        <v>67825.009999999995</v>
      </c>
      <c r="F1372">
        <v>82.9</v>
      </c>
      <c r="G1372">
        <v>297</v>
      </c>
      <c r="H1372">
        <v>69.2</v>
      </c>
      <c r="I1372">
        <v>5.74</v>
      </c>
      <c r="J1372">
        <v>160</v>
      </c>
      <c r="K1372">
        <v>483</v>
      </c>
      <c r="L1372">
        <v>473</v>
      </c>
      <c r="M1372" t="s">
        <v>30</v>
      </c>
      <c r="N1372">
        <v>5</v>
      </c>
      <c r="O1372" t="s">
        <v>65</v>
      </c>
      <c r="P1372">
        <v>16</v>
      </c>
      <c r="Q1372">
        <v>1500</v>
      </c>
      <c r="R1372">
        <v>5</v>
      </c>
      <c r="S1372">
        <v>0</v>
      </c>
      <c r="T1372" t="s">
        <v>47</v>
      </c>
      <c r="U1372" t="s">
        <v>38</v>
      </c>
      <c r="V1372">
        <v>26063</v>
      </c>
      <c r="W1372">
        <v>3.6</v>
      </c>
      <c r="X1372">
        <v>4</v>
      </c>
      <c r="Y1372" t="s">
        <v>43</v>
      </c>
      <c r="Z1372">
        <v>3.58</v>
      </c>
      <c r="AA1372" t="s">
        <v>35</v>
      </c>
    </row>
    <row r="1373" spans="1:27" x14ac:dyDescent="0.3">
      <c r="A1373" t="s">
        <v>52</v>
      </c>
      <c r="B1373" t="s">
        <v>86</v>
      </c>
      <c r="C1373">
        <v>2022</v>
      </c>
      <c r="D1373" t="s">
        <v>38</v>
      </c>
      <c r="E1373">
        <v>78153.08</v>
      </c>
      <c r="F1373">
        <v>79.8</v>
      </c>
      <c r="G1373">
        <v>277</v>
      </c>
      <c r="H1373">
        <v>278.10000000000002</v>
      </c>
      <c r="I1373">
        <v>7.96</v>
      </c>
      <c r="J1373">
        <v>130</v>
      </c>
      <c r="K1373">
        <v>554</v>
      </c>
      <c r="L1373">
        <v>483</v>
      </c>
      <c r="M1373" t="s">
        <v>30</v>
      </c>
      <c r="N1373">
        <v>5</v>
      </c>
      <c r="O1373" t="s">
        <v>56</v>
      </c>
      <c r="P1373">
        <v>37.4</v>
      </c>
      <c r="Q1373">
        <v>1500</v>
      </c>
      <c r="R1373">
        <v>4</v>
      </c>
      <c r="S1373">
        <v>2</v>
      </c>
      <c r="T1373" t="s">
        <v>47</v>
      </c>
      <c r="U1373" t="s">
        <v>38</v>
      </c>
      <c r="V1373">
        <v>114033</v>
      </c>
      <c r="W1373">
        <v>3.6</v>
      </c>
      <c r="X1373">
        <v>4</v>
      </c>
      <c r="Y1373" t="s">
        <v>61</v>
      </c>
      <c r="Z1373">
        <v>3.47</v>
      </c>
      <c r="AA1373" t="s">
        <v>35</v>
      </c>
    </row>
    <row r="1374" spans="1:27" x14ac:dyDescent="0.3">
      <c r="A1374" t="s">
        <v>58</v>
      </c>
      <c r="B1374" t="s">
        <v>111</v>
      </c>
      <c r="C1374">
        <v>2022</v>
      </c>
      <c r="D1374" t="s">
        <v>38</v>
      </c>
      <c r="E1374">
        <v>93751.44</v>
      </c>
      <c r="F1374">
        <v>73.400000000000006</v>
      </c>
      <c r="G1374">
        <v>267</v>
      </c>
      <c r="H1374">
        <v>92.8</v>
      </c>
      <c r="I1374">
        <v>5.52</v>
      </c>
      <c r="J1374">
        <v>166</v>
      </c>
      <c r="K1374">
        <v>505</v>
      </c>
      <c r="L1374">
        <v>508</v>
      </c>
      <c r="M1374" t="s">
        <v>30</v>
      </c>
      <c r="N1374">
        <v>7</v>
      </c>
      <c r="O1374" t="s">
        <v>46</v>
      </c>
      <c r="P1374">
        <v>62.1</v>
      </c>
      <c r="Q1374">
        <v>1800</v>
      </c>
      <c r="R1374">
        <v>5</v>
      </c>
      <c r="S1374">
        <v>1</v>
      </c>
      <c r="T1374" t="s">
        <v>32</v>
      </c>
      <c r="U1374" t="s">
        <v>38</v>
      </c>
      <c r="V1374">
        <v>32471</v>
      </c>
      <c r="W1374">
        <v>3.8</v>
      </c>
      <c r="X1374">
        <v>8</v>
      </c>
      <c r="Y1374" t="s">
        <v>43</v>
      </c>
      <c r="Z1374">
        <v>3.64</v>
      </c>
      <c r="AA1374" t="s">
        <v>35</v>
      </c>
    </row>
    <row r="1375" spans="1:27" x14ac:dyDescent="0.3">
      <c r="A1375" t="s">
        <v>76</v>
      </c>
      <c r="B1375" t="s">
        <v>77</v>
      </c>
      <c r="C1375">
        <v>2026</v>
      </c>
      <c r="D1375" t="s">
        <v>68</v>
      </c>
      <c r="E1375">
        <v>68247.960000000006</v>
      </c>
      <c r="F1375">
        <v>73.099999999999994</v>
      </c>
      <c r="G1375">
        <v>240</v>
      </c>
      <c r="H1375">
        <v>121.2</v>
      </c>
      <c r="I1375">
        <v>6.35</v>
      </c>
      <c r="J1375">
        <v>151</v>
      </c>
      <c r="K1375">
        <v>876</v>
      </c>
      <c r="L1375">
        <v>791</v>
      </c>
      <c r="M1375" t="s">
        <v>39</v>
      </c>
      <c r="N1375">
        <v>5</v>
      </c>
      <c r="O1375" t="s">
        <v>56</v>
      </c>
      <c r="P1375">
        <v>25.8</v>
      </c>
      <c r="Q1375">
        <v>1607</v>
      </c>
      <c r="R1375">
        <v>5</v>
      </c>
      <c r="S1375">
        <v>1</v>
      </c>
      <c r="T1375" t="s">
        <v>51</v>
      </c>
      <c r="U1375" t="s">
        <v>38</v>
      </c>
      <c r="V1375">
        <v>75804</v>
      </c>
      <c r="W1375">
        <v>3.3</v>
      </c>
      <c r="X1375">
        <v>3</v>
      </c>
      <c r="Y1375" t="s">
        <v>43</v>
      </c>
      <c r="Z1375">
        <v>3.28</v>
      </c>
      <c r="AA1375" t="s">
        <v>35</v>
      </c>
    </row>
    <row r="1376" spans="1:27" x14ac:dyDescent="0.3">
      <c r="A1376" t="s">
        <v>71</v>
      </c>
      <c r="B1376" t="s">
        <v>115</v>
      </c>
      <c r="C1376">
        <v>2023</v>
      </c>
      <c r="D1376" t="s">
        <v>29</v>
      </c>
      <c r="E1376">
        <v>89614.35</v>
      </c>
      <c r="F1376">
        <v>100.7</v>
      </c>
      <c r="G1376">
        <v>334</v>
      </c>
      <c r="H1376">
        <v>174.7</v>
      </c>
      <c r="I1376">
        <v>4.07</v>
      </c>
      <c r="J1376">
        <v>192</v>
      </c>
      <c r="K1376">
        <v>1000</v>
      </c>
      <c r="L1376">
        <v>911</v>
      </c>
      <c r="M1376" t="s">
        <v>30</v>
      </c>
      <c r="N1376">
        <v>5</v>
      </c>
      <c r="O1376" t="s">
        <v>56</v>
      </c>
      <c r="P1376">
        <v>19.7</v>
      </c>
      <c r="Q1376">
        <v>1555</v>
      </c>
      <c r="R1376">
        <v>5</v>
      </c>
      <c r="S1376">
        <v>0</v>
      </c>
      <c r="T1376" t="s">
        <v>73</v>
      </c>
      <c r="U1376" t="s">
        <v>38</v>
      </c>
      <c r="V1376">
        <v>198687</v>
      </c>
      <c r="W1376">
        <v>4</v>
      </c>
      <c r="X1376">
        <v>3</v>
      </c>
      <c r="Y1376" t="s">
        <v>43</v>
      </c>
      <c r="Z1376">
        <v>3.32</v>
      </c>
      <c r="AA1376" t="s">
        <v>35</v>
      </c>
    </row>
    <row r="1377" spans="1:27" x14ac:dyDescent="0.3">
      <c r="A1377" t="s">
        <v>58</v>
      </c>
      <c r="B1377" t="s">
        <v>105</v>
      </c>
      <c r="C1377">
        <v>2026</v>
      </c>
      <c r="D1377" t="s">
        <v>29</v>
      </c>
      <c r="E1377">
        <v>185592.86</v>
      </c>
      <c r="F1377">
        <v>107.8</v>
      </c>
      <c r="G1377">
        <v>359</v>
      </c>
      <c r="H1377">
        <v>201.1</v>
      </c>
      <c r="I1377">
        <v>4.37</v>
      </c>
      <c r="J1377">
        <v>192</v>
      </c>
      <c r="K1377">
        <v>1000</v>
      </c>
      <c r="L1377">
        <v>953</v>
      </c>
      <c r="M1377" t="s">
        <v>39</v>
      </c>
      <c r="N1377">
        <v>7</v>
      </c>
      <c r="O1377" t="s">
        <v>57</v>
      </c>
      <c r="P1377">
        <v>26.6</v>
      </c>
      <c r="Q1377">
        <v>1500</v>
      </c>
      <c r="R1377">
        <v>4</v>
      </c>
      <c r="S1377">
        <v>1</v>
      </c>
      <c r="T1377" t="s">
        <v>32</v>
      </c>
      <c r="U1377" t="s">
        <v>33</v>
      </c>
      <c r="V1377">
        <v>51560</v>
      </c>
      <c r="W1377">
        <v>4</v>
      </c>
      <c r="X1377">
        <v>7</v>
      </c>
      <c r="Y1377" t="s">
        <v>43</v>
      </c>
      <c r="Z1377">
        <v>3.33</v>
      </c>
      <c r="AA1377" t="s">
        <v>35</v>
      </c>
    </row>
    <row r="1378" spans="1:27" x14ac:dyDescent="0.3">
      <c r="A1378" t="s">
        <v>27</v>
      </c>
      <c r="B1378" t="s">
        <v>83</v>
      </c>
      <c r="C1378">
        <v>2024</v>
      </c>
      <c r="D1378" t="s">
        <v>63</v>
      </c>
      <c r="E1378">
        <v>52450.92</v>
      </c>
      <c r="F1378">
        <v>70.3</v>
      </c>
      <c r="G1378">
        <v>257</v>
      </c>
      <c r="H1378">
        <v>112.6</v>
      </c>
      <c r="I1378">
        <v>7.73</v>
      </c>
      <c r="J1378">
        <v>135</v>
      </c>
      <c r="K1378">
        <v>452</v>
      </c>
      <c r="L1378">
        <v>424</v>
      </c>
      <c r="M1378" t="s">
        <v>30</v>
      </c>
      <c r="N1378">
        <v>5</v>
      </c>
      <c r="O1378" t="s">
        <v>40</v>
      </c>
      <c r="P1378">
        <v>47.3</v>
      </c>
      <c r="Q1378">
        <v>2163</v>
      </c>
      <c r="R1378">
        <v>5</v>
      </c>
      <c r="S1378">
        <v>1</v>
      </c>
      <c r="T1378" t="s">
        <v>32</v>
      </c>
      <c r="U1378" t="s">
        <v>42</v>
      </c>
      <c r="V1378">
        <v>231690</v>
      </c>
      <c r="W1378">
        <v>3.6</v>
      </c>
      <c r="X1378">
        <v>4</v>
      </c>
      <c r="Y1378" t="s">
        <v>61</v>
      </c>
      <c r="Z1378">
        <v>3.66</v>
      </c>
      <c r="AA1378" t="s">
        <v>35</v>
      </c>
    </row>
    <row r="1379" spans="1:27" x14ac:dyDescent="0.3">
      <c r="A1379" t="s">
        <v>76</v>
      </c>
      <c r="B1379" t="s">
        <v>117</v>
      </c>
      <c r="C1379">
        <v>2024</v>
      </c>
      <c r="D1379" t="s">
        <v>63</v>
      </c>
      <c r="E1379">
        <v>53836.77</v>
      </c>
      <c r="F1379">
        <v>69.5</v>
      </c>
      <c r="G1379">
        <v>265</v>
      </c>
      <c r="H1379">
        <v>98.2</v>
      </c>
      <c r="I1379">
        <v>7.64</v>
      </c>
      <c r="J1379">
        <v>135</v>
      </c>
      <c r="K1379">
        <v>563</v>
      </c>
      <c r="L1379">
        <v>541</v>
      </c>
      <c r="M1379" t="s">
        <v>39</v>
      </c>
      <c r="N1379">
        <v>7</v>
      </c>
      <c r="O1379" t="s">
        <v>65</v>
      </c>
      <c r="P1379">
        <v>22.6</v>
      </c>
      <c r="Q1379">
        <v>1500</v>
      </c>
      <c r="R1379">
        <v>5</v>
      </c>
      <c r="S1379">
        <v>0</v>
      </c>
      <c r="T1379" t="s">
        <v>51</v>
      </c>
      <c r="U1379" t="s">
        <v>42</v>
      </c>
      <c r="V1379">
        <v>55119</v>
      </c>
      <c r="W1379">
        <v>3.5</v>
      </c>
      <c r="X1379">
        <v>5</v>
      </c>
      <c r="Y1379" t="s">
        <v>61</v>
      </c>
      <c r="Z1379">
        <v>3.81</v>
      </c>
      <c r="AA1379" t="s">
        <v>35</v>
      </c>
    </row>
    <row r="1380" spans="1:27" x14ac:dyDescent="0.3">
      <c r="A1380" t="s">
        <v>27</v>
      </c>
      <c r="B1380" t="s">
        <v>83</v>
      </c>
      <c r="C1380">
        <v>2022</v>
      </c>
      <c r="D1380" t="s">
        <v>63</v>
      </c>
      <c r="E1380">
        <v>29912.83</v>
      </c>
      <c r="F1380">
        <v>40.5</v>
      </c>
      <c r="G1380">
        <v>150</v>
      </c>
      <c r="H1380">
        <v>50.1</v>
      </c>
      <c r="I1380">
        <v>6.74</v>
      </c>
      <c r="J1380">
        <v>140</v>
      </c>
      <c r="K1380">
        <v>150</v>
      </c>
      <c r="L1380">
        <v>200</v>
      </c>
      <c r="M1380" t="s">
        <v>30</v>
      </c>
      <c r="N1380">
        <v>5</v>
      </c>
      <c r="O1380" t="s">
        <v>46</v>
      </c>
      <c r="P1380">
        <v>69.599999999999994</v>
      </c>
      <c r="Q1380">
        <v>1799</v>
      </c>
      <c r="R1380">
        <v>5</v>
      </c>
      <c r="S1380">
        <v>0</v>
      </c>
      <c r="T1380" t="s">
        <v>32</v>
      </c>
      <c r="U1380" t="s">
        <v>74</v>
      </c>
      <c r="V1380">
        <v>200434</v>
      </c>
      <c r="W1380">
        <v>3.2</v>
      </c>
      <c r="X1380">
        <v>5</v>
      </c>
      <c r="Y1380" t="s">
        <v>43</v>
      </c>
      <c r="Z1380">
        <v>3.7</v>
      </c>
      <c r="AA1380" t="s">
        <v>35</v>
      </c>
    </row>
    <row r="1381" spans="1:27" x14ac:dyDescent="0.3">
      <c r="A1381" t="s">
        <v>48</v>
      </c>
      <c r="B1381" t="s">
        <v>79</v>
      </c>
      <c r="C1381">
        <v>2024</v>
      </c>
      <c r="D1381" t="s">
        <v>63</v>
      </c>
      <c r="E1381">
        <v>34300.06</v>
      </c>
      <c r="F1381">
        <v>68.3</v>
      </c>
      <c r="G1381">
        <v>242</v>
      </c>
      <c r="H1381">
        <v>105.5</v>
      </c>
      <c r="I1381">
        <v>5.23</v>
      </c>
      <c r="J1381">
        <v>165</v>
      </c>
      <c r="K1381">
        <v>188</v>
      </c>
      <c r="L1381">
        <v>200</v>
      </c>
      <c r="M1381" t="s">
        <v>39</v>
      </c>
      <c r="N1381">
        <v>5</v>
      </c>
      <c r="O1381" t="s">
        <v>46</v>
      </c>
      <c r="P1381">
        <v>69.599999999999994</v>
      </c>
      <c r="Q1381">
        <v>1642</v>
      </c>
      <c r="R1381">
        <v>4</v>
      </c>
      <c r="S1381">
        <v>2</v>
      </c>
      <c r="T1381" t="s">
        <v>51</v>
      </c>
      <c r="U1381" t="s">
        <v>74</v>
      </c>
      <c r="V1381">
        <v>143619</v>
      </c>
      <c r="W1381">
        <v>3.3</v>
      </c>
      <c r="X1381">
        <v>4</v>
      </c>
      <c r="Y1381" t="s">
        <v>43</v>
      </c>
      <c r="Z1381">
        <v>3.54</v>
      </c>
      <c r="AA1381" t="s">
        <v>35</v>
      </c>
    </row>
    <row r="1382" spans="1:27" x14ac:dyDescent="0.3">
      <c r="A1382" t="s">
        <v>52</v>
      </c>
      <c r="B1382" t="s">
        <v>53</v>
      </c>
      <c r="C1382">
        <v>2025</v>
      </c>
      <c r="D1382" t="s">
        <v>38</v>
      </c>
      <c r="E1382">
        <v>130541.56</v>
      </c>
      <c r="F1382">
        <v>71.2</v>
      </c>
      <c r="G1382">
        <v>238</v>
      </c>
      <c r="H1382">
        <v>296</v>
      </c>
      <c r="I1382">
        <v>6.85</v>
      </c>
      <c r="J1382">
        <v>152</v>
      </c>
      <c r="K1382">
        <v>1000</v>
      </c>
      <c r="L1382">
        <v>867</v>
      </c>
      <c r="M1382" t="s">
        <v>30</v>
      </c>
      <c r="N1382">
        <v>7</v>
      </c>
      <c r="O1382" t="s">
        <v>56</v>
      </c>
      <c r="P1382">
        <v>20.3</v>
      </c>
      <c r="Q1382">
        <v>1630</v>
      </c>
      <c r="R1382">
        <v>4</v>
      </c>
      <c r="S1382">
        <v>2</v>
      </c>
      <c r="T1382" t="s">
        <v>47</v>
      </c>
      <c r="U1382" t="s">
        <v>33</v>
      </c>
      <c r="V1382">
        <v>190536</v>
      </c>
      <c r="W1382">
        <v>3.8</v>
      </c>
      <c r="X1382">
        <v>5</v>
      </c>
      <c r="Y1382" t="s">
        <v>43</v>
      </c>
      <c r="Z1382">
        <v>3.34</v>
      </c>
      <c r="AA1382" t="s">
        <v>35</v>
      </c>
    </row>
    <row r="1383" spans="1:27" x14ac:dyDescent="0.3">
      <c r="A1383" t="s">
        <v>27</v>
      </c>
      <c r="B1383" t="s">
        <v>78</v>
      </c>
      <c r="C1383">
        <v>2026</v>
      </c>
      <c r="D1383" t="s">
        <v>63</v>
      </c>
      <c r="E1383">
        <v>49575.71</v>
      </c>
      <c r="F1383">
        <v>47.3</v>
      </c>
      <c r="G1383">
        <v>158</v>
      </c>
      <c r="H1383">
        <v>104.7</v>
      </c>
      <c r="I1383">
        <v>7.32</v>
      </c>
      <c r="J1383">
        <v>141</v>
      </c>
      <c r="K1383">
        <v>438</v>
      </c>
      <c r="L1383">
        <v>401</v>
      </c>
      <c r="M1383" t="s">
        <v>30</v>
      </c>
      <c r="N1383">
        <v>5</v>
      </c>
      <c r="O1383" t="s">
        <v>65</v>
      </c>
      <c r="P1383">
        <v>37.1</v>
      </c>
      <c r="Q1383">
        <v>1759</v>
      </c>
      <c r="R1383">
        <v>4</v>
      </c>
      <c r="S1383">
        <v>1</v>
      </c>
      <c r="T1383" t="s">
        <v>32</v>
      </c>
      <c r="U1383" t="s">
        <v>42</v>
      </c>
      <c r="V1383">
        <v>295672</v>
      </c>
      <c r="W1383">
        <v>3.2</v>
      </c>
      <c r="X1383">
        <v>5</v>
      </c>
      <c r="Y1383" t="s">
        <v>61</v>
      </c>
      <c r="Z1383">
        <v>3.34</v>
      </c>
      <c r="AA1383" t="s">
        <v>35</v>
      </c>
    </row>
    <row r="1384" spans="1:27" x14ac:dyDescent="0.3">
      <c r="A1384" t="s">
        <v>66</v>
      </c>
      <c r="B1384" t="s">
        <v>67</v>
      </c>
      <c r="C1384">
        <v>2025</v>
      </c>
      <c r="D1384" t="s">
        <v>63</v>
      </c>
      <c r="E1384">
        <v>60986.5</v>
      </c>
      <c r="F1384">
        <v>42.7</v>
      </c>
      <c r="G1384">
        <v>150</v>
      </c>
      <c r="H1384">
        <v>112</v>
      </c>
      <c r="I1384">
        <v>7.34</v>
      </c>
      <c r="J1384">
        <v>137</v>
      </c>
      <c r="K1384">
        <v>471</v>
      </c>
      <c r="L1384">
        <v>426</v>
      </c>
      <c r="M1384" t="s">
        <v>30</v>
      </c>
      <c r="N1384">
        <v>7</v>
      </c>
      <c r="O1384" t="s">
        <v>46</v>
      </c>
      <c r="P1384">
        <v>69.2</v>
      </c>
      <c r="Q1384">
        <v>1757</v>
      </c>
      <c r="R1384">
        <v>5</v>
      </c>
      <c r="S1384">
        <v>0</v>
      </c>
      <c r="T1384" t="s">
        <v>47</v>
      </c>
      <c r="U1384" t="s">
        <v>42</v>
      </c>
      <c r="V1384">
        <v>2488</v>
      </c>
      <c r="W1384">
        <v>3.2</v>
      </c>
      <c r="X1384">
        <v>4</v>
      </c>
      <c r="Y1384" t="s">
        <v>61</v>
      </c>
      <c r="Z1384">
        <v>3.51</v>
      </c>
      <c r="AA1384" t="s">
        <v>69</v>
      </c>
    </row>
    <row r="1385" spans="1:27" x14ac:dyDescent="0.3">
      <c r="A1385" t="s">
        <v>71</v>
      </c>
      <c r="B1385" t="s">
        <v>90</v>
      </c>
      <c r="C1385">
        <v>2025</v>
      </c>
      <c r="D1385" t="s">
        <v>38</v>
      </c>
      <c r="E1385">
        <v>96175.42</v>
      </c>
      <c r="F1385">
        <v>50.5</v>
      </c>
      <c r="G1385">
        <v>159</v>
      </c>
      <c r="H1385">
        <v>144.6</v>
      </c>
      <c r="I1385">
        <v>5.51</v>
      </c>
      <c r="J1385">
        <v>164</v>
      </c>
      <c r="K1385">
        <v>1000</v>
      </c>
      <c r="L1385">
        <v>925</v>
      </c>
      <c r="M1385" t="s">
        <v>30</v>
      </c>
      <c r="N1385">
        <v>7</v>
      </c>
      <c r="O1385" t="s">
        <v>56</v>
      </c>
      <c r="P1385">
        <v>37</v>
      </c>
      <c r="Q1385">
        <v>1619</v>
      </c>
      <c r="R1385">
        <v>3</v>
      </c>
      <c r="S1385">
        <v>1</v>
      </c>
      <c r="T1385" t="s">
        <v>73</v>
      </c>
      <c r="U1385" t="s">
        <v>38</v>
      </c>
      <c r="V1385">
        <v>232340</v>
      </c>
      <c r="W1385">
        <v>3.3</v>
      </c>
      <c r="X1385">
        <v>5</v>
      </c>
      <c r="Y1385" t="s">
        <v>43</v>
      </c>
      <c r="Z1385">
        <v>3.15</v>
      </c>
      <c r="AA1385" t="s">
        <v>35</v>
      </c>
    </row>
    <row r="1386" spans="1:27" x14ac:dyDescent="0.3">
      <c r="A1386" t="s">
        <v>91</v>
      </c>
      <c r="B1386" t="s">
        <v>92</v>
      </c>
      <c r="C1386">
        <v>2025</v>
      </c>
      <c r="D1386" t="s">
        <v>29</v>
      </c>
      <c r="E1386">
        <v>162797.03</v>
      </c>
      <c r="F1386">
        <v>103.1</v>
      </c>
      <c r="G1386">
        <v>369</v>
      </c>
      <c r="H1386">
        <v>248.9</v>
      </c>
      <c r="I1386">
        <v>4.1399999999999997</v>
      </c>
      <c r="J1386">
        <v>193</v>
      </c>
      <c r="K1386">
        <v>1000</v>
      </c>
      <c r="L1386">
        <v>910</v>
      </c>
      <c r="M1386" t="s">
        <v>54</v>
      </c>
      <c r="N1386">
        <v>5</v>
      </c>
      <c r="O1386" t="s">
        <v>46</v>
      </c>
      <c r="P1386">
        <v>66.900000000000006</v>
      </c>
      <c r="Q1386">
        <v>1847</v>
      </c>
      <c r="R1386">
        <v>5</v>
      </c>
      <c r="S1386">
        <v>2</v>
      </c>
      <c r="T1386" t="s">
        <v>32</v>
      </c>
      <c r="U1386" t="s">
        <v>33</v>
      </c>
      <c r="V1386">
        <v>27119</v>
      </c>
      <c r="W1386">
        <v>3.5</v>
      </c>
      <c r="X1386">
        <v>6</v>
      </c>
      <c r="Y1386" t="s">
        <v>43</v>
      </c>
      <c r="Z1386">
        <v>3.58</v>
      </c>
      <c r="AA1386" t="s">
        <v>35</v>
      </c>
    </row>
    <row r="1387" spans="1:27" x14ac:dyDescent="0.3">
      <c r="A1387" t="s">
        <v>71</v>
      </c>
      <c r="B1387" t="s">
        <v>96</v>
      </c>
      <c r="C1387">
        <v>2023</v>
      </c>
      <c r="D1387" t="s">
        <v>29</v>
      </c>
      <c r="E1387">
        <v>102394.49</v>
      </c>
      <c r="F1387">
        <v>115.2</v>
      </c>
      <c r="G1387">
        <v>421</v>
      </c>
      <c r="H1387">
        <v>220.6</v>
      </c>
      <c r="I1387">
        <v>4.41</v>
      </c>
      <c r="J1387">
        <v>174</v>
      </c>
      <c r="K1387">
        <v>1000</v>
      </c>
      <c r="L1387">
        <v>925</v>
      </c>
      <c r="M1387" t="s">
        <v>30</v>
      </c>
      <c r="N1387">
        <v>7</v>
      </c>
      <c r="O1387" t="s">
        <v>31</v>
      </c>
      <c r="P1387">
        <v>67.099999999999994</v>
      </c>
      <c r="Q1387">
        <v>2715</v>
      </c>
      <c r="R1387">
        <v>5</v>
      </c>
      <c r="S1387">
        <v>0</v>
      </c>
      <c r="T1387" t="s">
        <v>73</v>
      </c>
      <c r="U1387" t="s">
        <v>33</v>
      </c>
      <c r="V1387">
        <v>226612</v>
      </c>
      <c r="W1387">
        <v>4</v>
      </c>
      <c r="X1387">
        <v>4</v>
      </c>
      <c r="Y1387" t="s">
        <v>43</v>
      </c>
      <c r="Z1387">
        <v>3.65</v>
      </c>
      <c r="AA1387" t="s">
        <v>35</v>
      </c>
    </row>
    <row r="1388" spans="1:27" x14ac:dyDescent="0.3">
      <c r="A1388" t="s">
        <v>84</v>
      </c>
      <c r="B1388" t="s">
        <v>106</v>
      </c>
      <c r="C1388">
        <v>2025</v>
      </c>
      <c r="D1388" t="s">
        <v>38</v>
      </c>
      <c r="E1388">
        <v>59495.32</v>
      </c>
      <c r="F1388">
        <v>76.8</v>
      </c>
      <c r="G1388">
        <v>282</v>
      </c>
      <c r="H1388">
        <v>58.9</v>
      </c>
      <c r="I1388">
        <v>5.94</v>
      </c>
      <c r="J1388">
        <v>161</v>
      </c>
      <c r="K1388">
        <v>592</v>
      </c>
      <c r="L1388">
        <v>477</v>
      </c>
      <c r="M1388" t="s">
        <v>54</v>
      </c>
      <c r="N1388">
        <v>5</v>
      </c>
      <c r="O1388" t="s">
        <v>31</v>
      </c>
      <c r="P1388">
        <v>54.1</v>
      </c>
      <c r="Q1388">
        <v>2327</v>
      </c>
      <c r="R1388">
        <v>5</v>
      </c>
      <c r="S1388">
        <v>0</v>
      </c>
      <c r="T1388" t="s">
        <v>47</v>
      </c>
      <c r="U1388" t="s">
        <v>42</v>
      </c>
      <c r="V1388">
        <v>62617</v>
      </c>
      <c r="W1388">
        <v>3.8</v>
      </c>
      <c r="X1388">
        <v>5</v>
      </c>
      <c r="Y1388" t="s">
        <v>43</v>
      </c>
      <c r="Z1388">
        <v>3.67</v>
      </c>
      <c r="AA1388" t="s">
        <v>35</v>
      </c>
    </row>
    <row r="1389" spans="1:27" x14ac:dyDescent="0.3">
      <c r="A1389" t="s">
        <v>52</v>
      </c>
      <c r="B1389" t="s">
        <v>53</v>
      </c>
      <c r="C1389">
        <v>2024</v>
      </c>
      <c r="D1389" t="s">
        <v>29</v>
      </c>
      <c r="E1389">
        <v>99778.09</v>
      </c>
      <c r="F1389">
        <v>102.4</v>
      </c>
      <c r="G1389">
        <v>352</v>
      </c>
      <c r="H1389">
        <v>231.4</v>
      </c>
      <c r="I1389">
        <v>2.58</v>
      </c>
      <c r="J1389">
        <v>200</v>
      </c>
      <c r="K1389">
        <v>751</v>
      </c>
      <c r="L1389">
        <v>684</v>
      </c>
      <c r="M1389" t="s">
        <v>30</v>
      </c>
      <c r="N1389">
        <v>5</v>
      </c>
      <c r="O1389" t="s">
        <v>31</v>
      </c>
      <c r="P1389">
        <v>53.4</v>
      </c>
      <c r="Q1389">
        <v>2409</v>
      </c>
      <c r="R1389">
        <v>4</v>
      </c>
      <c r="S1389">
        <v>2</v>
      </c>
      <c r="T1389" t="s">
        <v>47</v>
      </c>
      <c r="U1389" t="s">
        <v>38</v>
      </c>
      <c r="V1389">
        <v>186712</v>
      </c>
      <c r="W1389">
        <v>4.2</v>
      </c>
      <c r="X1389">
        <v>5</v>
      </c>
      <c r="Y1389" t="s">
        <v>34</v>
      </c>
      <c r="Z1389">
        <v>3.44</v>
      </c>
      <c r="AA1389" t="s">
        <v>35</v>
      </c>
    </row>
    <row r="1390" spans="1:27" x14ac:dyDescent="0.3">
      <c r="A1390" t="s">
        <v>66</v>
      </c>
      <c r="B1390" t="s">
        <v>119</v>
      </c>
      <c r="C1390">
        <v>2025</v>
      </c>
      <c r="D1390" t="s">
        <v>50</v>
      </c>
      <c r="E1390">
        <v>66660.45</v>
      </c>
      <c r="F1390">
        <v>93.7</v>
      </c>
      <c r="G1390">
        <v>290</v>
      </c>
      <c r="H1390">
        <v>139.69999999999999</v>
      </c>
      <c r="I1390">
        <v>4.1399999999999997</v>
      </c>
      <c r="J1390">
        <v>186</v>
      </c>
      <c r="K1390">
        <v>523</v>
      </c>
      <c r="L1390">
        <v>477</v>
      </c>
      <c r="M1390" t="s">
        <v>54</v>
      </c>
      <c r="N1390">
        <v>7</v>
      </c>
      <c r="O1390" t="s">
        <v>57</v>
      </c>
      <c r="P1390">
        <v>25.3</v>
      </c>
      <c r="Q1390">
        <v>1773</v>
      </c>
      <c r="R1390">
        <v>5</v>
      </c>
      <c r="S1390">
        <v>1</v>
      </c>
      <c r="T1390" t="s">
        <v>47</v>
      </c>
      <c r="U1390" t="s">
        <v>38</v>
      </c>
      <c r="V1390">
        <v>12789</v>
      </c>
      <c r="W1390">
        <v>3.3</v>
      </c>
      <c r="X1390">
        <v>4</v>
      </c>
      <c r="Y1390" t="s">
        <v>43</v>
      </c>
      <c r="Z1390">
        <v>3.09</v>
      </c>
      <c r="AA1390" t="s">
        <v>43</v>
      </c>
    </row>
    <row r="1391" spans="1:27" x14ac:dyDescent="0.3">
      <c r="A1391" t="s">
        <v>27</v>
      </c>
      <c r="B1391" t="s">
        <v>78</v>
      </c>
      <c r="C1391">
        <v>2023</v>
      </c>
      <c r="D1391" t="s">
        <v>38</v>
      </c>
      <c r="E1391">
        <v>78484.960000000006</v>
      </c>
      <c r="F1391">
        <v>48.2</v>
      </c>
      <c r="G1391">
        <v>168</v>
      </c>
      <c r="H1391">
        <v>65.900000000000006</v>
      </c>
      <c r="I1391">
        <v>6.73</v>
      </c>
      <c r="J1391">
        <v>144</v>
      </c>
      <c r="K1391">
        <v>867</v>
      </c>
      <c r="L1391">
        <v>845</v>
      </c>
      <c r="M1391" t="s">
        <v>30</v>
      </c>
      <c r="N1391">
        <v>5</v>
      </c>
      <c r="O1391" t="s">
        <v>65</v>
      </c>
      <c r="P1391">
        <v>22.4</v>
      </c>
      <c r="Q1391">
        <v>1560</v>
      </c>
      <c r="R1391">
        <v>4</v>
      </c>
      <c r="S1391">
        <v>1</v>
      </c>
      <c r="T1391" t="s">
        <v>32</v>
      </c>
      <c r="U1391" t="s">
        <v>38</v>
      </c>
      <c r="V1391">
        <v>208905</v>
      </c>
      <c r="W1391">
        <v>3.4</v>
      </c>
      <c r="X1391">
        <v>4</v>
      </c>
      <c r="Y1391" t="s">
        <v>43</v>
      </c>
      <c r="Z1391">
        <v>3.49</v>
      </c>
      <c r="AA1391" t="s">
        <v>35</v>
      </c>
    </row>
    <row r="1392" spans="1:27" x14ac:dyDescent="0.3">
      <c r="A1392" t="s">
        <v>71</v>
      </c>
      <c r="B1392" t="s">
        <v>96</v>
      </c>
      <c r="C1392">
        <v>2023</v>
      </c>
      <c r="D1392" t="s">
        <v>50</v>
      </c>
      <c r="E1392">
        <v>30609.19</v>
      </c>
      <c r="F1392">
        <v>78.599999999999994</v>
      </c>
      <c r="G1392">
        <v>268</v>
      </c>
      <c r="H1392">
        <v>75.5</v>
      </c>
      <c r="I1392">
        <v>4.4000000000000004</v>
      </c>
      <c r="J1392">
        <v>184</v>
      </c>
      <c r="K1392">
        <v>292</v>
      </c>
      <c r="L1392">
        <v>262</v>
      </c>
      <c r="M1392" t="s">
        <v>39</v>
      </c>
      <c r="N1392">
        <v>7</v>
      </c>
      <c r="O1392" t="s">
        <v>56</v>
      </c>
      <c r="P1392">
        <v>36.5</v>
      </c>
      <c r="Q1392">
        <v>1560</v>
      </c>
      <c r="R1392">
        <v>5</v>
      </c>
      <c r="S1392">
        <v>0</v>
      </c>
      <c r="T1392" t="s">
        <v>73</v>
      </c>
      <c r="U1392" t="s">
        <v>74</v>
      </c>
      <c r="V1392">
        <v>111239</v>
      </c>
      <c r="W1392">
        <v>3.5</v>
      </c>
      <c r="X1392">
        <v>4</v>
      </c>
      <c r="Y1392" t="s">
        <v>43</v>
      </c>
      <c r="Z1392">
        <v>3.41</v>
      </c>
      <c r="AA1392" t="s">
        <v>35</v>
      </c>
    </row>
    <row r="1393" spans="1:27" x14ac:dyDescent="0.3">
      <c r="A1393" t="s">
        <v>52</v>
      </c>
      <c r="B1393" t="s">
        <v>86</v>
      </c>
      <c r="C1393">
        <v>2022</v>
      </c>
      <c r="D1393" t="s">
        <v>29</v>
      </c>
      <c r="E1393">
        <v>117706.38</v>
      </c>
      <c r="F1393">
        <v>71.400000000000006</v>
      </c>
      <c r="G1393">
        <v>249</v>
      </c>
      <c r="H1393">
        <v>304.3</v>
      </c>
      <c r="I1393">
        <v>4.12</v>
      </c>
      <c r="J1393">
        <v>189</v>
      </c>
      <c r="K1393">
        <v>885</v>
      </c>
      <c r="L1393">
        <v>771</v>
      </c>
      <c r="M1393" t="s">
        <v>54</v>
      </c>
      <c r="N1393">
        <v>5</v>
      </c>
      <c r="O1393" t="s">
        <v>31</v>
      </c>
      <c r="P1393">
        <v>67.599999999999994</v>
      </c>
      <c r="Q1393">
        <v>2497</v>
      </c>
      <c r="R1393">
        <v>5</v>
      </c>
      <c r="S1393">
        <v>2</v>
      </c>
      <c r="T1393" t="s">
        <v>47</v>
      </c>
      <c r="U1393" t="s">
        <v>33</v>
      </c>
      <c r="V1393">
        <v>160982</v>
      </c>
      <c r="W1393">
        <v>3.8</v>
      </c>
      <c r="X1393">
        <v>4</v>
      </c>
      <c r="Y1393" t="s">
        <v>43</v>
      </c>
      <c r="Z1393">
        <v>3.49</v>
      </c>
      <c r="AA1393" t="s">
        <v>35</v>
      </c>
    </row>
    <row r="1394" spans="1:27" x14ac:dyDescent="0.3">
      <c r="A1394" t="s">
        <v>52</v>
      </c>
      <c r="B1394" t="s">
        <v>80</v>
      </c>
      <c r="C1394">
        <v>2024</v>
      </c>
      <c r="D1394" t="s">
        <v>29</v>
      </c>
      <c r="E1394">
        <v>106068.73</v>
      </c>
      <c r="F1394">
        <v>114.9</v>
      </c>
      <c r="G1394">
        <v>357</v>
      </c>
      <c r="H1394">
        <v>318.10000000000002</v>
      </c>
      <c r="I1394">
        <v>3.04</v>
      </c>
      <c r="J1394">
        <v>200</v>
      </c>
      <c r="K1394">
        <v>766</v>
      </c>
      <c r="L1394">
        <v>686</v>
      </c>
      <c r="M1394" t="s">
        <v>54</v>
      </c>
      <c r="N1394">
        <v>7</v>
      </c>
      <c r="O1394" t="s">
        <v>31</v>
      </c>
      <c r="P1394">
        <v>52.7</v>
      </c>
      <c r="Q1394">
        <v>2604</v>
      </c>
      <c r="R1394">
        <v>3</v>
      </c>
      <c r="S1394">
        <v>2</v>
      </c>
      <c r="T1394" t="s">
        <v>47</v>
      </c>
      <c r="U1394" t="s">
        <v>33</v>
      </c>
      <c r="V1394">
        <v>156874</v>
      </c>
      <c r="W1394">
        <v>4.0999999999999996</v>
      </c>
      <c r="X1394">
        <v>5</v>
      </c>
      <c r="Y1394" t="s">
        <v>34</v>
      </c>
      <c r="Z1394">
        <v>3.11</v>
      </c>
      <c r="AA1394" t="s">
        <v>35</v>
      </c>
    </row>
    <row r="1395" spans="1:27" x14ac:dyDescent="0.3">
      <c r="A1395" t="s">
        <v>76</v>
      </c>
      <c r="B1395" t="s">
        <v>117</v>
      </c>
      <c r="C1395">
        <v>2025</v>
      </c>
      <c r="D1395" t="s">
        <v>50</v>
      </c>
      <c r="E1395">
        <v>70681.91</v>
      </c>
      <c r="F1395">
        <v>86.7</v>
      </c>
      <c r="G1395">
        <v>309</v>
      </c>
      <c r="H1395">
        <v>50</v>
      </c>
      <c r="I1395">
        <v>4.66</v>
      </c>
      <c r="J1395">
        <v>176</v>
      </c>
      <c r="K1395">
        <v>861</v>
      </c>
      <c r="L1395">
        <v>735</v>
      </c>
      <c r="M1395" t="s">
        <v>39</v>
      </c>
      <c r="N1395">
        <v>7</v>
      </c>
      <c r="O1395" t="s">
        <v>40</v>
      </c>
      <c r="P1395">
        <v>54.6</v>
      </c>
      <c r="Q1395">
        <v>2251</v>
      </c>
      <c r="R1395">
        <v>4</v>
      </c>
      <c r="S1395">
        <v>2</v>
      </c>
      <c r="T1395" t="s">
        <v>51</v>
      </c>
      <c r="U1395" t="s">
        <v>38</v>
      </c>
      <c r="V1395">
        <v>50014</v>
      </c>
      <c r="W1395">
        <v>3.6</v>
      </c>
      <c r="X1395">
        <v>4</v>
      </c>
      <c r="Y1395" t="s">
        <v>43</v>
      </c>
      <c r="Z1395">
        <v>3.56</v>
      </c>
      <c r="AA1395" t="s">
        <v>35</v>
      </c>
    </row>
    <row r="1396" spans="1:27" x14ac:dyDescent="0.3">
      <c r="A1396" t="s">
        <v>71</v>
      </c>
      <c r="B1396" t="s">
        <v>75</v>
      </c>
      <c r="C1396">
        <v>2024</v>
      </c>
      <c r="D1396" t="s">
        <v>50</v>
      </c>
      <c r="E1396">
        <v>41904.83</v>
      </c>
      <c r="F1396">
        <v>88.3</v>
      </c>
      <c r="G1396">
        <v>325</v>
      </c>
      <c r="H1396">
        <v>60.2</v>
      </c>
      <c r="I1396">
        <v>5.33</v>
      </c>
      <c r="J1396">
        <v>168</v>
      </c>
      <c r="K1396">
        <v>435</v>
      </c>
      <c r="L1396">
        <v>398</v>
      </c>
      <c r="M1396" t="s">
        <v>54</v>
      </c>
      <c r="N1396">
        <v>5</v>
      </c>
      <c r="O1396" t="s">
        <v>31</v>
      </c>
      <c r="P1396">
        <v>63.7</v>
      </c>
      <c r="Q1396">
        <v>2686</v>
      </c>
      <c r="R1396">
        <v>3</v>
      </c>
      <c r="S1396">
        <v>1</v>
      </c>
      <c r="T1396" t="s">
        <v>73</v>
      </c>
      <c r="U1396" t="s">
        <v>42</v>
      </c>
      <c r="V1396">
        <v>239018</v>
      </c>
      <c r="W1396">
        <v>3.7</v>
      </c>
      <c r="X1396">
        <v>3</v>
      </c>
      <c r="Y1396" t="s">
        <v>43</v>
      </c>
      <c r="Z1396">
        <v>3.68</v>
      </c>
      <c r="AA1396" t="s">
        <v>35</v>
      </c>
    </row>
    <row r="1397" spans="1:27" x14ac:dyDescent="0.3">
      <c r="A1397" t="s">
        <v>58</v>
      </c>
      <c r="B1397" t="s">
        <v>59</v>
      </c>
      <c r="C1397">
        <v>2025</v>
      </c>
      <c r="D1397" t="s">
        <v>29</v>
      </c>
      <c r="E1397">
        <v>94342.22</v>
      </c>
      <c r="F1397">
        <v>95.8</v>
      </c>
      <c r="G1397">
        <v>324</v>
      </c>
      <c r="H1397">
        <v>184.3</v>
      </c>
      <c r="I1397">
        <v>3.79</v>
      </c>
      <c r="J1397">
        <v>192</v>
      </c>
      <c r="K1397">
        <v>446</v>
      </c>
      <c r="L1397">
        <v>356</v>
      </c>
      <c r="M1397" t="s">
        <v>30</v>
      </c>
      <c r="N1397">
        <v>5</v>
      </c>
      <c r="O1397" t="s">
        <v>40</v>
      </c>
      <c r="P1397">
        <v>38.200000000000003</v>
      </c>
      <c r="Q1397">
        <v>1893</v>
      </c>
      <c r="R1397">
        <v>4</v>
      </c>
      <c r="S1397">
        <v>1</v>
      </c>
      <c r="T1397" t="s">
        <v>32</v>
      </c>
      <c r="U1397" t="s">
        <v>38</v>
      </c>
      <c r="V1397">
        <v>56423</v>
      </c>
      <c r="W1397">
        <v>3.9</v>
      </c>
      <c r="X1397">
        <v>7</v>
      </c>
      <c r="Y1397" t="s">
        <v>34</v>
      </c>
      <c r="Z1397">
        <v>3.38</v>
      </c>
      <c r="AA1397" t="s">
        <v>35</v>
      </c>
    </row>
    <row r="1398" spans="1:27" x14ac:dyDescent="0.3">
      <c r="A1398" t="s">
        <v>27</v>
      </c>
      <c r="B1398" t="s">
        <v>83</v>
      </c>
      <c r="C1398">
        <v>2024</v>
      </c>
      <c r="D1398" t="s">
        <v>38</v>
      </c>
      <c r="E1398">
        <v>40586.730000000003</v>
      </c>
      <c r="F1398">
        <v>45</v>
      </c>
      <c r="G1398">
        <v>173</v>
      </c>
      <c r="H1398">
        <v>82.3</v>
      </c>
      <c r="I1398">
        <v>6.42</v>
      </c>
      <c r="J1398">
        <v>159</v>
      </c>
      <c r="K1398">
        <v>335</v>
      </c>
      <c r="L1398">
        <v>274</v>
      </c>
      <c r="M1398" t="s">
        <v>54</v>
      </c>
      <c r="N1398">
        <v>7</v>
      </c>
      <c r="O1398" t="s">
        <v>57</v>
      </c>
      <c r="P1398">
        <v>32.4</v>
      </c>
      <c r="Q1398">
        <v>1615</v>
      </c>
      <c r="R1398">
        <v>4</v>
      </c>
      <c r="S1398">
        <v>1</v>
      </c>
      <c r="T1398" t="s">
        <v>32</v>
      </c>
      <c r="U1398" t="s">
        <v>42</v>
      </c>
      <c r="V1398">
        <v>268842</v>
      </c>
      <c r="W1398">
        <v>3.3</v>
      </c>
      <c r="X1398">
        <v>4</v>
      </c>
      <c r="Y1398" t="s">
        <v>43</v>
      </c>
      <c r="Z1398">
        <v>3.84</v>
      </c>
      <c r="AA1398" t="s">
        <v>35</v>
      </c>
    </row>
    <row r="1399" spans="1:27" x14ac:dyDescent="0.3">
      <c r="A1399" t="s">
        <v>71</v>
      </c>
      <c r="B1399" t="s">
        <v>75</v>
      </c>
      <c r="C1399">
        <v>2022</v>
      </c>
      <c r="D1399" t="s">
        <v>29</v>
      </c>
      <c r="E1399">
        <v>98782.03</v>
      </c>
      <c r="F1399">
        <v>77.8</v>
      </c>
      <c r="G1399">
        <v>278</v>
      </c>
      <c r="H1399">
        <v>211.2</v>
      </c>
      <c r="I1399">
        <v>3.71</v>
      </c>
      <c r="J1399">
        <v>192</v>
      </c>
      <c r="K1399">
        <v>1000</v>
      </c>
      <c r="L1399">
        <v>876</v>
      </c>
      <c r="M1399" t="s">
        <v>54</v>
      </c>
      <c r="N1399">
        <v>7</v>
      </c>
      <c r="O1399" t="s">
        <v>57</v>
      </c>
      <c r="P1399">
        <v>33.299999999999997</v>
      </c>
      <c r="Q1399">
        <v>1500</v>
      </c>
      <c r="R1399">
        <v>4</v>
      </c>
      <c r="S1399">
        <v>0</v>
      </c>
      <c r="T1399" t="s">
        <v>73</v>
      </c>
      <c r="U1399" t="s">
        <v>38</v>
      </c>
      <c r="V1399">
        <v>130723</v>
      </c>
      <c r="W1399">
        <v>3.5</v>
      </c>
      <c r="X1399">
        <v>4</v>
      </c>
      <c r="Y1399" t="s">
        <v>34</v>
      </c>
      <c r="Z1399">
        <v>3.57</v>
      </c>
      <c r="AA1399" t="s">
        <v>35</v>
      </c>
    </row>
    <row r="1400" spans="1:27" x14ac:dyDescent="0.3">
      <c r="A1400" t="s">
        <v>48</v>
      </c>
      <c r="B1400" t="s">
        <v>123</v>
      </c>
      <c r="C1400">
        <v>2022</v>
      </c>
      <c r="D1400" t="s">
        <v>38</v>
      </c>
      <c r="E1400">
        <v>40060.04</v>
      </c>
      <c r="F1400">
        <v>63</v>
      </c>
      <c r="G1400">
        <v>235</v>
      </c>
      <c r="H1400">
        <v>90.5</v>
      </c>
      <c r="I1400">
        <v>6.78</v>
      </c>
      <c r="J1400">
        <v>153</v>
      </c>
      <c r="K1400">
        <v>281</v>
      </c>
      <c r="L1400">
        <v>246</v>
      </c>
      <c r="M1400" t="s">
        <v>54</v>
      </c>
      <c r="N1400">
        <v>7</v>
      </c>
      <c r="O1400" t="s">
        <v>65</v>
      </c>
      <c r="P1400">
        <v>28.9</v>
      </c>
      <c r="Q1400">
        <v>1500</v>
      </c>
      <c r="R1400">
        <v>4</v>
      </c>
      <c r="S1400">
        <v>0</v>
      </c>
      <c r="T1400" t="s">
        <v>51</v>
      </c>
      <c r="U1400" t="s">
        <v>42</v>
      </c>
      <c r="V1400">
        <v>51025</v>
      </c>
      <c r="W1400">
        <v>3.4</v>
      </c>
      <c r="X1400">
        <v>5</v>
      </c>
      <c r="Y1400" t="s">
        <v>43</v>
      </c>
      <c r="Z1400">
        <v>3.73</v>
      </c>
      <c r="AA1400" t="s">
        <v>35</v>
      </c>
    </row>
    <row r="1401" spans="1:27" x14ac:dyDescent="0.3">
      <c r="A1401" t="s">
        <v>44</v>
      </c>
      <c r="B1401" t="s">
        <v>109</v>
      </c>
      <c r="C1401">
        <v>2023</v>
      </c>
      <c r="D1401" t="s">
        <v>29</v>
      </c>
      <c r="E1401">
        <v>73854.22</v>
      </c>
      <c r="F1401">
        <v>104.5</v>
      </c>
      <c r="G1401">
        <v>365</v>
      </c>
      <c r="H1401">
        <v>221.3</v>
      </c>
      <c r="I1401">
        <v>3.22</v>
      </c>
      <c r="J1401">
        <v>200</v>
      </c>
      <c r="K1401">
        <v>999</v>
      </c>
      <c r="L1401">
        <v>887</v>
      </c>
      <c r="M1401" t="s">
        <v>30</v>
      </c>
      <c r="N1401">
        <v>5</v>
      </c>
      <c r="O1401" t="s">
        <v>57</v>
      </c>
      <c r="P1401">
        <v>20.399999999999999</v>
      </c>
      <c r="Q1401">
        <v>2090</v>
      </c>
      <c r="R1401">
        <v>4</v>
      </c>
      <c r="S1401">
        <v>1</v>
      </c>
      <c r="T1401" t="s">
        <v>47</v>
      </c>
      <c r="U1401" t="s">
        <v>38</v>
      </c>
      <c r="V1401">
        <v>27191</v>
      </c>
      <c r="W1401">
        <v>3.6</v>
      </c>
      <c r="X1401">
        <v>3</v>
      </c>
      <c r="Y1401" t="s">
        <v>34</v>
      </c>
      <c r="Z1401">
        <v>3.49</v>
      </c>
      <c r="AA1401" t="s">
        <v>35</v>
      </c>
    </row>
    <row r="1402" spans="1:27" x14ac:dyDescent="0.3">
      <c r="A1402" t="s">
        <v>52</v>
      </c>
      <c r="B1402" t="s">
        <v>86</v>
      </c>
      <c r="C1402">
        <v>2022</v>
      </c>
      <c r="D1402" t="s">
        <v>63</v>
      </c>
      <c r="E1402">
        <v>43328.14</v>
      </c>
      <c r="F1402">
        <v>65.3</v>
      </c>
      <c r="G1402">
        <v>226</v>
      </c>
      <c r="H1402">
        <v>244.2</v>
      </c>
      <c r="I1402">
        <v>7.71</v>
      </c>
      <c r="J1402">
        <v>134</v>
      </c>
      <c r="K1402">
        <v>305</v>
      </c>
      <c r="L1402">
        <v>255</v>
      </c>
      <c r="M1402" t="s">
        <v>54</v>
      </c>
      <c r="N1402">
        <v>5</v>
      </c>
      <c r="O1402" t="s">
        <v>46</v>
      </c>
      <c r="P1402">
        <v>63.8</v>
      </c>
      <c r="Q1402">
        <v>1526</v>
      </c>
      <c r="R1402">
        <v>3</v>
      </c>
      <c r="S1402">
        <v>2</v>
      </c>
      <c r="T1402" t="s">
        <v>47</v>
      </c>
      <c r="U1402" t="s">
        <v>42</v>
      </c>
      <c r="V1402">
        <v>148395</v>
      </c>
      <c r="W1402">
        <v>3.6</v>
      </c>
      <c r="X1402">
        <v>6</v>
      </c>
      <c r="Y1402" t="s">
        <v>61</v>
      </c>
      <c r="Z1402">
        <v>3.46</v>
      </c>
      <c r="AA1402" t="s">
        <v>35</v>
      </c>
    </row>
    <row r="1403" spans="1:27" x14ac:dyDescent="0.3">
      <c r="A1403" t="s">
        <v>52</v>
      </c>
      <c r="B1403" t="s">
        <v>86</v>
      </c>
      <c r="C1403">
        <v>2025</v>
      </c>
      <c r="D1403" t="s">
        <v>50</v>
      </c>
      <c r="E1403">
        <v>100199.56</v>
      </c>
      <c r="F1403">
        <v>90.8</v>
      </c>
      <c r="G1403">
        <v>321</v>
      </c>
      <c r="H1403">
        <v>252.4</v>
      </c>
      <c r="I1403">
        <v>5.42</v>
      </c>
      <c r="J1403">
        <v>171</v>
      </c>
      <c r="K1403">
        <v>669</v>
      </c>
      <c r="L1403">
        <v>631</v>
      </c>
      <c r="M1403" t="s">
        <v>54</v>
      </c>
      <c r="N1403">
        <v>7</v>
      </c>
      <c r="O1403" t="s">
        <v>56</v>
      </c>
      <c r="P1403">
        <v>36.6</v>
      </c>
      <c r="Q1403">
        <v>1849</v>
      </c>
      <c r="R1403">
        <v>4</v>
      </c>
      <c r="S1403">
        <v>3</v>
      </c>
      <c r="T1403" t="s">
        <v>47</v>
      </c>
      <c r="U1403" t="s">
        <v>33</v>
      </c>
      <c r="V1403">
        <v>197625</v>
      </c>
      <c r="W1403">
        <v>3.8</v>
      </c>
      <c r="X1403">
        <v>5</v>
      </c>
      <c r="Y1403" t="s">
        <v>43</v>
      </c>
      <c r="Z1403">
        <v>3.54</v>
      </c>
      <c r="AA1403" t="s">
        <v>35</v>
      </c>
    </row>
    <row r="1404" spans="1:27" x14ac:dyDescent="0.3">
      <c r="A1404" t="s">
        <v>52</v>
      </c>
      <c r="B1404" t="s">
        <v>55</v>
      </c>
      <c r="C1404">
        <v>2025</v>
      </c>
      <c r="D1404" t="s">
        <v>29</v>
      </c>
      <c r="E1404">
        <v>135068.35</v>
      </c>
      <c r="F1404">
        <v>116.4</v>
      </c>
      <c r="G1404">
        <v>393</v>
      </c>
      <c r="H1404">
        <v>277.5</v>
      </c>
      <c r="I1404">
        <v>3.52</v>
      </c>
      <c r="J1404">
        <v>193</v>
      </c>
      <c r="K1404">
        <v>1000</v>
      </c>
      <c r="L1404">
        <v>870</v>
      </c>
      <c r="M1404" t="s">
        <v>30</v>
      </c>
      <c r="N1404">
        <v>7</v>
      </c>
      <c r="O1404" t="s">
        <v>65</v>
      </c>
      <c r="P1404">
        <v>19.2</v>
      </c>
      <c r="Q1404">
        <v>1500</v>
      </c>
      <c r="R1404">
        <v>5</v>
      </c>
      <c r="S1404">
        <v>3</v>
      </c>
      <c r="T1404" t="s">
        <v>47</v>
      </c>
      <c r="U1404" t="s">
        <v>33</v>
      </c>
      <c r="V1404">
        <v>419874</v>
      </c>
      <c r="W1404">
        <v>4.3</v>
      </c>
      <c r="X1404">
        <v>6</v>
      </c>
      <c r="Y1404" t="s">
        <v>34</v>
      </c>
      <c r="Z1404">
        <v>3.38</v>
      </c>
      <c r="AA1404" t="s">
        <v>35</v>
      </c>
    </row>
    <row r="1405" spans="1:27" x14ac:dyDescent="0.3">
      <c r="A1405" t="s">
        <v>44</v>
      </c>
      <c r="B1405" t="s">
        <v>126</v>
      </c>
      <c r="C1405">
        <v>2026</v>
      </c>
      <c r="D1405" t="s">
        <v>68</v>
      </c>
      <c r="E1405">
        <v>64854.51</v>
      </c>
      <c r="F1405">
        <v>76</v>
      </c>
      <c r="G1405">
        <v>264</v>
      </c>
      <c r="H1405">
        <v>124.2</v>
      </c>
      <c r="I1405">
        <v>5.66</v>
      </c>
      <c r="J1405">
        <v>158</v>
      </c>
      <c r="K1405">
        <v>863</v>
      </c>
      <c r="L1405">
        <v>753</v>
      </c>
      <c r="M1405" t="s">
        <v>54</v>
      </c>
      <c r="N1405">
        <v>7</v>
      </c>
      <c r="O1405" t="s">
        <v>46</v>
      </c>
      <c r="P1405">
        <v>66.599999999999994</v>
      </c>
      <c r="Q1405">
        <v>1781</v>
      </c>
      <c r="R1405">
        <v>4</v>
      </c>
      <c r="S1405">
        <v>2</v>
      </c>
      <c r="T1405" t="s">
        <v>47</v>
      </c>
      <c r="U1405" t="s">
        <v>42</v>
      </c>
      <c r="V1405">
        <v>16372</v>
      </c>
      <c r="W1405">
        <v>3.3</v>
      </c>
      <c r="X1405">
        <v>5</v>
      </c>
      <c r="Y1405" t="s">
        <v>43</v>
      </c>
      <c r="Z1405">
        <v>3.47</v>
      </c>
      <c r="AA1405" t="s">
        <v>43</v>
      </c>
    </row>
    <row r="1406" spans="1:27" x14ac:dyDescent="0.3">
      <c r="A1406" t="s">
        <v>91</v>
      </c>
      <c r="B1406" t="s">
        <v>124</v>
      </c>
      <c r="C1406">
        <v>2022</v>
      </c>
      <c r="D1406" t="s">
        <v>29</v>
      </c>
      <c r="E1406">
        <v>102335.06</v>
      </c>
      <c r="F1406">
        <v>106.5</v>
      </c>
      <c r="G1406">
        <v>365</v>
      </c>
      <c r="H1406">
        <v>241.1</v>
      </c>
      <c r="I1406">
        <v>2.73</v>
      </c>
      <c r="J1406">
        <v>200</v>
      </c>
      <c r="K1406">
        <v>873</v>
      </c>
      <c r="L1406">
        <v>817</v>
      </c>
      <c r="M1406" t="s">
        <v>30</v>
      </c>
      <c r="N1406">
        <v>7</v>
      </c>
      <c r="O1406" t="s">
        <v>56</v>
      </c>
      <c r="P1406">
        <v>31.3</v>
      </c>
      <c r="Q1406">
        <v>1526</v>
      </c>
      <c r="R1406">
        <v>5</v>
      </c>
      <c r="S1406">
        <v>1</v>
      </c>
      <c r="T1406" t="s">
        <v>32</v>
      </c>
      <c r="U1406" t="s">
        <v>33</v>
      </c>
      <c r="V1406">
        <v>57345</v>
      </c>
      <c r="W1406">
        <v>3.9</v>
      </c>
      <c r="X1406">
        <v>5</v>
      </c>
      <c r="Y1406" t="s">
        <v>34</v>
      </c>
      <c r="Z1406">
        <v>3.43</v>
      </c>
      <c r="AA1406" t="s">
        <v>35</v>
      </c>
    </row>
    <row r="1407" spans="1:27" x14ac:dyDescent="0.3">
      <c r="A1407" t="s">
        <v>76</v>
      </c>
      <c r="B1407" t="s">
        <v>77</v>
      </c>
      <c r="C1407">
        <v>2026</v>
      </c>
      <c r="D1407" t="s">
        <v>38</v>
      </c>
      <c r="E1407">
        <v>78808.06</v>
      </c>
      <c r="F1407">
        <v>83.8</v>
      </c>
      <c r="G1407">
        <v>310</v>
      </c>
      <c r="H1407">
        <v>141.6</v>
      </c>
      <c r="I1407">
        <v>5.71</v>
      </c>
      <c r="J1407">
        <v>163</v>
      </c>
      <c r="K1407">
        <v>989</v>
      </c>
      <c r="L1407">
        <v>868</v>
      </c>
      <c r="M1407" t="s">
        <v>30</v>
      </c>
      <c r="N1407">
        <v>7</v>
      </c>
      <c r="O1407" t="s">
        <v>31</v>
      </c>
      <c r="P1407">
        <v>78.400000000000006</v>
      </c>
      <c r="Q1407">
        <v>2368</v>
      </c>
      <c r="R1407">
        <v>4</v>
      </c>
      <c r="S1407">
        <v>2</v>
      </c>
      <c r="T1407" t="s">
        <v>51</v>
      </c>
      <c r="U1407" t="s">
        <v>38</v>
      </c>
      <c r="V1407">
        <v>79142</v>
      </c>
      <c r="W1407">
        <v>3.3</v>
      </c>
      <c r="X1407">
        <v>3</v>
      </c>
      <c r="Y1407" t="s">
        <v>43</v>
      </c>
      <c r="Z1407">
        <v>3.7</v>
      </c>
      <c r="AA1407" t="s">
        <v>35</v>
      </c>
    </row>
    <row r="1408" spans="1:27" x14ac:dyDescent="0.3">
      <c r="A1408" t="s">
        <v>58</v>
      </c>
      <c r="B1408" t="s">
        <v>105</v>
      </c>
      <c r="C1408">
        <v>2026</v>
      </c>
      <c r="D1408" t="s">
        <v>38</v>
      </c>
      <c r="E1408">
        <v>89766.7</v>
      </c>
      <c r="F1408">
        <v>44.8</v>
      </c>
      <c r="G1408">
        <v>150</v>
      </c>
      <c r="H1408">
        <v>131.6</v>
      </c>
      <c r="I1408">
        <v>7.04</v>
      </c>
      <c r="J1408">
        <v>131</v>
      </c>
      <c r="K1408">
        <v>402</v>
      </c>
      <c r="L1408">
        <v>345</v>
      </c>
      <c r="M1408" t="s">
        <v>30</v>
      </c>
      <c r="N1408">
        <v>5</v>
      </c>
      <c r="O1408" t="s">
        <v>65</v>
      </c>
      <c r="P1408">
        <v>33.200000000000003</v>
      </c>
      <c r="Q1408">
        <v>1697</v>
      </c>
      <c r="R1408">
        <v>4</v>
      </c>
      <c r="S1408">
        <v>1</v>
      </c>
      <c r="T1408" t="s">
        <v>32</v>
      </c>
      <c r="U1408" t="s">
        <v>38</v>
      </c>
      <c r="V1408">
        <v>44745</v>
      </c>
      <c r="W1408">
        <v>3.4</v>
      </c>
      <c r="X1408">
        <v>7</v>
      </c>
      <c r="Y1408" t="s">
        <v>61</v>
      </c>
      <c r="Z1408">
        <v>3.35</v>
      </c>
      <c r="AA1408" t="s">
        <v>35</v>
      </c>
    </row>
    <row r="1409" spans="1:27" x14ac:dyDescent="0.3">
      <c r="A1409" t="s">
        <v>84</v>
      </c>
      <c r="B1409" t="s">
        <v>106</v>
      </c>
      <c r="C1409">
        <v>2024</v>
      </c>
      <c r="D1409" t="s">
        <v>63</v>
      </c>
      <c r="E1409">
        <v>54161.53</v>
      </c>
      <c r="F1409">
        <v>80.099999999999994</v>
      </c>
      <c r="G1409">
        <v>289</v>
      </c>
      <c r="H1409">
        <v>75.900000000000006</v>
      </c>
      <c r="I1409">
        <v>7.58</v>
      </c>
      <c r="J1409">
        <v>137</v>
      </c>
      <c r="K1409">
        <v>517</v>
      </c>
      <c r="L1409">
        <v>412</v>
      </c>
      <c r="M1409" t="s">
        <v>30</v>
      </c>
      <c r="N1409">
        <v>7</v>
      </c>
      <c r="O1409" t="s">
        <v>56</v>
      </c>
      <c r="P1409">
        <v>22</v>
      </c>
      <c r="Q1409">
        <v>1624</v>
      </c>
      <c r="R1409">
        <v>4</v>
      </c>
      <c r="S1409">
        <v>0</v>
      </c>
      <c r="T1409" t="s">
        <v>47</v>
      </c>
      <c r="U1409" t="s">
        <v>42</v>
      </c>
      <c r="V1409">
        <v>26655</v>
      </c>
      <c r="W1409">
        <v>3.5</v>
      </c>
      <c r="X1409">
        <v>4</v>
      </c>
      <c r="Y1409" t="s">
        <v>61</v>
      </c>
      <c r="Z1409">
        <v>3.61</v>
      </c>
      <c r="AA1409" t="s">
        <v>35</v>
      </c>
    </row>
    <row r="1410" spans="1:27" x14ac:dyDescent="0.3">
      <c r="A1410" t="s">
        <v>48</v>
      </c>
      <c r="B1410" t="s">
        <v>49</v>
      </c>
      <c r="C1410">
        <v>2022</v>
      </c>
      <c r="D1410" t="s">
        <v>68</v>
      </c>
      <c r="E1410">
        <v>38543.18</v>
      </c>
      <c r="F1410">
        <v>45.8</v>
      </c>
      <c r="G1410">
        <v>159</v>
      </c>
      <c r="H1410">
        <v>126.3</v>
      </c>
      <c r="I1410">
        <v>5.27</v>
      </c>
      <c r="J1410">
        <v>175</v>
      </c>
      <c r="K1410">
        <v>312</v>
      </c>
      <c r="L1410">
        <v>260</v>
      </c>
      <c r="M1410" t="s">
        <v>39</v>
      </c>
      <c r="N1410">
        <v>5</v>
      </c>
      <c r="O1410" t="s">
        <v>40</v>
      </c>
      <c r="P1410">
        <v>41.4</v>
      </c>
      <c r="Q1410">
        <v>1872</v>
      </c>
      <c r="R1410">
        <v>5</v>
      </c>
      <c r="S1410">
        <v>0</v>
      </c>
      <c r="T1410" t="s">
        <v>51</v>
      </c>
      <c r="U1410" t="s">
        <v>42</v>
      </c>
      <c r="V1410">
        <v>117943</v>
      </c>
      <c r="W1410">
        <v>3.1</v>
      </c>
      <c r="X1410">
        <v>3</v>
      </c>
      <c r="Y1410" t="s">
        <v>43</v>
      </c>
      <c r="Z1410">
        <v>3.47</v>
      </c>
      <c r="AA1410" t="s">
        <v>35</v>
      </c>
    </row>
    <row r="1411" spans="1:27" x14ac:dyDescent="0.3">
      <c r="A1411" t="s">
        <v>58</v>
      </c>
      <c r="B1411" t="s">
        <v>134</v>
      </c>
      <c r="C1411">
        <v>2023</v>
      </c>
      <c r="D1411" t="s">
        <v>29</v>
      </c>
      <c r="E1411">
        <v>91688.58</v>
      </c>
      <c r="F1411">
        <v>90.5</v>
      </c>
      <c r="G1411">
        <v>311</v>
      </c>
      <c r="H1411">
        <v>240.9</v>
      </c>
      <c r="I1411">
        <v>4.2300000000000004</v>
      </c>
      <c r="J1411">
        <v>192</v>
      </c>
      <c r="K1411">
        <v>427</v>
      </c>
      <c r="L1411">
        <v>373</v>
      </c>
      <c r="M1411" t="s">
        <v>54</v>
      </c>
      <c r="N1411">
        <v>5</v>
      </c>
      <c r="O1411" t="s">
        <v>46</v>
      </c>
      <c r="P1411">
        <v>78.099999999999994</v>
      </c>
      <c r="Q1411">
        <v>1713</v>
      </c>
      <c r="R1411">
        <v>5</v>
      </c>
      <c r="S1411">
        <v>2</v>
      </c>
      <c r="T1411" t="s">
        <v>32</v>
      </c>
      <c r="U1411" t="s">
        <v>38</v>
      </c>
      <c r="V1411">
        <v>45385</v>
      </c>
      <c r="W1411">
        <v>4.0999999999999996</v>
      </c>
      <c r="X1411">
        <v>5</v>
      </c>
      <c r="Y1411" t="s">
        <v>43</v>
      </c>
      <c r="Z1411">
        <v>3.44</v>
      </c>
      <c r="AA1411" t="s">
        <v>35</v>
      </c>
    </row>
    <row r="1412" spans="1:27" x14ac:dyDescent="0.3">
      <c r="A1412" t="s">
        <v>71</v>
      </c>
      <c r="B1412" t="s">
        <v>75</v>
      </c>
      <c r="C1412">
        <v>2023</v>
      </c>
      <c r="D1412" t="s">
        <v>38</v>
      </c>
      <c r="E1412">
        <v>72252.78</v>
      </c>
      <c r="F1412">
        <v>40.799999999999997</v>
      </c>
      <c r="G1412">
        <v>150</v>
      </c>
      <c r="H1412">
        <v>132.5</v>
      </c>
      <c r="I1412">
        <v>6.07</v>
      </c>
      <c r="J1412">
        <v>162</v>
      </c>
      <c r="K1412">
        <v>772</v>
      </c>
      <c r="L1412">
        <v>689</v>
      </c>
      <c r="M1412" t="s">
        <v>54</v>
      </c>
      <c r="N1412">
        <v>5</v>
      </c>
      <c r="O1412" t="s">
        <v>56</v>
      </c>
      <c r="P1412">
        <v>38.799999999999997</v>
      </c>
      <c r="Q1412">
        <v>1553</v>
      </c>
      <c r="R1412">
        <v>4</v>
      </c>
      <c r="S1412">
        <v>0</v>
      </c>
      <c r="T1412" t="s">
        <v>73</v>
      </c>
      <c r="U1412" t="s">
        <v>38</v>
      </c>
      <c r="V1412">
        <v>245833</v>
      </c>
      <c r="W1412">
        <v>3.1</v>
      </c>
      <c r="X1412">
        <v>3</v>
      </c>
      <c r="Y1412" t="s">
        <v>43</v>
      </c>
      <c r="Z1412">
        <v>3.68</v>
      </c>
      <c r="AA1412" t="s">
        <v>35</v>
      </c>
    </row>
    <row r="1413" spans="1:27" x14ac:dyDescent="0.3">
      <c r="A1413" t="s">
        <v>52</v>
      </c>
      <c r="B1413" t="s">
        <v>55</v>
      </c>
      <c r="C1413">
        <v>2025</v>
      </c>
      <c r="D1413" t="s">
        <v>68</v>
      </c>
      <c r="E1413">
        <v>28188.639999999999</v>
      </c>
      <c r="F1413">
        <v>40.299999999999997</v>
      </c>
      <c r="G1413">
        <v>150</v>
      </c>
      <c r="H1413">
        <v>268.7</v>
      </c>
      <c r="I1413">
        <v>6.76</v>
      </c>
      <c r="J1413">
        <v>141</v>
      </c>
      <c r="K1413">
        <v>157</v>
      </c>
      <c r="L1413">
        <v>200</v>
      </c>
      <c r="M1413" t="s">
        <v>30</v>
      </c>
      <c r="N1413">
        <v>7</v>
      </c>
      <c r="O1413" t="s">
        <v>40</v>
      </c>
      <c r="P1413">
        <v>48.1</v>
      </c>
      <c r="Q1413">
        <v>1677</v>
      </c>
      <c r="R1413">
        <v>3</v>
      </c>
      <c r="S1413">
        <v>2</v>
      </c>
      <c r="T1413" t="s">
        <v>47</v>
      </c>
      <c r="U1413" t="s">
        <v>74</v>
      </c>
      <c r="V1413">
        <v>412935</v>
      </c>
      <c r="W1413">
        <v>3.5</v>
      </c>
      <c r="X1413">
        <v>4</v>
      </c>
      <c r="Y1413" t="s">
        <v>43</v>
      </c>
      <c r="Z1413">
        <v>3.72</v>
      </c>
      <c r="AA1413" t="s">
        <v>35</v>
      </c>
    </row>
    <row r="1414" spans="1:27" x14ac:dyDescent="0.3">
      <c r="A1414" t="s">
        <v>71</v>
      </c>
      <c r="B1414" t="s">
        <v>81</v>
      </c>
      <c r="C1414">
        <v>2025</v>
      </c>
      <c r="D1414" t="s">
        <v>68</v>
      </c>
      <c r="E1414">
        <v>32633.03</v>
      </c>
      <c r="F1414">
        <v>80</v>
      </c>
      <c r="G1414">
        <v>279</v>
      </c>
      <c r="H1414">
        <v>131.69999999999999</v>
      </c>
      <c r="I1414">
        <v>6.72</v>
      </c>
      <c r="J1414">
        <v>144</v>
      </c>
      <c r="K1414">
        <v>320</v>
      </c>
      <c r="L1414">
        <v>282</v>
      </c>
      <c r="M1414" t="s">
        <v>54</v>
      </c>
      <c r="N1414">
        <v>5</v>
      </c>
      <c r="O1414" t="s">
        <v>31</v>
      </c>
      <c r="P1414">
        <v>53.4</v>
      </c>
      <c r="Q1414">
        <v>2335</v>
      </c>
      <c r="R1414">
        <v>5</v>
      </c>
      <c r="S1414">
        <v>1</v>
      </c>
      <c r="T1414" t="s">
        <v>73</v>
      </c>
      <c r="U1414" t="s">
        <v>74</v>
      </c>
      <c r="V1414">
        <v>106393</v>
      </c>
      <c r="W1414">
        <v>3.6</v>
      </c>
      <c r="X1414">
        <v>5</v>
      </c>
      <c r="Y1414" t="s">
        <v>43</v>
      </c>
      <c r="Z1414">
        <v>3.49</v>
      </c>
      <c r="AA1414" t="s">
        <v>35</v>
      </c>
    </row>
    <row r="1415" spans="1:27" x14ac:dyDescent="0.3">
      <c r="A1415" t="s">
        <v>52</v>
      </c>
      <c r="B1415" t="s">
        <v>64</v>
      </c>
      <c r="C1415">
        <v>2025</v>
      </c>
      <c r="D1415" t="s">
        <v>29</v>
      </c>
      <c r="E1415">
        <v>61791.69</v>
      </c>
      <c r="F1415">
        <v>82</v>
      </c>
      <c r="G1415">
        <v>283</v>
      </c>
      <c r="H1415">
        <v>322.8</v>
      </c>
      <c r="I1415">
        <v>3.07</v>
      </c>
      <c r="J1415">
        <v>200</v>
      </c>
      <c r="K1415">
        <v>416</v>
      </c>
      <c r="L1415">
        <v>357</v>
      </c>
      <c r="M1415" t="s">
        <v>30</v>
      </c>
      <c r="N1415">
        <v>5</v>
      </c>
      <c r="O1415" t="s">
        <v>65</v>
      </c>
      <c r="P1415">
        <v>16.600000000000001</v>
      </c>
      <c r="Q1415">
        <v>1663</v>
      </c>
      <c r="R1415">
        <v>5</v>
      </c>
      <c r="S1415">
        <v>2</v>
      </c>
      <c r="T1415" t="s">
        <v>47</v>
      </c>
      <c r="U1415" t="s">
        <v>42</v>
      </c>
      <c r="V1415">
        <v>214239</v>
      </c>
      <c r="W1415">
        <v>3.6</v>
      </c>
      <c r="X1415">
        <v>6</v>
      </c>
      <c r="Y1415" t="s">
        <v>34</v>
      </c>
      <c r="Z1415">
        <v>3.45</v>
      </c>
      <c r="AA1415" t="s">
        <v>35</v>
      </c>
    </row>
    <row r="1416" spans="1:27" x14ac:dyDescent="0.3">
      <c r="A1416" t="s">
        <v>76</v>
      </c>
      <c r="B1416" t="s">
        <v>114</v>
      </c>
      <c r="C1416">
        <v>2025</v>
      </c>
      <c r="D1416" t="s">
        <v>29</v>
      </c>
      <c r="E1416">
        <v>97448.38</v>
      </c>
      <c r="F1416">
        <v>102</v>
      </c>
      <c r="G1416">
        <v>335</v>
      </c>
      <c r="H1416">
        <v>186.2</v>
      </c>
      <c r="I1416">
        <v>4.32</v>
      </c>
      <c r="J1416">
        <v>187</v>
      </c>
      <c r="K1416">
        <v>1000</v>
      </c>
      <c r="L1416">
        <v>874</v>
      </c>
      <c r="M1416" t="s">
        <v>54</v>
      </c>
      <c r="N1416">
        <v>5</v>
      </c>
      <c r="O1416" t="s">
        <v>57</v>
      </c>
      <c r="P1416">
        <v>15.7</v>
      </c>
      <c r="Q1416">
        <v>1500</v>
      </c>
      <c r="R1416">
        <v>3</v>
      </c>
      <c r="S1416">
        <v>1</v>
      </c>
      <c r="T1416" t="s">
        <v>51</v>
      </c>
      <c r="U1416" t="s">
        <v>38</v>
      </c>
      <c r="V1416">
        <v>81695</v>
      </c>
      <c r="W1416">
        <v>3.7</v>
      </c>
      <c r="X1416">
        <v>3</v>
      </c>
      <c r="Y1416" t="s">
        <v>43</v>
      </c>
      <c r="Z1416">
        <v>3.28</v>
      </c>
      <c r="AA1416" t="s">
        <v>35</v>
      </c>
    </row>
    <row r="1417" spans="1:27" x14ac:dyDescent="0.3">
      <c r="A1417" t="s">
        <v>100</v>
      </c>
      <c r="B1417" t="s">
        <v>101</v>
      </c>
      <c r="C1417">
        <v>2025</v>
      </c>
      <c r="D1417" t="s">
        <v>63</v>
      </c>
      <c r="E1417">
        <v>75082.66</v>
      </c>
      <c r="F1417">
        <v>69</v>
      </c>
      <c r="G1417">
        <v>236</v>
      </c>
      <c r="H1417">
        <v>113.7</v>
      </c>
      <c r="I1417">
        <v>5.3</v>
      </c>
      <c r="J1417">
        <v>173</v>
      </c>
      <c r="K1417">
        <v>685</v>
      </c>
      <c r="L1417">
        <v>654</v>
      </c>
      <c r="M1417" t="s">
        <v>30</v>
      </c>
      <c r="N1417">
        <v>5</v>
      </c>
      <c r="O1417" t="s">
        <v>65</v>
      </c>
      <c r="P1417">
        <v>15.2</v>
      </c>
      <c r="Q1417">
        <v>1800</v>
      </c>
      <c r="R1417">
        <v>5</v>
      </c>
      <c r="S1417">
        <v>0</v>
      </c>
      <c r="T1417" t="s">
        <v>73</v>
      </c>
      <c r="U1417" t="s">
        <v>38</v>
      </c>
      <c r="V1417">
        <v>6090</v>
      </c>
      <c r="W1417">
        <v>3.6</v>
      </c>
      <c r="X1417">
        <v>4</v>
      </c>
      <c r="Y1417" t="s">
        <v>43</v>
      </c>
      <c r="Z1417">
        <v>3.42</v>
      </c>
      <c r="AA1417" t="s">
        <v>43</v>
      </c>
    </row>
    <row r="1418" spans="1:27" x14ac:dyDescent="0.3">
      <c r="A1418" t="s">
        <v>52</v>
      </c>
      <c r="B1418" t="s">
        <v>55</v>
      </c>
      <c r="C1418">
        <v>2025</v>
      </c>
      <c r="D1418" t="s">
        <v>38</v>
      </c>
      <c r="E1418">
        <v>56042.12</v>
      </c>
      <c r="F1418">
        <v>66.900000000000006</v>
      </c>
      <c r="G1418">
        <v>222</v>
      </c>
      <c r="H1418">
        <v>343.9</v>
      </c>
      <c r="I1418">
        <v>6.66</v>
      </c>
      <c r="J1418">
        <v>139</v>
      </c>
      <c r="K1418">
        <v>381</v>
      </c>
      <c r="L1418">
        <v>308</v>
      </c>
      <c r="M1418" t="s">
        <v>30</v>
      </c>
      <c r="N1418">
        <v>5</v>
      </c>
      <c r="O1418" t="s">
        <v>57</v>
      </c>
      <c r="P1418">
        <v>24</v>
      </c>
      <c r="Q1418">
        <v>1801</v>
      </c>
      <c r="R1418">
        <v>4</v>
      </c>
      <c r="S1418">
        <v>3</v>
      </c>
      <c r="T1418" t="s">
        <v>47</v>
      </c>
      <c r="U1418" t="s">
        <v>42</v>
      </c>
      <c r="V1418">
        <v>439817</v>
      </c>
      <c r="W1418">
        <v>3.5</v>
      </c>
      <c r="X1418">
        <v>4</v>
      </c>
      <c r="Y1418" t="s">
        <v>43</v>
      </c>
      <c r="Z1418">
        <v>3.32</v>
      </c>
      <c r="AA1418" t="s">
        <v>35</v>
      </c>
    </row>
    <row r="1419" spans="1:27" x14ac:dyDescent="0.3">
      <c r="A1419" t="s">
        <v>52</v>
      </c>
      <c r="B1419" t="s">
        <v>55</v>
      </c>
      <c r="C1419">
        <v>2025</v>
      </c>
      <c r="D1419" t="s">
        <v>63</v>
      </c>
      <c r="E1419">
        <v>102064.68</v>
      </c>
      <c r="F1419">
        <v>49.3</v>
      </c>
      <c r="G1419">
        <v>183</v>
      </c>
      <c r="H1419">
        <v>218.6</v>
      </c>
      <c r="I1419">
        <v>5.76</v>
      </c>
      <c r="J1419">
        <v>163</v>
      </c>
      <c r="K1419">
        <v>752</v>
      </c>
      <c r="L1419">
        <v>628</v>
      </c>
      <c r="M1419" t="s">
        <v>39</v>
      </c>
      <c r="N1419">
        <v>5</v>
      </c>
      <c r="O1419" t="s">
        <v>40</v>
      </c>
      <c r="P1419">
        <v>46.7</v>
      </c>
      <c r="Q1419">
        <v>1950</v>
      </c>
      <c r="R1419">
        <v>5</v>
      </c>
      <c r="S1419">
        <v>2</v>
      </c>
      <c r="T1419" t="s">
        <v>47</v>
      </c>
      <c r="U1419" t="s">
        <v>33</v>
      </c>
      <c r="V1419">
        <v>469259</v>
      </c>
      <c r="W1419">
        <v>3.7</v>
      </c>
      <c r="X1419">
        <v>4</v>
      </c>
      <c r="Y1419" t="s">
        <v>43</v>
      </c>
      <c r="Z1419">
        <v>3.71</v>
      </c>
      <c r="AA1419" t="s">
        <v>35</v>
      </c>
    </row>
    <row r="1420" spans="1:27" x14ac:dyDescent="0.3">
      <c r="A1420" t="s">
        <v>27</v>
      </c>
      <c r="B1420" t="s">
        <v>83</v>
      </c>
      <c r="C1420">
        <v>2024</v>
      </c>
      <c r="D1420" t="s">
        <v>29</v>
      </c>
      <c r="E1420">
        <v>92355.03</v>
      </c>
      <c r="F1420">
        <v>70.8</v>
      </c>
      <c r="G1420">
        <v>243</v>
      </c>
      <c r="H1420">
        <v>217.8</v>
      </c>
      <c r="I1420">
        <v>3.65</v>
      </c>
      <c r="J1420">
        <v>193</v>
      </c>
      <c r="K1420">
        <v>1000</v>
      </c>
      <c r="L1420">
        <v>926</v>
      </c>
      <c r="M1420" t="s">
        <v>54</v>
      </c>
      <c r="N1420">
        <v>5</v>
      </c>
      <c r="O1420" t="s">
        <v>31</v>
      </c>
      <c r="P1420">
        <v>54</v>
      </c>
      <c r="Q1420">
        <v>2436</v>
      </c>
      <c r="R1420">
        <v>4</v>
      </c>
      <c r="S1420">
        <v>1</v>
      </c>
      <c r="T1420" t="s">
        <v>32</v>
      </c>
      <c r="U1420" t="s">
        <v>38</v>
      </c>
      <c r="V1420">
        <v>216375</v>
      </c>
      <c r="W1420">
        <v>3.4</v>
      </c>
      <c r="X1420">
        <v>5</v>
      </c>
      <c r="Y1420" t="s">
        <v>34</v>
      </c>
      <c r="Z1420">
        <v>3.43</v>
      </c>
      <c r="AA1420" t="s">
        <v>35</v>
      </c>
    </row>
    <row r="1421" spans="1:27" x14ac:dyDescent="0.3">
      <c r="A1421" t="s">
        <v>102</v>
      </c>
      <c r="B1421" t="s">
        <v>103</v>
      </c>
      <c r="C1421">
        <v>2025</v>
      </c>
      <c r="D1421" t="s">
        <v>50</v>
      </c>
      <c r="E1421">
        <v>105185.41</v>
      </c>
      <c r="F1421">
        <v>109.2</v>
      </c>
      <c r="G1421">
        <v>352</v>
      </c>
      <c r="H1421">
        <v>76.3</v>
      </c>
      <c r="I1421">
        <v>4.17</v>
      </c>
      <c r="J1421">
        <v>187</v>
      </c>
      <c r="K1421">
        <v>1000</v>
      </c>
      <c r="L1421">
        <v>900</v>
      </c>
      <c r="M1421" t="s">
        <v>39</v>
      </c>
      <c r="N1421">
        <v>5</v>
      </c>
      <c r="O1421" t="s">
        <v>56</v>
      </c>
      <c r="P1421">
        <v>25.5</v>
      </c>
      <c r="Q1421">
        <v>1527</v>
      </c>
      <c r="R1421">
        <v>4</v>
      </c>
      <c r="S1421">
        <v>1</v>
      </c>
      <c r="T1421" t="s">
        <v>47</v>
      </c>
      <c r="U1421" t="s">
        <v>33</v>
      </c>
      <c r="V1421">
        <v>20140</v>
      </c>
      <c r="W1421">
        <v>3.5</v>
      </c>
      <c r="X1421">
        <v>5</v>
      </c>
      <c r="Y1421" t="s">
        <v>43</v>
      </c>
      <c r="Z1421">
        <v>3.22</v>
      </c>
      <c r="AA1421" t="s">
        <v>35</v>
      </c>
    </row>
    <row r="1422" spans="1:27" x14ac:dyDescent="0.3">
      <c r="A1422" t="s">
        <v>71</v>
      </c>
      <c r="B1422" t="s">
        <v>96</v>
      </c>
      <c r="C1422">
        <v>2023</v>
      </c>
      <c r="D1422" t="s">
        <v>63</v>
      </c>
      <c r="E1422">
        <v>20788.8</v>
      </c>
      <c r="F1422">
        <v>46.9</v>
      </c>
      <c r="G1422">
        <v>161</v>
      </c>
      <c r="H1422">
        <v>93.6</v>
      </c>
      <c r="I1422">
        <v>6.51</v>
      </c>
      <c r="J1422">
        <v>150</v>
      </c>
      <c r="K1422">
        <v>150</v>
      </c>
      <c r="L1422">
        <v>200</v>
      </c>
      <c r="M1422" t="s">
        <v>54</v>
      </c>
      <c r="N1422">
        <v>5</v>
      </c>
      <c r="O1422" t="s">
        <v>46</v>
      </c>
      <c r="P1422">
        <v>79.400000000000006</v>
      </c>
      <c r="Q1422">
        <v>1923</v>
      </c>
      <c r="R1422">
        <v>4</v>
      </c>
      <c r="S1422">
        <v>1</v>
      </c>
      <c r="T1422" t="s">
        <v>73</v>
      </c>
      <c r="U1422" t="s">
        <v>74</v>
      </c>
      <c r="V1422">
        <v>208014</v>
      </c>
      <c r="W1422">
        <v>3.2</v>
      </c>
      <c r="X1422">
        <v>4</v>
      </c>
      <c r="Y1422" t="s">
        <v>43</v>
      </c>
      <c r="Z1422">
        <v>3.43</v>
      </c>
      <c r="AA1422" t="s">
        <v>35</v>
      </c>
    </row>
    <row r="1423" spans="1:27" x14ac:dyDescent="0.3">
      <c r="A1423" t="s">
        <v>76</v>
      </c>
      <c r="B1423" t="s">
        <v>87</v>
      </c>
      <c r="C1423">
        <v>2024</v>
      </c>
      <c r="D1423" t="s">
        <v>29</v>
      </c>
      <c r="E1423">
        <v>97949.17</v>
      </c>
      <c r="F1423">
        <v>88.6</v>
      </c>
      <c r="G1423">
        <v>324</v>
      </c>
      <c r="H1423">
        <v>170.9</v>
      </c>
      <c r="I1423">
        <v>2.96</v>
      </c>
      <c r="J1423">
        <v>200</v>
      </c>
      <c r="K1423">
        <v>1000</v>
      </c>
      <c r="L1423">
        <v>850</v>
      </c>
      <c r="M1423" t="s">
        <v>30</v>
      </c>
      <c r="N1423">
        <v>5</v>
      </c>
      <c r="O1423" t="s">
        <v>56</v>
      </c>
      <c r="P1423">
        <v>19.7</v>
      </c>
      <c r="Q1423">
        <v>1500</v>
      </c>
      <c r="R1423">
        <v>5</v>
      </c>
      <c r="S1423">
        <v>1</v>
      </c>
      <c r="T1423" t="s">
        <v>51</v>
      </c>
      <c r="U1423" t="s">
        <v>38</v>
      </c>
      <c r="V1423">
        <v>105426</v>
      </c>
      <c r="W1423">
        <v>3.8</v>
      </c>
      <c r="X1423">
        <v>4</v>
      </c>
      <c r="Y1423" t="s">
        <v>34</v>
      </c>
      <c r="Z1423">
        <v>3.66</v>
      </c>
      <c r="AA1423" t="s">
        <v>35</v>
      </c>
    </row>
    <row r="1424" spans="1:27" x14ac:dyDescent="0.3">
      <c r="A1424" t="s">
        <v>52</v>
      </c>
      <c r="B1424" t="s">
        <v>80</v>
      </c>
      <c r="C1424">
        <v>2024</v>
      </c>
      <c r="D1424" t="s">
        <v>38</v>
      </c>
      <c r="E1424">
        <v>112719.54</v>
      </c>
      <c r="F1424">
        <v>67.5</v>
      </c>
      <c r="G1424">
        <v>240</v>
      </c>
      <c r="H1424">
        <v>242.8</v>
      </c>
      <c r="I1424">
        <v>5.41</v>
      </c>
      <c r="J1424">
        <v>170</v>
      </c>
      <c r="K1424">
        <v>810</v>
      </c>
      <c r="L1424">
        <v>732</v>
      </c>
      <c r="M1424" t="s">
        <v>30</v>
      </c>
      <c r="N1424">
        <v>5</v>
      </c>
      <c r="O1424" t="s">
        <v>31</v>
      </c>
      <c r="P1424">
        <v>56.2</v>
      </c>
      <c r="Q1424">
        <v>2564</v>
      </c>
      <c r="R1424">
        <v>5</v>
      </c>
      <c r="S1424">
        <v>2</v>
      </c>
      <c r="T1424" t="s">
        <v>47</v>
      </c>
      <c r="U1424" t="s">
        <v>33</v>
      </c>
      <c r="V1424">
        <v>138409</v>
      </c>
      <c r="W1424">
        <v>3.9</v>
      </c>
      <c r="X1424">
        <v>5</v>
      </c>
      <c r="Y1424" t="s">
        <v>43</v>
      </c>
      <c r="Z1424">
        <v>3.56</v>
      </c>
      <c r="AA1424" t="s">
        <v>35</v>
      </c>
    </row>
    <row r="1425" spans="1:27" x14ac:dyDescent="0.3">
      <c r="A1425" t="s">
        <v>52</v>
      </c>
      <c r="B1425" t="s">
        <v>86</v>
      </c>
      <c r="C1425">
        <v>2025</v>
      </c>
      <c r="D1425" t="s">
        <v>38</v>
      </c>
      <c r="E1425">
        <v>155604.37</v>
      </c>
      <c r="F1425">
        <v>46.7</v>
      </c>
      <c r="G1425">
        <v>150</v>
      </c>
      <c r="H1425">
        <v>305.39999999999998</v>
      </c>
      <c r="I1425">
        <v>5.0599999999999996</v>
      </c>
      <c r="J1425">
        <v>177</v>
      </c>
      <c r="K1425">
        <v>1000</v>
      </c>
      <c r="L1425">
        <v>909</v>
      </c>
      <c r="M1425" t="s">
        <v>30</v>
      </c>
      <c r="N1425">
        <v>7</v>
      </c>
      <c r="O1425" t="s">
        <v>46</v>
      </c>
      <c r="P1425">
        <v>78.099999999999994</v>
      </c>
      <c r="Q1425">
        <v>1625</v>
      </c>
      <c r="R1425">
        <v>4</v>
      </c>
      <c r="S1425">
        <v>2</v>
      </c>
      <c r="T1425" t="s">
        <v>47</v>
      </c>
      <c r="U1425" t="s">
        <v>33</v>
      </c>
      <c r="V1425">
        <v>240825</v>
      </c>
      <c r="W1425">
        <v>3.2</v>
      </c>
      <c r="X1425">
        <v>6</v>
      </c>
      <c r="Y1425" t="s">
        <v>43</v>
      </c>
      <c r="Z1425">
        <v>3.21</v>
      </c>
      <c r="AA1425" t="s">
        <v>35</v>
      </c>
    </row>
    <row r="1426" spans="1:27" x14ac:dyDescent="0.3">
      <c r="A1426" t="s">
        <v>107</v>
      </c>
      <c r="B1426" t="s">
        <v>108</v>
      </c>
      <c r="C1426">
        <v>2023</v>
      </c>
      <c r="D1426" t="s">
        <v>68</v>
      </c>
      <c r="E1426">
        <v>107490.34</v>
      </c>
      <c r="F1426">
        <v>61.7</v>
      </c>
      <c r="G1426">
        <v>224</v>
      </c>
      <c r="H1426">
        <v>251.6</v>
      </c>
      <c r="I1426">
        <v>6.15</v>
      </c>
      <c r="J1426">
        <v>161</v>
      </c>
      <c r="K1426">
        <v>337</v>
      </c>
      <c r="L1426">
        <v>320</v>
      </c>
      <c r="M1426" t="s">
        <v>30</v>
      </c>
      <c r="N1426">
        <v>5</v>
      </c>
      <c r="O1426" t="s">
        <v>40</v>
      </c>
      <c r="P1426">
        <v>39.700000000000003</v>
      </c>
      <c r="Q1426">
        <v>1666</v>
      </c>
      <c r="R1426">
        <v>4</v>
      </c>
      <c r="S1426">
        <v>2</v>
      </c>
      <c r="T1426" t="s">
        <v>32</v>
      </c>
      <c r="U1426" t="s">
        <v>33</v>
      </c>
      <c r="V1426">
        <v>2249</v>
      </c>
      <c r="W1426">
        <v>3.5</v>
      </c>
      <c r="X1426">
        <v>8</v>
      </c>
      <c r="Y1426" t="s">
        <v>43</v>
      </c>
      <c r="Z1426">
        <v>3.63</v>
      </c>
      <c r="AA1426" t="s">
        <v>69</v>
      </c>
    </row>
    <row r="1427" spans="1:27" x14ac:dyDescent="0.3">
      <c r="A1427" t="s">
        <v>66</v>
      </c>
      <c r="B1427" t="s">
        <v>119</v>
      </c>
      <c r="C1427">
        <v>2023</v>
      </c>
      <c r="D1427" t="s">
        <v>38</v>
      </c>
      <c r="E1427">
        <v>100837.22</v>
      </c>
      <c r="F1427">
        <v>71.599999999999994</v>
      </c>
      <c r="G1427">
        <v>259</v>
      </c>
      <c r="H1427">
        <v>138.19999999999999</v>
      </c>
      <c r="I1427">
        <v>5.42</v>
      </c>
      <c r="J1427">
        <v>163</v>
      </c>
      <c r="K1427">
        <v>841</v>
      </c>
      <c r="L1427">
        <v>735</v>
      </c>
      <c r="M1427" t="s">
        <v>30</v>
      </c>
      <c r="N1427">
        <v>5</v>
      </c>
      <c r="O1427" t="s">
        <v>65</v>
      </c>
      <c r="P1427">
        <v>36.700000000000003</v>
      </c>
      <c r="Q1427">
        <v>1500</v>
      </c>
      <c r="R1427">
        <v>5</v>
      </c>
      <c r="S1427">
        <v>0</v>
      </c>
      <c r="T1427" t="s">
        <v>47</v>
      </c>
      <c r="U1427" t="s">
        <v>33</v>
      </c>
      <c r="V1427">
        <v>27700</v>
      </c>
      <c r="W1427">
        <v>3.3</v>
      </c>
      <c r="X1427">
        <v>5</v>
      </c>
      <c r="Y1427" t="s">
        <v>43</v>
      </c>
      <c r="Z1427">
        <v>3.62</v>
      </c>
      <c r="AA1427" t="s">
        <v>35</v>
      </c>
    </row>
    <row r="1428" spans="1:27" x14ac:dyDescent="0.3">
      <c r="A1428" t="s">
        <v>52</v>
      </c>
      <c r="B1428" t="s">
        <v>80</v>
      </c>
      <c r="C1428">
        <v>2024</v>
      </c>
      <c r="D1428" t="s">
        <v>63</v>
      </c>
      <c r="E1428">
        <v>112537.97</v>
      </c>
      <c r="F1428">
        <v>73.400000000000006</v>
      </c>
      <c r="G1428">
        <v>256</v>
      </c>
      <c r="H1428">
        <v>247.7</v>
      </c>
      <c r="I1428">
        <v>7.93</v>
      </c>
      <c r="J1428">
        <v>125</v>
      </c>
      <c r="K1428">
        <v>851</v>
      </c>
      <c r="L1428">
        <v>715</v>
      </c>
      <c r="M1428" t="s">
        <v>39</v>
      </c>
      <c r="N1428">
        <v>5</v>
      </c>
      <c r="O1428" t="s">
        <v>31</v>
      </c>
      <c r="P1428">
        <v>69.8</v>
      </c>
      <c r="Q1428">
        <v>2742</v>
      </c>
      <c r="R1428">
        <v>4</v>
      </c>
      <c r="S1428">
        <v>3</v>
      </c>
      <c r="T1428" t="s">
        <v>47</v>
      </c>
      <c r="U1428" t="s">
        <v>33</v>
      </c>
      <c r="V1428">
        <v>200169</v>
      </c>
      <c r="W1428">
        <v>3.6</v>
      </c>
      <c r="X1428">
        <v>5</v>
      </c>
      <c r="Y1428" t="s">
        <v>61</v>
      </c>
      <c r="Z1428">
        <v>3.49</v>
      </c>
      <c r="AA1428" t="s">
        <v>35</v>
      </c>
    </row>
    <row r="1429" spans="1:27" x14ac:dyDescent="0.3">
      <c r="A1429" t="s">
        <v>36</v>
      </c>
      <c r="B1429" t="s">
        <v>120</v>
      </c>
      <c r="C1429">
        <v>2024</v>
      </c>
      <c r="D1429" t="s">
        <v>68</v>
      </c>
      <c r="E1429">
        <v>65164.24</v>
      </c>
      <c r="F1429">
        <v>66</v>
      </c>
      <c r="G1429">
        <v>218</v>
      </c>
      <c r="H1429">
        <v>67.5</v>
      </c>
      <c r="I1429">
        <v>6.6</v>
      </c>
      <c r="J1429">
        <v>152</v>
      </c>
      <c r="K1429">
        <v>771</v>
      </c>
      <c r="L1429">
        <v>727</v>
      </c>
      <c r="M1429" t="s">
        <v>39</v>
      </c>
      <c r="N1429">
        <v>5</v>
      </c>
      <c r="O1429" t="s">
        <v>40</v>
      </c>
      <c r="P1429">
        <v>41.6</v>
      </c>
      <c r="Q1429">
        <v>2093</v>
      </c>
      <c r="R1429">
        <v>5</v>
      </c>
      <c r="S1429">
        <v>0</v>
      </c>
      <c r="T1429" t="s">
        <v>41</v>
      </c>
      <c r="U1429" t="s">
        <v>38</v>
      </c>
      <c r="V1429">
        <v>21633</v>
      </c>
      <c r="W1429">
        <v>3.4</v>
      </c>
      <c r="X1429">
        <v>5</v>
      </c>
      <c r="Y1429" t="s">
        <v>43</v>
      </c>
      <c r="Z1429">
        <v>3.3</v>
      </c>
      <c r="AA1429" t="s">
        <v>35</v>
      </c>
    </row>
    <row r="1430" spans="1:27" x14ac:dyDescent="0.3">
      <c r="A1430" t="s">
        <v>91</v>
      </c>
      <c r="B1430" t="s">
        <v>124</v>
      </c>
      <c r="C1430">
        <v>2025</v>
      </c>
      <c r="D1430" t="s">
        <v>38</v>
      </c>
      <c r="E1430">
        <v>134002.07</v>
      </c>
      <c r="F1430">
        <v>78.3</v>
      </c>
      <c r="G1430">
        <v>245</v>
      </c>
      <c r="H1430">
        <v>120.2</v>
      </c>
      <c r="I1430">
        <v>7.71</v>
      </c>
      <c r="J1430">
        <v>132</v>
      </c>
      <c r="K1430">
        <v>1000</v>
      </c>
      <c r="L1430">
        <v>918</v>
      </c>
      <c r="M1430" t="s">
        <v>30</v>
      </c>
      <c r="N1430">
        <v>7</v>
      </c>
      <c r="O1430" t="s">
        <v>57</v>
      </c>
      <c r="P1430">
        <v>16</v>
      </c>
      <c r="Q1430">
        <v>1795</v>
      </c>
      <c r="R1430">
        <v>5</v>
      </c>
      <c r="S1430">
        <v>1</v>
      </c>
      <c r="T1430" t="s">
        <v>32</v>
      </c>
      <c r="U1430" t="s">
        <v>33</v>
      </c>
      <c r="V1430">
        <v>54751</v>
      </c>
      <c r="W1430">
        <v>3.4</v>
      </c>
      <c r="X1430">
        <v>8</v>
      </c>
      <c r="Y1430" t="s">
        <v>61</v>
      </c>
      <c r="Z1430">
        <v>3.13</v>
      </c>
      <c r="AA1430" t="s">
        <v>35</v>
      </c>
    </row>
    <row r="1431" spans="1:27" x14ac:dyDescent="0.3">
      <c r="A1431" t="s">
        <v>58</v>
      </c>
      <c r="B1431" t="s">
        <v>134</v>
      </c>
      <c r="C1431">
        <v>2025</v>
      </c>
      <c r="D1431" t="s">
        <v>63</v>
      </c>
      <c r="E1431">
        <v>125283.58</v>
      </c>
      <c r="F1431">
        <v>75.599999999999994</v>
      </c>
      <c r="G1431">
        <v>264</v>
      </c>
      <c r="H1431">
        <v>123.7</v>
      </c>
      <c r="I1431">
        <v>7.57</v>
      </c>
      <c r="J1431">
        <v>138</v>
      </c>
      <c r="K1431">
        <v>747</v>
      </c>
      <c r="L1431">
        <v>634</v>
      </c>
      <c r="M1431" t="s">
        <v>39</v>
      </c>
      <c r="N1431">
        <v>7</v>
      </c>
      <c r="O1431" t="s">
        <v>31</v>
      </c>
      <c r="P1431">
        <v>74.400000000000006</v>
      </c>
      <c r="Q1431">
        <v>2720</v>
      </c>
      <c r="R1431">
        <v>4</v>
      </c>
      <c r="S1431">
        <v>1</v>
      </c>
      <c r="T1431" t="s">
        <v>32</v>
      </c>
      <c r="U1431" t="s">
        <v>33</v>
      </c>
      <c r="V1431">
        <v>50741</v>
      </c>
      <c r="W1431">
        <v>4.2</v>
      </c>
      <c r="X1431">
        <v>7</v>
      </c>
      <c r="Y1431" t="s">
        <v>61</v>
      </c>
      <c r="Z1431">
        <v>3.49</v>
      </c>
      <c r="AA1431" t="s">
        <v>35</v>
      </c>
    </row>
    <row r="1432" spans="1:27" x14ac:dyDescent="0.3">
      <c r="A1432" t="s">
        <v>27</v>
      </c>
      <c r="B1432" t="s">
        <v>93</v>
      </c>
      <c r="C1432">
        <v>2022</v>
      </c>
      <c r="D1432" t="s">
        <v>63</v>
      </c>
      <c r="E1432">
        <v>53614.66</v>
      </c>
      <c r="F1432">
        <v>63.7</v>
      </c>
      <c r="G1432">
        <v>213</v>
      </c>
      <c r="H1432">
        <v>138.19999999999999</v>
      </c>
      <c r="I1432">
        <v>5.95</v>
      </c>
      <c r="J1432">
        <v>160</v>
      </c>
      <c r="K1432">
        <v>530</v>
      </c>
      <c r="L1432">
        <v>526</v>
      </c>
      <c r="M1432" t="s">
        <v>39</v>
      </c>
      <c r="N1432">
        <v>5</v>
      </c>
      <c r="O1432" t="s">
        <v>40</v>
      </c>
      <c r="P1432">
        <v>44.8</v>
      </c>
      <c r="Q1432">
        <v>2264</v>
      </c>
      <c r="R1432">
        <v>4</v>
      </c>
      <c r="S1432">
        <v>0</v>
      </c>
      <c r="T1432" t="s">
        <v>32</v>
      </c>
      <c r="U1432" t="s">
        <v>42</v>
      </c>
      <c r="V1432">
        <v>208794</v>
      </c>
      <c r="W1432">
        <v>3.4</v>
      </c>
      <c r="X1432">
        <v>4</v>
      </c>
      <c r="Y1432" t="s">
        <v>43</v>
      </c>
      <c r="Z1432">
        <v>3.34</v>
      </c>
      <c r="AA1432" t="s">
        <v>35</v>
      </c>
    </row>
    <row r="1433" spans="1:27" x14ac:dyDescent="0.3">
      <c r="A1433" t="s">
        <v>76</v>
      </c>
      <c r="B1433" t="s">
        <v>98</v>
      </c>
      <c r="C1433">
        <v>2021</v>
      </c>
      <c r="D1433" t="s">
        <v>29</v>
      </c>
      <c r="E1433">
        <v>54289.29</v>
      </c>
      <c r="F1433">
        <v>101.8</v>
      </c>
      <c r="G1433">
        <v>323</v>
      </c>
      <c r="H1433">
        <v>214.9</v>
      </c>
      <c r="I1433">
        <v>3.67</v>
      </c>
      <c r="J1433">
        <v>196</v>
      </c>
      <c r="K1433">
        <v>603</v>
      </c>
      <c r="L1433">
        <v>568</v>
      </c>
      <c r="M1433" t="s">
        <v>39</v>
      </c>
      <c r="N1433">
        <v>7</v>
      </c>
      <c r="O1433" t="s">
        <v>56</v>
      </c>
      <c r="P1433">
        <v>17.8</v>
      </c>
      <c r="Q1433">
        <v>1707</v>
      </c>
      <c r="R1433">
        <v>4</v>
      </c>
      <c r="S1433">
        <v>1</v>
      </c>
      <c r="T1433" t="s">
        <v>51</v>
      </c>
      <c r="U1433" t="s">
        <v>42</v>
      </c>
      <c r="V1433">
        <v>110889</v>
      </c>
      <c r="W1433">
        <v>3.7</v>
      </c>
      <c r="X1433">
        <v>4</v>
      </c>
      <c r="Y1433" t="s">
        <v>34</v>
      </c>
      <c r="Z1433">
        <v>3.17</v>
      </c>
      <c r="AA1433" t="s">
        <v>35</v>
      </c>
    </row>
    <row r="1434" spans="1:27" x14ac:dyDescent="0.3">
      <c r="A1434" t="s">
        <v>76</v>
      </c>
      <c r="B1434" t="s">
        <v>98</v>
      </c>
      <c r="C1434">
        <v>2023</v>
      </c>
      <c r="D1434" t="s">
        <v>29</v>
      </c>
      <c r="E1434">
        <v>69817.039999999994</v>
      </c>
      <c r="F1434">
        <v>113.2</v>
      </c>
      <c r="G1434">
        <v>415</v>
      </c>
      <c r="H1434">
        <v>171.3</v>
      </c>
      <c r="I1434">
        <v>3.01</v>
      </c>
      <c r="J1434">
        <v>198</v>
      </c>
      <c r="K1434">
        <v>899</v>
      </c>
      <c r="L1434">
        <v>830</v>
      </c>
      <c r="M1434" t="s">
        <v>30</v>
      </c>
      <c r="N1434">
        <v>5</v>
      </c>
      <c r="O1434" t="s">
        <v>46</v>
      </c>
      <c r="P1434">
        <v>62</v>
      </c>
      <c r="Q1434">
        <v>1643</v>
      </c>
      <c r="R1434">
        <v>5</v>
      </c>
      <c r="S1434">
        <v>1</v>
      </c>
      <c r="T1434" t="s">
        <v>51</v>
      </c>
      <c r="U1434" t="s">
        <v>38</v>
      </c>
      <c r="V1434">
        <v>127527</v>
      </c>
      <c r="W1434">
        <v>3.6</v>
      </c>
      <c r="X1434">
        <v>4</v>
      </c>
      <c r="Y1434" t="s">
        <v>34</v>
      </c>
      <c r="Z1434">
        <v>3.67</v>
      </c>
      <c r="AA1434" t="s">
        <v>35</v>
      </c>
    </row>
    <row r="1435" spans="1:27" x14ac:dyDescent="0.3">
      <c r="A1435" t="s">
        <v>91</v>
      </c>
      <c r="B1435" t="s">
        <v>124</v>
      </c>
      <c r="C1435">
        <v>2024</v>
      </c>
      <c r="D1435" t="s">
        <v>63</v>
      </c>
      <c r="E1435">
        <v>47596.94</v>
      </c>
      <c r="F1435">
        <v>81.099999999999994</v>
      </c>
      <c r="G1435">
        <v>287</v>
      </c>
      <c r="H1435">
        <v>123</v>
      </c>
      <c r="I1435">
        <v>7.53</v>
      </c>
      <c r="J1435">
        <v>135</v>
      </c>
      <c r="K1435">
        <v>169</v>
      </c>
      <c r="L1435">
        <v>200</v>
      </c>
      <c r="M1435" t="s">
        <v>39</v>
      </c>
      <c r="N1435">
        <v>7</v>
      </c>
      <c r="O1435" t="s">
        <v>65</v>
      </c>
      <c r="P1435">
        <v>15.4</v>
      </c>
      <c r="Q1435">
        <v>1577</v>
      </c>
      <c r="R1435">
        <v>5</v>
      </c>
      <c r="S1435">
        <v>1</v>
      </c>
      <c r="T1435" t="s">
        <v>32</v>
      </c>
      <c r="U1435" t="s">
        <v>42</v>
      </c>
      <c r="V1435">
        <v>22877</v>
      </c>
      <c r="W1435">
        <v>3.6</v>
      </c>
      <c r="X1435">
        <v>7</v>
      </c>
      <c r="Y1435" t="s">
        <v>61</v>
      </c>
      <c r="Z1435">
        <v>3.54</v>
      </c>
      <c r="AA1435" t="s">
        <v>35</v>
      </c>
    </row>
    <row r="1436" spans="1:27" x14ac:dyDescent="0.3">
      <c r="A1436" t="s">
        <v>52</v>
      </c>
      <c r="B1436" t="s">
        <v>55</v>
      </c>
      <c r="C1436">
        <v>2024</v>
      </c>
      <c r="D1436" t="s">
        <v>50</v>
      </c>
      <c r="E1436">
        <v>50416.800000000003</v>
      </c>
      <c r="F1436">
        <v>92.4</v>
      </c>
      <c r="G1436">
        <v>336</v>
      </c>
      <c r="H1436">
        <v>349.4</v>
      </c>
      <c r="I1436">
        <v>5.31</v>
      </c>
      <c r="J1436">
        <v>170</v>
      </c>
      <c r="K1436">
        <v>355</v>
      </c>
      <c r="L1436">
        <v>348</v>
      </c>
      <c r="M1436" t="s">
        <v>54</v>
      </c>
      <c r="N1436">
        <v>5</v>
      </c>
      <c r="O1436" t="s">
        <v>65</v>
      </c>
      <c r="P1436">
        <v>24.1</v>
      </c>
      <c r="Q1436">
        <v>1587</v>
      </c>
      <c r="R1436">
        <v>4</v>
      </c>
      <c r="S1436">
        <v>2</v>
      </c>
      <c r="T1436" t="s">
        <v>47</v>
      </c>
      <c r="U1436" t="s">
        <v>42</v>
      </c>
      <c r="V1436">
        <v>444988</v>
      </c>
      <c r="W1436">
        <v>3.8</v>
      </c>
      <c r="X1436">
        <v>5</v>
      </c>
      <c r="Y1436" t="s">
        <v>43</v>
      </c>
      <c r="Z1436">
        <v>3.64</v>
      </c>
      <c r="AA1436" t="s">
        <v>35</v>
      </c>
    </row>
    <row r="1437" spans="1:27" x14ac:dyDescent="0.3">
      <c r="A1437" t="s">
        <v>52</v>
      </c>
      <c r="B1437" t="s">
        <v>53</v>
      </c>
      <c r="C1437">
        <v>2025</v>
      </c>
      <c r="D1437" t="s">
        <v>38</v>
      </c>
      <c r="E1437">
        <v>127858.88</v>
      </c>
      <c r="F1437">
        <v>71.8</v>
      </c>
      <c r="G1437">
        <v>285</v>
      </c>
      <c r="H1437">
        <v>260.5</v>
      </c>
      <c r="I1437">
        <v>7.39</v>
      </c>
      <c r="J1437">
        <v>142</v>
      </c>
      <c r="K1437">
        <v>928</v>
      </c>
      <c r="L1437">
        <v>848</v>
      </c>
      <c r="M1437" t="s">
        <v>39</v>
      </c>
      <c r="N1437">
        <v>5</v>
      </c>
      <c r="O1437" t="s">
        <v>40</v>
      </c>
      <c r="P1437">
        <v>61.8</v>
      </c>
      <c r="Q1437">
        <v>2152</v>
      </c>
      <c r="R1437">
        <v>5</v>
      </c>
      <c r="S1437">
        <v>2</v>
      </c>
      <c r="T1437" t="s">
        <v>47</v>
      </c>
      <c r="U1437" t="s">
        <v>33</v>
      </c>
      <c r="V1437">
        <v>125874</v>
      </c>
      <c r="W1437">
        <v>3.9</v>
      </c>
      <c r="X1437">
        <v>4</v>
      </c>
      <c r="Y1437" t="s">
        <v>61</v>
      </c>
      <c r="Z1437">
        <v>3.97</v>
      </c>
      <c r="AA1437" t="s">
        <v>35</v>
      </c>
    </row>
    <row r="1438" spans="1:27" x14ac:dyDescent="0.3">
      <c r="A1438" t="s">
        <v>71</v>
      </c>
      <c r="B1438" t="s">
        <v>104</v>
      </c>
      <c r="C1438">
        <v>2026</v>
      </c>
      <c r="D1438" t="s">
        <v>63</v>
      </c>
      <c r="E1438">
        <v>27881.47</v>
      </c>
      <c r="F1438">
        <v>60.3</v>
      </c>
      <c r="G1438">
        <v>202</v>
      </c>
      <c r="H1438">
        <v>109.7</v>
      </c>
      <c r="I1438">
        <v>5.27</v>
      </c>
      <c r="J1438">
        <v>169</v>
      </c>
      <c r="K1438">
        <v>272</v>
      </c>
      <c r="L1438">
        <v>248</v>
      </c>
      <c r="M1438" t="s">
        <v>54</v>
      </c>
      <c r="N1438">
        <v>5</v>
      </c>
      <c r="O1438" t="s">
        <v>46</v>
      </c>
      <c r="P1438">
        <v>68.900000000000006</v>
      </c>
      <c r="Q1438">
        <v>1867</v>
      </c>
      <c r="R1438">
        <v>4</v>
      </c>
      <c r="S1438">
        <v>1</v>
      </c>
      <c r="T1438" t="s">
        <v>73</v>
      </c>
      <c r="U1438" t="s">
        <v>74</v>
      </c>
      <c r="V1438">
        <v>131662</v>
      </c>
      <c r="W1438">
        <v>3.4</v>
      </c>
      <c r="X1438">
        <v>5</v>
      </c>
      <c r="Y1438" t="s">
        <v>43</v>
      </c>
      <c r="Z1438">
        <v>3.35</v>
      </c>
      <c r="AA1438" t="s">
        <v>35</v>
      </c>
    </row>
    <row r="1439" spans="1:27" x14ac:dyDescent="0.3">
      <c r="A1439" t="s">
        <v>44</v>
      </c>
      <c r="B1439" t="s">
        <v>109</v>
      </c>
      <c r="C1439">
        <v>2024</v>
      </c>
      <c r="D1439" t="s">
        <v>29</v>
      </c>
      <c r="E1439">
        <v>98117.57</v>
      </c>
      <c r="F1439">
        <v>90.3</v>
      </c>
      <c r="G1439">
        <v>335</v>
      </c>
      <c r="H1439">
        <v>227.3</v>
      </c>
      <c r="I1439">
        <v>3.97</v>
      </c>
      <c r="J1439">
        <v>195</v>
      </c>
      <c r="K1439">
        <v>1000</v>
      </c>
      <c r="L1439">
        <v>866</v>
      </c>
      <c r="M1439" t="s">
        <v>39</v>
      </c>
      <c r="N1439">
        <v>5</v>
      </c>
      <c r="O1439" t="s">
        <v>65</v>
      </c>
      <c r="P1439">
        <v>17.100000000000001</v>
      </c>
      <c r="Q1439">
        <v>1500</v>
      </c>
      <c r="R1439">
        <v>5</v>
      </c>
      <c r="S1439">
        <v>0</v>
      </c>
      <c r="T1439" t="s">
        <v>47</v>
      </c>
      <c r="U1439" t="s">
        <v>38</v>
      </c>
      <c r="V1439">
        <v>23127</v>
      </c>
      <c r="W1439">
        <v>3.6</v>
      </c>
      <c r="X1439">
        <v>4</v>
      </c>
      <c r="Y1439" t="s">
        <v>34</v>
      </c>
      <c r="Z1439">
        <v>3.71</v>
      </c>
      <c r="AA1439" t="s">
        <v>35</v>
      </c>
    </row>
    <row r="1440" spans="1:27" x14ac:dyDescent="0.3">
      <c r="A1440" t="s">
        <v>52</v>
      </c>
      <c r="B1440" t="s">
        <v>80</v>
      </c>
      <c r="C1440">
        <v>2025</v>
      </c>
      <c r="D1440" t="s">
        <v>68</v>
      </c>
      <c r="E1440">
        <v>114028.98</v>
      </c>
      <c r="F1440">
        <v>65.3</v>
      </c>
      <c r="G1440">
        <v>249</v>
      </c>
      <c r="H1440">
        <v>327.3</v>
      </c>
      <c r="I1440">
        <v>7.5</v>
      </c>
      <c r="J1440">
        <v>137</v>
      </c>
      <c r="K1440">
        <v>815</v>
      </c>
      <c r="L1440">
        <v>721</v>
      </c>
      <c r="M1440" t="s">
        <v>30</v>
      </c>
      <c r="N1440">
        <v>7</v>
      </c>
      <c r="O1440" t="s">
        <v>31</v>
      </c>
      <c r="P1440">
        <v>60.4</v>
      </c>
      <c r="Q1440">
        <v>2681</v>
      </c>
      <c r="R1440">
        <v>5</v>
      </c>
      <c r="S1440">
        <v>2</v>
      </c>
      <c r="T1440" t="s">
        <v>47</v>
      </c>
      <c r="U1440" t="s">
        <v>33</v>
      </c>
      <c r="V1440">
        <v>169238</v>
      </c>
      <c r="W1440">
        <v>3.5</v>
      </c>
      <c r="X1440">
        <v>4</v>
      </c>
      <c r="Y1440" t="s">
        <v>61</v>
      </c>
      <c r="Z1440">
        <v>3.81</v>
      </c>
      <c r="AA1440" t="s">
        <v>35</v>
      </c>
    </row>
    <row r="1441" spans="1:27" x14ac:dyDescent="0.3">
      <c r="A1441" t="s">
        <v>91</v>
      </c>
      <c r="B1441" t="s">
        <v>92</v>
      </c>
      <c r="C1441">
        <v>2021</v>
      </c>
      <c r="D1441" t="s">
        <v>63</v>
      </c>
      <c r="E1441">
        <v>76431.360000000001</v>
      </c>
      <c r="F1441">
        <v>47</v>
      </c>
      <c r="G1441">
        <v>150</v>
      </c>
      <c r="H1441">
        <v>90.1</v>
      </c>
      <c r="I1441">
        <v>6.06</v>
      </c>
      <c r="J1441">
        <v>160</v>
      </c>
      <c r="K1441">
        <v>524</v>
      </c>
      <c r="L1441">
        <v>510</v>
      </c>
      <c r="M1441" t="s">
        <v>54</v>
      </c>
      <c r="N1441">
        <v>7</v>
      </c>
      <c r="O1441" t="s">
        <v>65</v>
      </c>
      <c r="P1441">
        <v>34.1</v>
      </c>
      <c r="Q1441">
        <v>1776</v>
      </c>
      <c r="R1441">
        <v>4</v>
      </c>
      <c r="S1441">
        <v>2</v>
      </c>
      <c r="T1441" t="s">
        <v>32</v>
      </c>
      <c r="U1441" t="s">
        <v>38</v>
      </c>
      <c r="V1441">
        <v>30267</v>
      </c>
      <c r="W1441">
        <v>3.1</v>
      </c>
      <c r="X1441">
        <v>5</v>
      </c>
      <c r="Y1441" t="s">
        <v>43</v>
      </c>
      <c r="Z1441">
        <v>3.19</v>
      </c>
      <c r="AA1441" t="s">
        <v>35</v>
      </c>
    </row>
    <row r="1442" spans="1:27" x14ac:dyDescent="0.3">
      <c r="A1442" t="s">
        <v>66</v>
      </c>
      <c r="B1442" t="s">
        <v>119</v>
      </c>
      <c r="C1442">
        <v>2025</v>
      </c>
      <c r="D1442" t="s">
        <v>68</v>
      </c>
      <c r="E1442">
        <v>47756.59</v>
      </c>
      <c r="F1442">
        <v>60.7</v>
      </c>
      <c r="G1442">
        <v>225</v>
      </c>
      <c r="H1442">
        <v>136.4</v>
      </c>
      <c r="I1442">
        <v>6.02</v>
      </c>
      <c r="J1442">
        <v>158</v>
      </c>
      <c r="K1442">
        <v>298</v>
      </c>
      <c r="L1442">
        <v>265</v>
      </c>
      <c r="M1442" t="s">
        <v>30</v>
      </c>
      <c r="N1442">
        <v>7</v>
      </c>
      <c r="O1442" t="s">
        <v>65</v>
      </c>
      <c r="P1442">
        <v>16.100000000000001</v>
      </c>
      <c r="Q1442">
        <v>1812</v>
      </c>
      <c r="R1442">
        <v>4</v>
      </c>
      <c r="S1442">
        <v>1</v>
      </c>
      <c r="T1442" t="s">
        <v>47</v>
      </c>
      <c r="U1442" t="s">
        <v>42</v>
      </c>
      <c r="V1442">
        <v>6983</v>
      </c>
      <c r="W1442">
        <v>3.2</v>
      </c>
      <c r="X1442">
        <v>3</v>
      </c>
      <c r="Y1442" t="s">
        <v>43</v>
      </c>
      <c r="Z1442">
        <v>3.71</v>
      </c>
      <c r="AA1442" t="s">
        <v>43</v>
      </c>
    </row>
    <row r="1443" spans="1:27" x14ac:dyDescent="0.3">
      <c r="A1443" t="s">
        <v>52</v>
      </c>
      <c r="B1443" t="s">
        <v>64</v>
      </c>
      <c r="C1443">
        <v>2023</v>
      </c>
      <c r="D1443" t="s">
        <v>50</v>
      </c>
      <c r="E1443">
        <v>122960.47</v>
      </c>
      <c r="F1443">
        <v>98.5</v>
      </c>
      <c r="G1443">
        <v>350</v>
      </c>
      <c r="H1443">
        <v>323</v>
      </c>
      <c r="I1443">
        <v>4.9000000000000004</v>
      </c>
      <c r="J1443">
        <v>178</v>
      </c>
      <c r="K1443">
        <v>897</v>
      </c>
      <c r="L1443">
        <v>749</v>
      </c>
      <c r="M1443" t="s">
        <v>39</v>
      </c>
      <c r="N1443">
        <v>5</v>
      </c>
      <c r="O1443" t="s">
        <v>40</v>
      </c>
      <c r="P1443">
        <v>55.8</v>
      </c>
      <c r="Q1443">
        <v>2239</v>
      </c>
      <c r="R1443">
        <v>4</v>
      </c>
      <c r="S1443">
        <v>2</v>
      </c>
      <c r="T1443" t="s">
        <v>47</v>
      </c>
      <c r="U1443" t="s">
        <v>33</v>
      </c>
      <c r="V1443">
        <v>114585</v>
      </c>
      <c r="W1443">
        <v>4.0999999999999996</v>
      </c>
      <c r="X1443">
        <v>4</v>
      </c>
      <c r="Y1443" t="s">
        <v>43</v>
      </c>
      <c r="Z1443">
        <v>3.55</v>
      </c>
      <c r="AA1443" t="s">
        <v>35</v>
      </c>
    </row>
    <row r="1444" spans="1:27" x14ac:dyDescent="0.3">
      <c r="A1444" t="s">
        <v>91</v>
      </c>
      <c r="B1444" t="s">
        <v>122</v>
      </c>
      <c r="C1444">
        <v>2024</v>
      </c>
      <c r="D1444" t="s">
        <v>68</v>
      </c>
      <c r="E1444">
        <v>91502.74</v>
      </c>
      <c r="F1444">
        <v>75.2</v>
      </c>
      <c r="G1444">
        <v>250</v>
      </c>
      <c r="H1444">
        <v>75.7</v>
      </c>
      <c r="I1444">
        <v>5.77</v>
      </c>
      <c r="J1444">
        <v>161</v>
      </c>
      <c r="K1444">
        <v>650</v>
      </c>
      <c r="L1444">
        <v>613</v>
      </c>
      <c r="M1444" t="s">
        <v>54</v>
      </c>
      <c r="N1444">
        <v>7</v>
      </c>
      <c r="O1444" t="s">
        <v>57</v>
      </c>
      <c r="P1444">
        <v>32.6</v>
      </c>
      <c r="Q1444">
        <v>1500</v>
      </c>
      <c r="R1444">
        <v>5</v>
      </c>
      <c r="S1444">
        <v>1</v>
      </c>
      <c r="T1444" t="s">
        <v>32</v>
      </c>
      <c r="U1444" t="s">
        <v>38</v>
      </c>
      <c r="V1444">
        <v>64217</v>
      </c>
      <c r="W1444">
        <v>3.6</v>
      </c>
      <c r="X1444">
        <v>6</v>
      </c>
      <c r="Y1444" t="s">
        <v>43</v>
      </c>
      <c r="Z1444">
        <v>3.32</v>
      </c>
      <c r="AA1444" t="s">
        <v>35</v>
      </c>
    </row>
    <row r="1445" spans="1:27" x14ac:dyDescent="0.3">
      <c r="A1445" t="s">
        <v>27</v>
      </c>
      <c r="B1445" t="s">
        <v>28</v>
      </c>
      <c r="C1445">
        <v>2026</v>
      </c>
      <c r="D1445" t="s">
        <v>63</v>
      </c>
      <c r="E1445">
        <v>77633.039999999994</v>
      </c>
      <c r="F1445">
        <v>74</v>
      </c>
      <c r="G1445">
        <v>273</v>
      </c>
      <c r="H1445">
        <v>79.5</v>
      </c>
      <c r="I1445">
        <v>5.33</v>
      </c>
      <c r="J1445">
        <v>165</v>
      </c>
      <c r="K1445">
        <v>818</v>
      </c>
      <c r="L1445">
        <v>753</v>
      </c>
      <c r="M1445" t="s">
        <v>30</v>
      </c>
      <c r="N1445">
        <v>5</v>
      </c>
      <c r="O1445" t="s">
        <v>31</v>
      </c>
      <c r="P1445">
        <v>55.8</v>
      </c>
      <c r="Q1445">
        <v>2544</v>
      </c>
      <c r="R1445">
        <v>5</v>
      </c>
      <c r="S1445">
        <v>2</v>
      </c>
      <c r="T1445" t="s">
        <v>32</v>
      </c>
      <c r="U1445" t="s">
        <v>38</v>
      </c>
      <c r="V1445">
        <v>203039</v>
      </c>
      <c r="W1445">
        <v>3.5</v>
      </c>
      <c r="X1445">
        <v>5</v>
      </c>
      <c r="Y1445" t="s">
        <v>43</v>
      </c>
      <c r="Z1445">
        <v>3.69</v>
      </c>
      <c r="AA1445" t="s">
        <v>35</v>
      </c>
    </row>
    <row r="1446" spans="1:27" x14ac:dyDescent="0.3">
      <c r="A1446" t="s">
        <v>58</v>
      </c>
      <c r="B1446" t="s">
        <v>70</v>
      </c>
      <c r="C1446">
        <v>2022</v>
      </c>
      <c r="D1446" t="s">
        <v>50</v>
      </c>
      <c r="E1446">
        <v>74524.3</v>
      </c>
      <c r="F1446">
        <v>84.1</v>
      </c>
      <c r="G1446">
        <v>298</v>
      </c>
      <c r="H1446">
        <v>141.9</v>
      </c>
      <c r="I1446">
        <v>4.8899999999999997</v>
      </c>
      <c r="J1446">
        <v>180</v>
      </c>
      <c r="K1446">
        <v>277</v>
      </c>
      <c r="L1446">
        <v>271</v>
      </c>
      <c r="M1446" t="s">
        <v>30</v>
      </c>
      <c r="N1446">
        <v>5</v>
      </c>
      <c r="O1446" t="s">
        <v>56</v>
      </c>
      <c r="P1446">
        <v>23.3</v>
      </c>
      <c r="Q1446">
        <v>1690</v>
      </c>
      <c r="R1446">
        <v>5</v>
      </c>
      <c r="S1446">
        <v>2</v>
      </c>
      <c r="T1446" t="s">
        <v>32</v>
      </c>
      <c r="U1446" t="s">
        <v>38</v>
      </c>
      <c r="V1446">
        <v>75343</v>
      </c>
      <c r="W1446">
        <v>3.9</v>
      </c>
      <c r="X1446">
        <v>7</v>
      </c>
      <c r="Y1446" t="s">
        <v>43</v>
      </c>
      <c r="Z1446">
        <v>3.54</v>
      </c>
      <c r="AA1446" t="s">
        <v>35</v>
      </c>
    </row>
    <row r="1447" spans="1:27" x14ac:dyDescent="0.3">
      <c r="A1447" t="s">
        <v>52</v>
      </c>
      <c r="B1447" t="s">
        <v>86</v>
      </c>
      <c r="C1447">
        <v>2026</v>
      </c>
      <c r="D1447" t="s">
        <v>63</v>
      </c>
      <c r="E1447">
        <v>27570.57</v>
      </c>
      <c r="F1447">
        <v>44.6</v>
      </c>
      <c r="G1447">
        <v>153</v>
      </c>
      <c r="H1447">
        <v>215</v>
      </c>
      <c r="I1447">
        <v>7.41</v>
      </c>
      <c r="J1447">
        <v>137</v>
      </c>
      <c r="K1447">
        <v>161</v>
      </c>
      <c r="L1447">
        <v>200</v>
      </c>
      <c r="M1447" t="s">
        <v>30</v>
      </c>
      <c r="N1447">
        <v>5</v>
      </c>
      <c r="O1447" t="s">
        <v>57</v>
      </c>
      <c r="P1447">
        <v>36.9</v>
      </c>
      <c r="Q1447">
        <v>1682</v>
      </c>
      <c r="R1447">
        <v>5</v>
      </c>
      <c r="S1447">
        <v>2</v>
      </c>
      <c r="T1447" t="s">
        <v>47</v>
      </c>
      <c r="U1447" t="s">
        <v>74</v>
      </c>
      <c r="V1447">
        <v>203167</v>
      </c>
      <c r="W1447">
        <v>3.2</v>
      </c>
      <c r="X1447">
        <v>5</v>
      </c>
      <c r="Y1447" t="s">
        <v>61</v>
      </c>
      <c r="Z1447">
        <v>3.43</v>
      </c>
      <c r="AA1447" t="s">
        <v>35</v>
      </c>
    </row>
    <row r="1448" spans="1:27" x14ac:dyDescent="0.3">
      <c r="A1448" t="s">
        <v>44</v>
      </c>
      <c r="B1448" t="s">
        <v>126</v>
      </c>
      <c r="C1448">
        <v>2023</v>
      </c>
      <c r="D1448" t="s">
        <v>29</v>
      </c>
      <c r="E1448">
        <v>42948.13</v>
      </c>
      <c r="F1448">
        <v>93.8</v>
      </c>
      <c r="G1448">
        <v>328</v>
      </c>
      <c r="H1448">
        <v>156.4</v>
      </c>
      <c r="I1448">
        <v>2.96</v>
      </c>
      <c r="J1448">
        <v>200</v>
      </c>
      <c r="K1448">
        <v>422</v>
      </c>
      <c r="L1448">
        <v>385</v>
      </c>
      <c r="M1448" t="s">
        <v>30</v>
      </c>
      <c r="N1448">
        <v>5</v>
      </c>
      <c r="O1448" t="s">
        <v>65</v>
      </c>
      <c r="P1448">
        <v>31.4</v>
      </c>
      <c r="Q1448">
        <v>1903</v>
      </c>
      <c r="R1448">
        <v>4</v>
      </c>
      <c r="S1448">
        <v>2</v>
      </c>
      <c r="T1448" t="s">
        <v>47</v>
      </c>
      <c r="U1448" t="s">
        <v>42</v>
      </c>
      <c r="V1448">
        <v>14040</v>
      </c>
      <c r="W1448">
        <v>3.8</v>
      </c>
      <c r="X1448">
        <v>4</v>
      </c>
      <c r="Y1448" t="s">
        <v>34</v>
      </c>
      <c r="Z1448">
        <v>3.5</v>
      </c>
      <c r="AA1448" t="s">
        <v>43</v>
      </c>
    </row>
    <row r="1449" spans="1:27" x14ac:dyDescent="0.3">
      <c r="A1449" t="s">
        <v>58</v>
      </c>
      <c r="B1449" t="s">
        <v>111</v>
      </c>
      <c r="C1449">
        <v>2022</v>
      </c>
      <c r="D1449" t="s">
        <v>50</v>
      </c>
      <c r="E1449">
        <v>100017.14</v>
      </c>
      <c r="F1449">
        <v>108.6</v>
      </c>
      <c r="G1449">
        <v>382</v>
      </c>
      <c r="H1449">
        <v>123.5</v>
      </c>
      <c r="I1449">
        <v>5.74</v>
      </c>
      <c r="J1449">
        <v>157</v>
      </c>
      <c r="K1449">
        <v>539</v>
      </c>
      <c r="L1449">
        <v>494</v>
      </c>
      <c r="M1449" t="s">
        <v>39</v>
      </c>
      <c r="N1449">
        <v>5</v>
      </c>
      <c r="O1449" t="s">
        <v>56</v>
      </c>
      <c r="P1449">
        <v>33.799999999999997</v>
      </c>
      <c r="Q1449">
        <v>1500</v>
      </c>
      <c r="R1449">
        <v>5</v>
      </c>
      <c r="S1449">
        <v>2</v>
      </c>
      <c r="T1449" t="s">
        <v>32</v>
      </c>
      <c r="U1449" t="s">
        <v>33</v>
      </c>
      <c r="V1449">
        <v>39100</v>
      </c>
      <c r="W1449">
        <v>4</v>
      </c>
      <c r="X1449">
        <v>8</v>
      </c>
      <c r="Y1449" t="s">
        <v>43</v>
      </c>
      <c r="Z1449">
        <v>3.52</v>
      </c>
      <c r="AA1449" t="s">
        <v>35</v>
      </c>
    </row>
    <row r="1450" spans="1:27" x14ac:dyDescent="0.3">
      <c r="A1450" t="s">
        <v>36</v>
      </c>
      <c r="B1450" t="s">
        <v>120</v>
      </c>
      <c r="C1450">
        <v>2026</v>
      </c>
      <c r="D1450" t="s">
        <v>29</v>
      </c>
      <c r="E1450">
        <v>108712.63</v>
      </c>
      <c r="F1450">
        <v>111.4</v>
      </c>
      <c r="G1450">
        <v>366</v>
      </c>
      <c r="H1450">
        <v>193.2</v>
      </c>
      <c r="I1450">
        <v>3.3</v>
      </c>
      <c r="J1450">
        <v>195</v>
      </c>
      <c r="K1450">
        <v>1000</v>
      </c>
      <c r="L1450">
        <v>924</v>
      </c>
      <c r="M1450" t="s">
        <v>54</v>
      </c>
      <c r="N1450">
        <v>5</v>
      </c>
      <c r="O1450" t="s">
        <v>65</v>
      </c>
      <c r="P1450">
        <v>37.5</v>
      </c>
      <c r="Q1450">
        <v>1549</v>
      </c>
      <c r="R1450">
        <v>4</v>
      </c>
      <c r="S1450">
        <v>0</v>
      </c>
      <c r="T1450" t="s">
        <v>41</v>
      </c>
      <c r="U1450" t="s">
        <v>33</v>
      </c>
      <c r="V1450">
        <v>12763</v>
      </c>
      <c r="W1450">
        <v>3.9</v>
      </c>
      <c r="X1450">
        <v>4</v>
      </c>
      <c r="Y1450" t="s">
        <v>34</v>
      </c>
      <c r="Z1450">
        <v>3.29</v>
      </c>
      <c r="AA1450" t="s">
        <v>43</v>
      </c>
    </row>
    <row r="1451" spans="1:27" x14ac:dyDescent="0.3">
      <c r="A1451" t="s">
        <v>91</v>
      </c>
      <c r="B1451" t="s">
        <v>92</v>
      </c>
      <c r="C1451">
        <v>2026</v>
      </c>
      <c r="D1451" t="s">
        <v>29</v>
      </c>
      <c r="E1451">
        <v>96474.96</v>
      </c>
      <c r="F1451">
        <v>76.8</v>
      </c>
      <c r="G1451">
        <v>250</v>
      </c>
      <c r="H1451">
        <v>236</v>
      </c>
      <c r="I1451">
        <v>3.59</v>
      </c>
      <c r="J1451">
        <v>200</v>
      </c>
      <c r="K1451">
        <v>757</v>
      </c>
      <c r="L1451">
        <v>661</v>
      </c>
      <c r="M1451" t="s">
        <v>30</v>
      </c>
      <c r="N1451">
        <v>7</v>
      </c>
      <c r="O1451" t="s">
        <v>46</v>
      </c>
      <c r="P1451">
        <v>70.599999999999994</v>
      </c>
      <c r="Q1451">
        <v>1639</v>
      </c>
      <c r="R1451">
        <v>5</v>
      </c>
      <c r="S1451">
        <v>1</v>
      </c>
      <c r="T1451" t="s">
        <v>32</v>
      </c>
      <c r="U1451" t="s">
        <v>38</v>
      </c>
      <c r="V1451">
        <v>54809</v>
      </c>
      <c r="W1451">
        <v>3.5</v>
      </c>
      <c r="X1451">
        <v>7</v>
      </c>
      <c r="Y1451" t="s">
        <v>34</v>
      </c>
      <c r="Z1451">
        <v>3.26</v>
      </c>
      <c r="AA1451" t="s">
        <v>35</v>
      </c>
    </row>
    <row r="1452" spans="1:27" x14ac:dyDescent="0.3">
      <c r="A1452" t="s">
        <v>76</v>
      </c>
      <c r="B1452" t="s">
        <v>117</v>
      </c>
      <c r="C1452">
        <v>2025</v>
      </c>
      <c r="D1452" t="s">
        <v>68</v>
      </c>
      <c r="E1452">
        <v>33127.96</v>
      </c>
      <c r="F1452">
        <v>41.6</v>
      </c>
      <c r="G1452">
        <v>164</v>
      </c>
      <c r="H1452">
        <v>118.9</v>
      </c>
      <c r="I1452">
        <v>7.91</v>
      </c>
      <c r="J1452">
        <v>129</v>
      </c>
      <c r="K1452">
        <v>245</v>
      </c>
      <c r="L1452">
        <v>205</v>
      </c>
      <c r="M1452" t="s">
        <v>30</v>
      </c>
      <c r="N1452">
        <v>5</v>
      </c>
      <c r="O1452" t="s">
        <v>40</v>
      </c>
      <c r="P1452">
        <v>62.9</v>
      </c>
      <c r="Q1452">
        <v>2024</v>
      </c>
      <c r="R1452">
        <v>5</v>
      </c>
      <c r="S1452">
        <v>2</v>
      </c>
      <c r="T1452" t="s">
        <v>51</v>
      </c>
      <c r="U1452" t="s">
        <v>74</v>
      </c>
      <c r="V1452">
        <v>138439</v>
      </c>
      <c r="W1452">
        <v>3.1</v>
      </c>
      <c r="X1452">
        <v>5</v>
      </c>
      <c r="Y1452" t="s">
        <v>61</v>
      </c>
      <c r="Z1452">
        <v>3.94</v>
      </c>
      <c r="AA1452" t="s">
        <v>35</v>
      </c>
    </row>
    <row r="1453" spans="1:27" x14ac:dyDescent="0.3">
      <c r="A1453" t="s">
        <v>48</v>
      </c>
      <c r="B1453" t="s">
        <v>60</v>
      </c>
      <c r="C1453">
        <v>2025</v>
      </c>
      <c r="D1453" t="s">
        <v>38</v>
      </c>
      <c r="E1453">
        <v>52664.7</v>
      </c>
      <c r="F1453">
        <v>45</v>
      </c>
      <c r="G1453">
        <v>151</v>
      </c>
      <c r="H1453">
        <v>107.3</v>
      </c>
      <c r="I1453">
        <v>7.64</v>
      </c>
      <c r="J1453">
        <v>133</v>
      </c>
      <c r="K1453">
        <v>568</v>
      </c>
      <c r="L1453">
        <v>443</v>
      </c>
      <c r="M1453" t="s">
        <v>30</v>
      </c>
      <c r="N1453">
        <v>5</v>
      </c>
      <c r="O1453" t="s">
        <v>40</v>
      </c>
      <c r="P1453">
        <v>49.3</v>
      </c>
      <c r="Q1453">
        <v>1711</v>
      </c>
      <c r="R1453">
        <v>5</v>
      </c>
      <c r="S1453">
        <v>2</v>
      </c>
      <c r="T1453" t="s">
        <v>51</v>
      </c>
      <c r="U1453" t="s">
        <v>42</v>
      </c>
      <c r="V1453">
        <v>62015</v>
      </c>
      <c r="W1453">
        <v>3.3</v>
      </c>
      <c r="X1453">
        <v>3</v>
      </c>
      <c r="Y1453" t="s">
        <v>61</v>
      </c>
      <c r="Z1453">
        <v>3.36</v>
      </c>
      <c r="AA1453" t="s">
        <v>35</v>
      </c>
    </row>
    <row r="1454" spans="1:27" x14ac:dyDescent="0.3">
      <c r="A1454" t="s">
        <v>58</v>
      </c>
      <c r="B1454" t="s">
        <v>105</v>
      </c>
      <c r="C1454">
        <v>2022</v>
      </c>
      <c r="D1454" t="s">
        <v>50</v>
      </c>
      <c r="E1454">
        <v>117361.83</v>
      </c>
      <c r="F1454">
        <v>91.3</v>
      </c>
      <c r="G1454">
        <v>335</v>
      </c>
      <c r="H1454">
        <v>136</v>
      </c>
      <c r="I1454">
        <v>5.26</v>
      </c>
      <c r="J1454">
        <v>158</v>
      </c>
      <c r="K1454">
        <v>673</v>
      </c>
      <c r="L1454">
        <v>601</v>
      </c>
      <c r="M1454" t="s">
        <v>30</v>
      </c>
      <c r="N1454">
        <v>7</v>
      </c>
      <c r="O1454" t="s">
        <v>40</v>
      </c>
      <c r="P1454">
        <v>68.400000000000006</v>
      </c>
      <c r="Q1454">
        <v>1923</v>
      </c>
      <c r="R1454">
        <v>4</v>
      </c>
      <c r="S1454">
        <v>1</v>
      </c>
      <c r="T1454" t="s">
        <v>32</v>
      </c>
      <c r="U1454" t="s">
        <v>33</v>
      </c>
      <c r="V1454">
        <v>75929</v>
      </c>
      <c r="W1454">
        <v>3.9</v>
      </c>
      <c r="X1454">
        <v>5</v>
      </c>
      <c r="Y1454" t="s">
        <v>43</v>
      </c>
      <c r="Z1454">
        <v>3.67</v>
      </c>
      <c r="AA1454" t="s">
        <v>35</v>
      </c>
    </row>
    <row r="1455" spans="1:27" x14ac:dyDescent="0.3">
      <c r="A1455" t="s">
        <v>48</v>
      </c>
      <c r="B1455" t="s">
        <v>79</v>
      </c>
      <c r="C1455">
        <v>2024</v>
      </c>
      <c r="D1455" t="s">
        <v>38</v>
      </c>
      <c r="E1455">
        <v>91917.06</v>
      </c>
      <c r="F1455">
        <v>68.900000000000006</v>
      </c>
      <c r="G1455">
        <v>237</v>
      </c>
      <c r="H1455">
        <v>140.80000000000001</v>
      </c>
      <c r="I1455">
        <v>6.23</v>
      </c>
      <c r="J1455">
        <v>166</v>
      </c>
      <c r="K1455">
        <v>1000</v>
      </c>
      <c r="L1455">
        <v>904</v>
      </c>
      <c r="M1455" t="s">
        <v>39</v>
      </c>
      <c r="N1455">
        <v>5</v>
      </c>
      <c r="O1455" t="s">
        <v>46</v>
      </c>
      <c r="P1455">
        <v>79.400000000000006</v>
      </c>
      <c r="Q1455">
        <v>1684</v>
      </c>
      <c r="R1455">
        <v>4</v>
      </c>
      <c r="S1455">
        <v>1</v>
      </c>
      <c r="T1455" t="s">
        <v>51</v>
      </c>
      <c r="U1455" t="s">
        <v>38</v>
      </c>
      <c r="V1455">
        <v>124978</v>
      </c>
      <c r="W1455">
        <v>3.6</v>
      </c>
      <c r="X1455">
        <v>5</v>
      </c>
      <c r="Y1455" t="s">
        <v>43</v>
      </c>
      <c r="Z1455">
        <v>3.44</v>
      </c>
      <c r="AA1455" t="s">
        <v>35</v>
      </c>
    </row>
    <row r="1456" spans="1:27" x14ac:dyDescent="0.3">
      <c r="A1456" t="s">
        <v>52</v>
      </c>
      <c r="B1456" t="s">
        <v>53</v>
      </c>
      <c r="C1456">
        <v>2023</v>
      </c>
      <c r="D1456" t="s">
        <v>68</v>
      </c>
      <c r="E1456">
        <v>128698.36</v>
      </c>
      <c r="F1456">
        <v>60.8</v>
      </c>
      <c r="G1456">
        <v>240</v>
      </c>
      <c r="H1456">
        <v>203</v>
      </c>
      <c r="I1456">
        <v>6.56</v>
      </c>
      <c r="J1456">
        <v>154</v>
      </c>
      <c r="K1456">
        <v>923</v>
      </c>
      <c r="L1456">
        <v>819</v>
      </c>
      <c r="M1456" t="s">
        <v>54</v>
      </c>
      <c r="N1456">
        <v>5</v>
      </c>
      <c r="O1456" t="s">
        <v>31</v>
      </c>
      <c r="P1456">
        <v>73.7</v>
      </c>
      <c r="Q1456">
        <v>2335</v>
      </c>
      <c r="R1456">
        <v>5</v>
      </c>
      <c r="S1456">
        <v>2</v>
      </c>
      <c r="T1456" t="s">
        <v>47</v>
      </c>
      <c r="U1456" t="s">
        <v>33</v>
      </c>
      <c r="V1456">
        <v>132614</v>
      </c>
      <c r="W1456">
        <v>3.6</v>
      </c>
      <c r="X1456">
        <v>5</v>
      </c>
      <c r="Y1456" t="s">
        <v>43</v>
      </c>
      <c r="Z1456">
        <v>3.95</v>
      </c>
      <c r="AA1456" t="s">
        <v>35</v>
      </c>
    </row>
    <row r="1457" spans="1:27" x14ac:dyDescent="0.3">
      <c r="A1457" t="s">
        <v>102</v>
      </c>
      <c r="B1457" t="s">
        <v>128</v>
      </c>
      <c r="C1457">
        <v>2025</v>
      </c>
      <c r="D1457" t="s">
        <v>38</v>
      </c>
      <c r="E1457">
        <v>100224.89</v>
      </c>
      <c r="F1457">
        <v>43.2</v>
      </c>
      <c r="G1457">
        <v>157</v>
      </c>
      <c r="H1457">
        <v>106.2</v>
      </c>
      <c r="I1457">
        <v>6.8</v>
      </c>
      <c r="J1457">
        <v>137</v>
      </c>
      <c r="K1457">
        <v>1000</v>
      </c>
      <c r="L1457">
        <v>909</v>
      </c>
      <c r="M1457" t="s">
        <v>54</v>
      </c>
      <c r="N1457">
        <v>5</v>
      </c>
      <c r="O1457" t="s">
        <v>65</v>
      </c>
      <c r="P1457">
        <v>33.5</v>
      </c>
      <c r="Q1457">
        <v>1592</v>
      </c>
      <c r="R1457">
        <v>4</v>
      </c>
      <c r="S1457">
        <v>1</v>
      </c>
      <c r="T1457" t="s">
        <v>47</v>
      </c>
      <c r="U1457" t="s">
        <v>33</v>
      </c>
      <c r="V1457">
        <v>10726</v>
      </c>
      <c r="W1457">
        <v>3</v>
      </c>
      <c r="X1457">
        <v>6</v>
      </c>
      <c r="Y1457" t="s">
        <v>43</v>
      </c>
      <c r="Z1457">
        <v>3.63</v>
      </c>
      <c r="AA1457" t="s">
        <v>43</v>
      </c>
    </row>
    <row r="1458" spans="1:27" x14ac:dyDescent="0.3">
      <c r="A1458" t="s">
        <v>91</v>
      </c>
      <c r="B1458" t="s">
        <v>124</v>
      </c>
      <c r="C1458">
        <v>2025</v>
      </c>
      <c r="D1458" t="s">
        <v>63</v>
      </c>
      <c r="E1458">
        <v>66795.11</v>
      </c>
      <c r="F1458">
        <v>65</v>
      </c>
      <c r="G1458">
        <v>246</v>
      </c>
      <c r="H1458">
        <v>73.400000000000006</v>
      </c>
      <c r="I1458">
        <v>5.68</v>
      </c>
      <c r="J1458">
        <v>171</v>
      </c>
      <c r="K1458">
        <v>358</v>
      </c>
      <c r="L1458">
        <v>333</v>
      </c>
      <c r="M1458" t="s">
        <v>54</v>
      </c>
      <c r="N1458">
        <v>7</v>
      </c>
      <c r="O1458" t="s">
        <v>57</v>
      </c>
      <c r="P1458">
        <v>33</v>
      </c>
      <c r="Q1458">
        <v>1861</v>
      </c>
      <c r="R1458">
        <v>5</v>
      </c>
      <c r="S1458">
        <v>1</v>
      </c>
      <c r="T1458" t="s">
        <v>32</v>
      </c>
      <c r="U1458" t="s">
        <v>38</v>
      </c>
      <c r="V1458">
        <v>50876</v>
      </c>
      <c r="W1458">
        <v>3.3</v>
      </c>
      <c r="X1458">
        <v>6</v>
      </c>
      <c r="Y1458" t="s">
        <v>43</v>
      </c>
      <c r="Z1458">
        <v>3.78</v>
      </c>
      <c r="AA1458" t="s">
        <v>35</v>
      </c>
    </row>
    <row r="1459" spans="1:27" x14ac:dyDescent="0.3">
      <c r="A1459" t="s">
        <v>91</v>
      </c>
      <c r="B1459" t="s">
        <v>97</v>
      </c>
      <c r="C1459">
        <v>2025</v>
      </c>
      <c r="D1459" t="s">
        <v>50</v>
      </c>
      <c r="E1459">
        <v>102396.37</v>
      </c>
      <c r="F1459">
        <v>96.6</v>
      </c>
      <c r="G1459">
        <v>340</v>
      </c>
      <c r="H1459">
        <v>102</v>
      </c>
      <c r="I1459">
        <v>4.37</v>
      </c>
      <c r="J1459">
        <v>184</v>
      </c>
      <c r="K1459">
        <v>852</v>
      </c>
      <c r="L1459">
        <v>737</v>
      </c>
      <c r="M1459" t="s">
        <v>39</v>
      </c>
      <c r="N1459">
        <v>5</v>
      </c>
      <c r="O1459" t="s">
        <v>56</v>
      </c>
      <c r="P1459">
        <v>18.7</v>
      </c>
      <c r="Q1459">
        <v>1822</v>
      </c>
      <c r="R1459">
        <v>5</v>
      </c>
      <c r="S1459">
        <v>2</v>
      </c>
      <c r="T1459" t="s">
        <v>32</v>
      </c>
      <c r="U1459" t="s">
        <v>33</v>
      </c>
      <c r="V1459">
        <v>35285</v>
      </c>
      <c r="W1459">
        <v>3.7</v>
      </c>
      <c r="X1459">
        <v>5</v>
      </c>
      <c r="Y1459" t="s">
        <v>43</v>
      </c>
      <c r="Z1459">
        <v>3.52</v>
      </c>
      <c r="AA1459" t="s">
        <v>35</v>
      </c>
    </row>
    <row r="1460" spans="1:27" x14ac:dyDescent="0.3">
      <c r="A1460" t="s">
        <v>71</v>
      </c>
      <c r="B1460" t="s">
        <v>72</v>
      </c>
      <c r="C1460">
        <v>2025</v>
      </c>
      <c r="D1460" t="s">
        <v>50</v>
      </c>
      <c r="E1460">
        <v>53276.57</v>
      </c>
      <c r="F1460">
        <v>102.1</v>
      </c>
      <c r="G1460">
        <v>367</v>
      </c>
      <c r="H1460">
        <v>72.599999999999994</v>
      </c>
      <c r="I1460">
        <v>4.72</v>
      </c>
      <c r="J1460">
        <v>177</v>
      </c>
      <c r="K1460">
        <v>518</v>
      </c>
      <c r="L1460">
        <v>453</v>
      </c>
      <c r="M1460" t="s">
        <v>54</v>
      </c>
      <c r="N1460">
        <v>5</v>
      </c>
      <c r="O1460" t="s">
        <v>57</v>
      </c>
      <c r="P1460">
        <v>36.5</v>
      </c>
      <c r="Q1460">
        <v>1807</v>
      </c>
      <c r="R1460">
        <v>4</v>
      </c>
      <c r="S1460">
        <v>1</v>
      </c>
      <c r="T1460" t="s">
        <v>73</v>
      </c>
      <c r="U1460" t="s">
        <v>42</v>
      </c>
      <c r="V1460">
        <v>242908</v>
      </c>
      <c r="W1460">
        <v>4.3</v>
      </c>
      <c r="X1460">
        <v>3</v>
      </c>
      <c r="Y1460" t="s">
        <v>43</v>
      </c>
      <c r="Z1460">
        <v>3.59</v>
      </c>
      <c r="AA1460" t="s">
        <v>35</v>
      </c>
    </row>
    <row r="1461" spans="1:27" x14ac:dyDescent="0.3">
      <c r="A1461" t="s">
        <v>91</v>
      </c>
      <c r="B1461" t="s">
        <v>122</v>
      </c>
      <c r="C1461">
        <v>2025</v>
      </c>
      <c r="D1461" t="s">
        <v>63</v>
      </c>
      <c r="E1461">
        <v>102104.07</v>
      </c>
      <c r="F1461">
        <v>55.1</v>
      </c>
      <c r="G1461">
        <v>174</v>
      </c>
      <c r="H1461">
        <v>128.9</v>
      </c>
      <c r="I1461">
        <v>5.42</v>
      </c>
      <c r="J1461">
        <v>165</v>
      </c>
      <c r="K1461">
        <v>817</v>
      </c>
      <c r="L1461">
        <v>704</v>
      </c>
      <c r="M1461" t="s">
        <v>39</v>
      </c>
      <c r="N1461">
        <v>5</v>
      </c>
      <c r="O1461" t="s">
        <v>40</v>
      </c>
      <c r="P1461">
        <v>58.4</v>
      </c>
      <c r="Q1461">
        <v>2165</v>
      </c>
      <c r="R1461">
        <v>3</v>
      </c>
      <c r="S1461">
        <v>2</v>
      </c>
      <c r="T1461" t="s">
        <v>32</v>
      </c>
      <c r="U1461" t="s">
        <v>33</v>
      </c>
      <c r="V1461">
        <v>30235</v>
      </c>
      <c r="W1461">
        <v>3.3</v>
      </c>
      <c r="X1461">
        <v>6</v>
      </c>
      <c r="Y1461" t="s">
        <v>43</v>
      </c>
      <c r="Z1461">
        <v>3.16</v>
      </c>
      <c r="AA1461" t="s">
        <v>35</v>
      </c>
    </row>
    <row r="1462" spans="1:27" x14ac:dyDescent="0.3">
      <c r="A1462" t="s">
        <v>27</v>
      </c>
      <c r="B1462" t="s">
        <v>93</v>
      </c>
      <c r="C1462">
        <v>2025</v>
      </c>
      <c r="D1462" t="s">
        <v>68</v>
      </c>
      <c r="E1462">
        <v>62840.41</v>
      </c>
      <c r="F1462">
        <v>71.400000000000006</v>
      </c>
      <c r="G1462">
        <v>268</v>
      </c>
      <c r="H1462">
        <v>73.900000000000006</v>
      </c>
      <c r="I1462">
        <v>6.29</v>
      </c>
      <c r="J1462">
        <v>159</v>
      </c>
      <c r="K1462">
        <v>621</v>
      </c>
      <c r="L1462">
        <v>524</v>
      </c>
      <c r="M1462" t="s">
        <v>54</v>
      </c>
      <c r="N1462">
        <v>7</v>
      </c>
      <c r="O1462" t="s">
        <v>56</v>
      </c>
      <c r="P1462">
        <v>18.600000000000001</v>
      </c>
      <c r="Q1462">
        <v>1960</v>
      </c>
      <c r="R1462">
        <v>5</v>
      </c>
      <c r="S1462">
        <v>0</v>
      </c>
      <c r="T1462" t="s">
        <v>32</v>
      </c>
      <c r="U1462" t="s">
        <v>42</v>
      </c>
      <c r="V1462">
        <v>242781</v>
      </c>
      <c r="W1462">
        <v>3.8</v>
      </c>
      <c r="X1462">
        <v>4</v>
      </c>
      <c r="Y1462" t="s">
        <v>43</v>
      </c>
      <c r="Z1462">
        <v>3.75</v>
      </c>
      <c r="AA1462" t="s">
        <v>35</v>
      </c>
    </row>
    <row r="1463" spans="1:27" x14ac:dyDescent="0.3">
      <c r="A1463" t="s">
        <v>91</v>
      </c>
      <c r="B1463" t="s">
        <v>122</v>
      </c>
      <c r="C1463">
        <v>2024</v>
      </c>
      <c r="D1463" t="s">
        <v>29</v>
      </c>
      <c r="E1463">
        <v>131247.26</v>
      </c>
      <c r="F1463">
        <v>113.3</v>
      </c>
      <c r="G1463">
        <v>405</v>
      </c>
      <c r="H1463">
        <v>155.80000000000001</v>
      </c>
      <c r="I1463">
        <v>2.74</v>
      </c>
      <c r="J1463">
        <v>200</v>
      </c>
      <c r="K1463">
        <v>1000</v>
      </c>
      <c r="L1463">
        <v>891</v>
      </c>
      <c r="M1463" t="s">
        <v>30</v>
      </c>
      <c r="N1463">
        <v>5</v>
      </c>
      <c r="O1463" t="s">
        <v>31</v>
      </c>
      <c r="P1463">
        <v>65.400000000000006</v>
      </c>
      <c r="Q1463">
        <v>2302</v>
      </c>
      <c r="R1463">
        <v>4</v>
      </c>
      <c r="S1463">
        <v>2</v>
      </c>
      <c r="T1463" t="s">
        <v>32</v>
      </c>
      <c r="U1463" t="s">
        <v>33</v>
      </c>
      <c r="V1463">
        <v>65041</v>
      </c>
      <c r="W1463">
        <v>3.9</v>
      </c>
      <c r="X1463">
        <v>8</v>
      </c>
      <c r="Y1463" t="s">
        <v>34</v>
      </c>
      <c r="Z1463">
        <v>3.57</v>
      </c>
      <c r="AA1463" t="s">
        <v>35</v>
      </c>
    </row>
    <row r="1464" spans="1:27" x14ac:dyDescent="0.3">
      <c r="A1464" t="s">
        <v>52</v>
      </c>
      <c r="B1464" t="s">
        <v>64</v>
      </c>
      <c r="C1464">
        <v>2025</v>
      </c>
      <c r="D1464" t="s">
        <v>38</v>
      </c>
      <c r="E1464">
        <v>84149.31</v>
      </c>
      <c r="F1464">
        <v>75.3</v>
      </c>
      <c r="G1464">
        <v>252</v>
      </c>
      <c r="H1464">
        <v>335.6</v>
      </c>
      <c r="I1464">
        <v>7.31</v>
      </c>
      <c r="J1464">
        <v>143</v>
      </c>
      <c r="K1464">
        <v>552</v>
      </c>
      <c r="L1464">
        <v>524</v>
      </c>
      <c r="M1464" t="s">
        <v>54</v>
      </c>
      <c r="N1464">
        <v>5</v>
      </c>
      <c r="O1464" t="s">
        <v>65</v>
      </c>
      <c r="P1464">
        <v>36.5</v>
      </c>
      <c r="Q1464">
        <v>1606</v>
      </c>
      <c r="R1464">
        <v>4</v>
      </c>
      <c r="S1464">
        <v>3</v>
      </c>
      <c r="T1464" t="s">
        <v>47</v>
      </c>
      <c r="U1464" t="s">
        <v>38</v>
      </c>
      <c r="V1464">
        <v>224851</v>
      </c>
      <c r="W1464">
        <v>3.6</v>
      </c>
      <c r="X1464">
        <v>6</v>
      </c>
      <c r="Y1464" t="s">
        <v>61</v>
      </c>
      <c r="Z1464">
        <v>3.35</v>
      </c>
      <c r="AA1464" t="s">
        <v>35</v>
      </c>
    </row>
    <row r="1465" spans="1:27" x14ac:dyDescent="0.3">
      <c r="A1465" t="s">
        <v>91</v>
      </c>
      <c r="B1465" t="s">
        <v>112</v>
      </c>
      <c r="C1465">
        <v>2025</v>
      </c>
      <c r="D1465" t="s">
        <v>68</v>
      </c>
      <c r="E1465">
        <v>71216.91</v>
      </c>
      <c r="F1465">
        <v>62.4</v>
      </c>
      <c r="G1465">
        <v>239</v>
      </c>
      <c r="H1465">
        <v>72.7</v>
      </c>
      <c r="I1465">
        <v>5.38</v>
      </c>
      <c r="J1465">
        <v>171</v>
      </c>
      <c r="K1465">
        <v>396</v>
      </c>
      <c r="L1465">
        <v>355</v>
      </c>
      <c r="M1465" t="s">
        <v>39</v>
      </c>
      <c r="N1465">
        <v>5</v>
      </c>
      <c r="O1465" t="s">
        <v>46</v>
      </c>
      <c r="P1465">
        <v>74.400000000000006</v>
      </c>
      <c r="Q1465">
        <v>1623</v>
      </c>
      <c r="R1465">
        <v>4</v>
      </c>
      <c r="S1465">
        <v>1</v>
      </c>
      <c r="T1465" t="s">
        <v>32</v>
      </c>
      <c r="U1465" t="s">
        <v>38</v>
      </c>
      <c r="V1465">
        <v>70121</v>
      </c>
      <c r="W1465">
        <v>3.5</v>
      </c>
      <c r="X1465">
        <v>7</v>
      </c>
      <c r="Y1465" t="s">
        <v>43</v>
      </c>
      <c r="Z1465">
        <v>3.83</v>
      </c>
      <c r="AA1465" t="s">
        <v>35</v>
      </c>
    </row>
    <row r="1466" spans="1:27" x14ac:dyDescent="0.3">
      <c r="A1466" t="s">
        <v>137</v>
      </c>
      <c r="B1466" t="s">
        <v>146</v>
      </c>
      <c r="C1466">
        <v>2022</v>
      </c>
      <c r="D1466" t="s">
        <v>38</v>
      </c>
      <c r="E1466">
        <v>60662.04</v>
      </c>
      <c r="F1466">
        <v>67.2</v>
      </c>
      <c r="G1466">
        <v>242</v>
      </c>
      <c r="H1466">
        <v>144.9</v>
      </c>
      <c r="I1466">
        <v>6.09</v>
      </c>
      <c r="J1466">
        <v>154</v>
      </c>
      <c r="K1466">
        <v>943</v>
      </c>
      <c r="L1466">
        <v>887</v>
      </c>
      <c r="M1466" t="s">
        <v>30</v>
      </c>
      <c r="N1466">
        <v>5</v>
      </c>
      <c r="O1466" t="s">
        <v>40</v>
      </c>
      <c r="P1466">
        <v>36.4</v>
      </c>
      <c r="Q1466">
        <v>1943</v>
      </c>
      <c r="R1466">
        <v>4</v>
      </c>
      <c r="S1466">
        <v>2</v>
      </c>
      <c r="T1466" t="s">
        <v>41</v>
      </c>
      <c r="U1466" t="s">
        <v>42</v>
      </c>
      <c r="V1466">
        <v>10748</v>
      </c>
      <c r="W1466">
        <v>3.5</v>
      </c>
      <c r="X1466">
        <v>3</v>
      </c>
      <c r="Y1466" t="s">
        <v>43</v>
      </c>
      <c r="Z1466">
        <v>3.6</v>
      </c>
      <c r="AA1466" t="s">
        <v>43</v>
      </c>
    </row>
    <row r="1467" spans="1:27" x14ac:dyDescent="0.3">
      <c r="A1467" t="s">
        <v>52</v>
      </c>
      <c r="B1467" t="s">
        <v>86</v>
      </c>
      <c r="C1467">
        <v>2024</v>
      </c>
      <c r="D1467" t="s">
        <v>38</v>
      </c>
      <c r="E1467">
        <v>46217.919999999998</v>
      </c>
      <c r="F1467">
        <v>55.9</v>
      </c>
      <c r="G1467">
        <v>205</v>
      </c>
      <c r="H1467">
        <v>259.60000000000002</v>
      </c>
      <c r="I1467">
        <v>6.69</v>
      </c>
      <c r="J1467">
        <v>151</v>
      </c>
      <c r="K1467">
        <v>293</v>
      </c>
      <c r="L1467">
        <v>270</v>
      </c>
      <c r="M1467" t="s">
        <v>30</v>
      </c>
      <c r="N1467">
        <v>7</v>
      </c>
      <c r="O1467" t="s">
        <v>31</v>
      </c>
      <c r="P1467">
        <v>68.2</v>
      </c>
      <c r="Q1467">
        <v>2198</v>
      </c>
      <c r="R1467">
        <v>4</v>
      </c>
      <c r="S1467">
        <v>2</v>
      </c>
      <c r="T1467" t="s">
        <v>47</v>
      </c>
      <c r="U1467" t="s">
        <v>42</v>
      </c>
      <c r="V1467">
        <v>108494</v>
      </c>
      <c r="W1467">
        <v>3.7</v>
      </c>
      <c r="X1467">
        <v>5</v>
      </c>
      <c r="Y1467" t="s">
        <v>43</v>
      </c>
      <c r="Z1467">
        <v>3.67</v>
      </c>
      <c r="AA1467" t="s">
        <v>35</v>
      </c>
    </row>
    <row r="1468" spans="1:27" x14ac:dyDescent="0.3">
      <c r="A1468" t="s">
        <v>132</v>
      </c>
      <c r="B1468" t="s">
        <v>133</v>
      </c>
      <c r="C1468">
        <v>2026</v>
      </c>
      <c r="D1468" t="s">
        <v>38</v>
      </c>
      <c r="E1468">
        <v>225594.15</v>
      </c>
      <c r="F1468">
        <v>63.1</v>
      </c>
      <c r="G1468">
        <v>216</v>
      </c>
      <c r="H1468">
        <v>285.89999999999998</v>
      </c>
      <c r="I1468">
        <v>8</v>
      </c>
      <c r="J1468">
        <v>125</v>
      </c>
      <c r="K1468">
        <v>1000</v>
      </c>
      <c r="L1468">
        <v>889</v>
      </c>
      <c r="M1468" t="s">
        <v>54</v>
      </c>
      <c r="N1468">
        <v>7</v>
      </c>
      <c r="O1468" t="s">
        <v>46</v>
      </c>
      <c r="P1468">
        <v>62.9</v>
      </c>
      <c r="Q1468">
        <v>1500</v>
      </c>
      <c r="R1468">
        <v>5</v>
      </c>
      <c r="S1468">
        <v>0</v>
      </c>
      <c r="T1468" t="s">
        <v>47</v>
      </c>
      <c r="U1468" t="s">
        <v>33</v>
      </c>
      <c r="V1468">
        <v>21994</v>
      </c>
      <c r="W1468">
        <v>3.4</v>
      </c>
      <c r="X1468">
        <v>5</v>
      </c>
      <c r="Y1468" t="s">
        <v>61</v>
      </c>
      <c r="Z1468">
        <v>3.42</v>
      </c>
      <c r="AA1468" t="s">
        <v>35</v>
      </c>
    </row>
    <row r="1469" spans="1:27" x14ac:dyDescent="0.3">
      <c r="A1469" t="s">
        <v>27</v>
      </c>
      <c r="B1469" t="s">
        <v>28</v>
      </c>
      <c r="C1469">
        <v>2025</v>
      </c>
      <c r="D1469" t="s">
        <v>68</v>
      </c>
      <c r="E1469">
        <v>87726.28</v>
      </c>
      <c r="F1469">
        <v>40.6</v>
      </c>
      <c r="G1469">
        <v>161</v>
      </c>
      <c r="H1469">
        <v>79.3</v>
      </c>
      <c r="I1469">
        <v>6.58</v>
      </c>
      <c r="J1469">
        <v>133</v>
      </c>
      <c r="K1469">
        <v>1000</v>
      </c>
      <c r="L1469">
        <v>936</v>
      </c>
      <c r="M1469" t="s">
        <v>30</v>
      </c>
      <c r="N1469">
        <v>7</v>
      </c>
      <c r="O1469" t="s">
        <v>46</v>
      </c>
      <c r="P1469">
        <v>76.400000000000006</v>
      </c>
      <c r="Q1469">
        <v>1646</v>
      </c>
      <c r="R1469">
        <v>5</v>
      </c>
      <c r="S1469">
        <v>1</v>
      </c>
      <c r="T1469" t="s">
        <v>32</v>
      </c>
      <c r="U1469" t="s">
        <v>38</v>
      </c>
      <c r="V1469">
        <v>253183</v>
      </c>
      <c r="W1469">
        <v>3.5</v>
      </c>
      <c r="X1469">
        <v>3</v>
      </c>
      <c r="Y1469" t="s">
        <v>43</v>
      </c>
      <c r="Z1469">
        <v>3.97</v>
      </c>
      <c r="AA1469" t="s">
        <v>35</v>
      </c>
    </row>
    <row r="1470" spans="1:27" x14ac:dyDescent="0.3">
      <c r="A1470" t="s">
        <v>58</v>
      </c>
      <c r="B1470" t="s">
        <v>134</v>
      </c>
      <c r="C1470">
        <v>2024</v>
      </c>
      <c r="D1470" t="s">
        <v>38</v>
      </c>
      <c r="E1470">
        <v>146623.72</v>
      </c>
      <c r="F1470">
        <v>69.099999999999994</v>
      </c>
      <c r="G1470">
        <v>262</v>
      </c>
      <c r="H1470">
        <v>117.9</v>
      </c>
      <c r="I1470">
        <v>5.33</v>
      </c>
      <c r="J1470">
        <v>176</v>
      </c>
      <c r="K1470">
        <v>935</v>
      </c>
      <c r="L1470">
        <v>806</v>
      </c>
      <c r="M1470" t="s">
        <v>30</v>
      </c>
      <c r="N1470">
        <v>7</v>
      </c>
      <c r="O1470" t="s">
        <v>57</v>
      </c>
      <c r="P1470">
        <v>16.8</v>
      </c>
      <c r="Q1470">
        <v>1586</v>
      </c>
      <c r="R1470">
        <v>4</v>
      </c>
      <c r="S1470">
        <v>2</v>
      </c>
      <c r="T1470" t="s">
        <v>32</v>
      </c>
      <c r="U1470" t="s">
        <v>33</v>
      </c>
      <c r="V1470">
        <v>43244</v>
      </c>
      <c r="W1470">
        <v>3.6</v>
      </c>
      <c r="X1470">
        <v>7</v>
      </c>
      <c r="Y1470" t="s">
        <v>43</v>
      </c>
      <c r="Z1470">
        <v>3.79</v>
      </c>
      <c r="AA1470" t="s">
        <v>35</v>
      </c>
    </row>
    <row r="1471" spans="1:27" x14ac:dyDescent="0.3">
      <c r="A1471" t="s">
        <v>84</v>
      </c>
      <c r="B1471" t="s">
        <v>85</v>
      </c>
      <c r="C1471">
        <v>2022</v>
      </c>
      <c r="D1471" t="s">
        <v>63</v>
      </c>
      <c r="E1471">
        <v>64696.27</v>
      </c>
      <c r="F1471">
        <v>51.7</v>
      </c>
      <c r="G1471">
        <v>165</v>
      </c>
      <c r="H1471">
        <v>60.6</v>
      </c>
      <c r="I1471">
        <v>6.94</v>
      </c>
      <c r="J1471">
        <v>144</v>
      </c>
      <c r="K1471">
        <v>704</v>
      </c>
      <c r="L1471">
        <v>642</v>
      </c>
      <c r="M1471" t="s">
        <v>54</v>
      </c>
      <c r="N1471">
        <v>5</v>
      </c>
      <c r="O1471" t="s">
        <v>46</v>
      </c>
      <c r="P1471">
        <v>67.400000000000006</v>
      </c>
      <c r="Q1471">
        <v>1771</v>
      </c>
      <c r="R1471">
        <v>4</v>
      </c>
      <c r="S1471">
        <v>1</v>
      </c>
      <c r="T1471" t="s">
        <v>47</v>
      </c>
      <c r="U1471" t="s">
        <v>42</v>
      </c>
      <c r="V1471">
        <v>37967</v>
      </c>
      <c r="W1471">
        <v>3.1</v>
      </c>
      <c r="X1471">
        <v>4</v>
      </c>
      <c r="Y1471" t="s">
        <v>43</v>
      </c>
      <c r="Z1471">
        <v>3.19</v>
      </c>
      <c r="AA1471" t="s">
        <v>35</v>
      </c>
    </row>
    <row r="1472" spans="1:27" x14ac:dyDescent="0.3">
      <c r="A1472" t="s">
        <v>48</v>
      </c>
      <c r="B1472" t="s">
        <v>79</v>
      </c>
      <c r="C1472">
        <v>2024</v>
      </c>
      <c r="D1472" t="s">
        <v>63</v>
      </c>
      <c r="E1472">
        <v>26810.33</v>
      </c>
      <c r="F1472">
        <v>75.599999999999994</v>
      </c>
      <c r="G1472">
        <v>247</v>
      </c>
      <c r="H1472">
        <v>71.5</v>
      </c>
      <c r="I1472">
        <v>5.79</v>
      </c>
      <c r="J1472">
        <v>166</v>
      </c>
      <c r="K1472">
        <v>174</v>
      </c>
      <c r="L1472">
        <v>223</v>
      </c>
      <c r="M1472" t="s">
        <v>30</v>
      </c>
      <c r="N1472">
        <v>7</v>
      </c>
      <c r="O1472" t="s">
        <v>40</v>
      </c>
      <c r="P1472">
        <v>48.7</v>
      </c>
      <c r="Q1472">
        <v>2204</v>
      </c>
      <c r="R1472">
        <v>5</v>
      </c>
      <c r="S1472">
        <v>1</v>
      </c>
      <c r="T1472" t="s">
        <v>51</v>
      </c>
      <c r="U1472" t="s">
        <v>74</v>
      </c>
      <c r="V1472">
        <v>138862</v>
      </c>
      <c r="W1472">
        <v>3.5</v>
      </c>
      <c r="X1472">
        <v>5</v>
      </c>
      <c r="Y1472" t="s">
        <v>43</v>
      </c>
      <c r="Z1472">
        <v>3.27</v>
      </c>
      <c r="AA1472" t="s">
        <v>35</v>
      </c>
    </row>
    <row r="1473" spans="1:27" x14ac:dyDescent="0.3">
      <c r="A1473" t="s">
        <v>44</v>
      </c>
      <c r="B1473" t="s">
        <v>62</v>
      </c>
      <c r="C1473">
        <v>2024</v>
      </c>
      <c r="D1473" t="s">
        <v>38</v>
      </c>
      <c r="E1473">
        <v>45723.03</v>
      </c>
      <c r="F1473">
        <v>55</v>
      </c>
      <c r="G1473">
        <v>207</v>
      </c>
      <c r="H1473">
        <v>69.5</v>
      </c>
      <c r="I1473">
        <v>6.64</v>
      </c>
      <c r="J1473">
        <v>148</v>
      </c>
      <c r="K1473">
        <v>515</v>
      </c>
      <c r="L1473">
        <v>479</v>
      </c>
      <c r="M1473" t="s">
        <v>54</v>
      </c>
      <c r="N1473">
        <v>5</v>
      </c>
      <c r="O1473" t="s">
        <v>40</v>
      </c>
      <c r="P1473">
        <v>68.5</v>
      </c>
      <c r="Q1473">
        <v>1728</v>
      </c>
      <c r="R1473">
        <v>5</v>
      </c>
      <c r="S1473">
        <v>0</v>
      </c>
      <c r="T1473" t="s">
        <v>47</v>
      </c>
      <c r="U1473" t="s">
        <v>42</v>
      </c>
      <c r="V1473">
        <v>19610</v>
      </c>
      <c r="W1473">
        <v>3.4</v>
      </c>
      <c r="X1473">
        <v>4</v>
      </c>
      <c r="Y1473" t="s">
        <v>43</v>
      </c>
      <c r="Z1473">
        <v>3.76</v>
      </c>
      <c r="AA1473" t="s">
        <v>43</v>
      </c>
    </row>
    <row r="1474" spans="1:27" x14ac:dyDescent="0.3">
      <c r="A1474" t="s">
        <v>94</v>
      </c>
      <c r="B1474" t="s">
        <v>113</v>
      </c>
      <c r="C1474">
        <v>2025</v>
      </c>
      <c r="D1474" t="s">
        <v>29</v>
      </c>
      <c r="E1474">
        <v>99175.33</v>
      </c>
      <c r="F1474">
        <v>93.3</v>
      </c>
      <c r="G1474">
        <v>334</v>
      </c>
      <c r="H1474">
        <v>217</v>
      </c>
      <c r="I1474">
        <v>3.73</v>
      </c>
      <c r="J1474">
        <v>185</v>
      </c>
      <c r="K1474">
        <v>706</v>
      </c>
      <c r="L1474">
        <v>646</v>
      </c>
      <c r="M1474" t="s">
        <v>39</v>
      </c>
      <c r="N1474">
        <v>5</v>
      </c>
      <c r="O1474" t="s">
        <v>57</v>
      </c>
      <c r="P1474">
        <v>31.9</v>
      </c>
      <c r="Q1474">
        <v>1897</v>
      </c>
      <c r="R1474">
        <v>5</v>
      </c>
      <c r="S1474">
        <v>2</v>
      </c>
      <c r="T1474" t="s">
        <v>32</v>
      </c>
      <c r="U1474" t="s">
        <v>38</v>
      </c>
      <c r="V1474">
        <v>77677</v>
      </c>
      <c r="W1474">
        <v>3.7</v>
      </c>
      <c r="X1474">
        <v>6</v>
      </c>
      <c r="Y1474" t="s">
        <v>34</v>
      </c>
      <c r="Z1474">
        <v>3.58</v>
      </c>
      <c r="AA1474" t="s">
        <v>35</v>
      </c>
    </row>
    <row r="1475" spans="1:27" x14ac:dyDescent="0.3">
      <c r="A1475" t="s">
        <v>27</v>
      </c>
      <c r="B1475" t="s">
        <v>83</v>
      </c>
      <c r="C1475">
        <v>2025</v>
      </c>
      <c r="D1475" t="s">
        <v>68</v>
      </c>
      <c r="E1475">
        <v>87997.46</v>
      </c>
      <c r="F1475">
        <v>42.5</v>
      </c>
      <c r="G1475">
        <v>150</v>
      </c>
      <c r="H1475">
        <v>88.7</v>
      </c>
      <c r="I1475">
        <v>7.75</v>
      </c>
      <c r="J1475">
        <v>129</v>
      </c>
      <c r="K1475">
        <v>1000</v>
      </c>
      <c r="L1475">
        <v>893</v>
      </c>
      <c r="M1475" t="s">
        <v>39</v>
      </c>
      <c r="N1475">
        <v>7</v>
      </c>
      <c r="O1475" t="s">
        <v>40</v>
      </c>
      <c r="P1475">
        <v>63.2</v>
      </c>
      <c r="Q1475">
        <v>1931</v>
      </c>
      <c r="R1475">
        <v>4</v>
      </c>
      <c r="S1475">
        <v>2</v>
      </c>
      <c r="T1475" t="s">
        <v>32</v>
      </c>
      <c r="U1475" t="s">
        <v>38</v>
      </c>
      <c r="V1475">
        <v>228031</v>
      </c>
      <c r="W1475">
        <v>3.2</v>
      </c>
      <c r="X1475">
        <v>4</v>
      </c>
      <c r="Y1475" t="s">
        <v>61</v>
      </c>
      <c r="Z1475">
        <v>3.53</v>
      </c>
      <c r="AA1475" t="s">
        <v>35</v>
      </c>
    </row>
    <row r="1476" spans="1:27" x14ac:dyDescent="0.3">
      <c r="A1476" t="s">
        <v>71</v>
      </c>
      <c r="B1476" t="s">
        <v>90</v>
      </c>
      <c r="C1476">
        <v>2025</v>
      </c>
      <c r="D1476" t="s">
        <v>63</v>
      </c>
      <c r="E1476">
        <v>25853.85</v>
      </c>
      <c r="F1476">
        <v>83.7</v>
      </c>
      <c r="G1476">
        <v>278</v>
      </c>
      <c r="H1476">
        <v>69.900000000000006</v>
      </c>
      <c r="I1476">
        <v>6.22</v>
      </c>
      <c r="J1476">
        <v>157</v>
      </c>
      <c r="K1476">
        <v>204</v>
      </c>
      <c r="L1476">
        <v>200</v>
      </c>
      <c r="M1476" t="s">
        <v>30</v>
      </c>
      <c r="N1476">
        <v>7</v>
      </c>
      <c r="O1476" t="s">
        <v>31</v>
      </c>
      <c r="P1476">
        <v>74.599999999999994</v>
      </c>
      <c r="Q1476">
        <v>2589</v>
      </c>
      <c r="R1476">
        <v>5</v>
      </c>
      <c r="S1476">
        <v>0</v>
      </c>
      <c r="T1476" t="s">
        <v>73</v>
      </c>
      <c r="U1476" t="s">
        <v>74</v>
      </c>
      <c r="V1476">
        <v>106382</v>
      </c>
      <c r="W1476">
        <v>3.6</v>
      </c>
      <c r="X1476">
        <v>4</v>
      </c>
      <c r="Y1476" t="s">
        <v>43</v>
      </c>
      <c r="Z1476">
        <v>3.32</v>
      </c>
      <c r="AA1476" t="s">
        <v>35</v>
      </c>
    </row>
    <row r="1477" spans="1:27" x14ac:dyDescent="0.3">
      <c r="A1477" t="s">
        <v>91</v>
      </c>
      <c r="B1477" t="s">
        <v>97</v>
      </c>
      <c r="C1477">
        <v>2025</v>
      </c>
      <c r="D1477" t="s">
        <v>50</v>
      </c>
      <c r="E1477">
        <v>66806.73</v>
      </c>
      <c r="F1477">
        <v>104.8</v>
      </c>
      <c r="G1477">
        <v>353</v>
      </c>
      <c r="H1477">
        <v>86.3</v>
      </c>
      <c r="I1477">
        <v>5</v>
      </c>
      <c r="J1477">
        <v>170</v>
      </c>
      <c r="K1477">
        <v>376</v>
      </c>
      <c r="L1477">
        <v>398</v>
      </c>
      <c r="M1477" t="s">
        <v>54</v>
      </c>
      <c r="N1477">
        <v>5</v>
      </c>
      <c r="O1477" t="s">
        <v>57</v>
      </c>
      <c r="P1477">
        <v>25.6</v>
      </c>
      <c r="Q1477">
        <v>1736</v>
      </c>
      <c r="R1477">
        <v>4</v>
      </c>
      <c r="S1477">
        <v>1</v>
      </c>
      <c r="T1477" t="s">
        <v>32</v>
      </c>
      <c r="U1477" t="s">
        <v>38</v>
      </c>
      <c r="V1477">
        <v>37357</v>
      </c>
      <c r="W1477">
        <v>3.7</v>
      </c>
      <c r="X1477">
        <v>7</v>
      </c>
      <c r="Y1477" t="s">
        <v>43</v>
      </c>
      <c r="Z1477">
        <v>3.37</v>
      </c>
      <c r="AA1477" t="s">
        <v>35</v>
      </c>
    </row>
    <row r="1478" spans="1:27" x14ac:dyDescent="0.3">
      <c r="A1478" t="s">
        <v>84</v>
      </c>
      <c r="B1478" t="s">
        <v>99</v>
      </c>
      <c r="C1478">
        <v>2024</v>
      </c>
      <c r="D1478" t="s">
        <v>68</v>
      </c>
      <c r="E1478">
        <v>38587</v>
      </c>
      <c r="F1478">
        <v>78</v>
      </c>
      <c r="G1478">
        <v>278</v>
      </c>
      <c r="H1478">
        <v>149.30000000000001</v>
      </c>
      <c r="I1478">
        <v>6.77</v>
      </c>
      <c r="J1478">
        <v>145</v>
      </c>
      <c r="K1478">
        <v>282</v>
      </c>
      <c r="L1478">
        <v>248</v>
      </c>
      <c r="M1478" t="s">
        <v>39</v>
      </c>
      <c r="N1478">
        <v>2</v>
      </c>
      <c r="O1478" t="s">
        <v>31</v>
      </c>
      <c r="P1478">
        <v>77.3</v>
      </c>
      <c r="Q1478">
        <v>2728</v>
      </c>
      <c r="R1478">
        <v>5</v>
      </c>
      <c r="S1478">
        <v>2</v>
      </c>
      <c r="T1478" t="s">
        <v>47</v>
      </c>
      <c r="U1478" t="s">
        <v>42</v>
      </c>
      <c r="V1478">
        <v>66132</v>
      </c>
      <c r="W1478">
        <v>3.6</v>
      </c>
      <c r="X1478">
        <v>5</v>
      </c>
      <c r="Y1478" t="s">
        <v>43</v>
      </c>
      <c r="Z1478">
        <v>3.56</v>
      </c>
      <c r="AA1478" t="s">
        <v>35</v>
      </c>
    </row>
    <row r="1479" spans="1:27" x14ac:dyDescent="0.3">
      <c r="A1479" t="s">
        <v>84</v>
      </c>
      <c r="B1479" t="s">
        <v>106</v>
      </c>
      <c r="C1479">
        <v>2024</v>
      </c>
      <c r="D1479" t="s">
        <v>29</v>
      </c>
      <c r="E1479">
        <v>61417.24</v>
      </c>
      <c r="F1479">
        <v>107.1</v>
      </c>
      <c r="G1479">
        <v>370</v>
      </c>
      <c r="H1479">
        <v>237.9</v>
      </c>
      <c r="I1479">
        <v>3.91</v>
      </c>
      <c r="J1479">
        <v>189</v>
      </c>
      <c r="K1479">
        <v>606</v>
      </c>
      <c r="L1479">
        <v>524</v>
      </c>
      <c r="M1479" t="s">
        <v>30</v>
      </c>
      <c r="N1479">
        <v>5</v>
      </c>
      <c r="O1479" t="s">
        <v>57</v>
      </c>
      <c r="P1479">
        <v>31.7</v>
      </c>
      <c r="Q1479">
        <v>1689</v>
      </c>
      <c r="R1479">
        <v>5</v>
      </c>
      <c r="S1479">
        <v>0</v>
      </c>
      <c r="T1479" t="s">
        <v>47</v>
      </c>
      <c r="U1479" t="s">
        <v>42</v>
      </c>
      <c r="V1479">
        <v>29374</v>
      </c>
      <c r="W1479">
        <v>3.7</v>
      </c>
      <c r="X1479">
        <v>3</v>
      </c>
      <c r="Y1479" t="s">
        <v>34</v>
      </c>
      <c r="Z1479">
        <v>3.45</v>
      </c>
      <c r="AA1479" t="s">
        <v>35</v>
      </c>
    </row>
    <row r="1480" spans="1:27" x14ac:dyDescent="0.3">
      <c r="A1480" t="s">
        <v>84</v>
      </c>
      <c r="B1480" t="s">
        <v>99</v>
      </c>
      <c r="C1480">
        <v>2026</v>
      </c>
      <c r="D1480" t="s">
        <v>38</v>
      </c>
      <c r="E1480">
        <v>73146.64</v>
      </c>
      <c r="F1480">
        <v>40.1</v>
      </c>
      <c r="G1480">
        <v>150</v>
      </c>
      <c r="H1480">
        <v>143.80000000000001</v>
      </c>
      <c r="I1480">
        <v>6.78</v>
      </c>
      <c r="J1480">
        <v>157</v>
      </c>
      <c r="K1480">
        <v>837</v>
      </c>
      <c r="L1480">
        <v>763</v>
      </c>
      <c r="M1480" t="s">
        <v>30</v>
      </c>
      <c r="N1480">
        <v>2</v>
      </c>
      <c r="O1480" t="s">
        <v>31</v>
      </c>
      <c r="P1480">
        <v>68.599999999999994</v>
      </c>
      <c r="Q1480">
        <v>2484</v>
      </c>
      <c r="R1480">
        <v>5</v>
      </c>
      <c r="S1480">
        <v>2</v>
      </c>
      <c r="T1480" t="s">
        <v>47</v>
      </c>
      <c r="U1480" t="s">
        <v>38</v>
      </c>
      <c r="V1480">
        <v>26454</v>
      </c>
      <c r="W1480">
        <v>3.2</v>
      </c>
      <c r="X1480">
        <v>4</v>
      </c>
      <c r="Y1480" t="s">
        <v>43</v>
      </c>
      <c r="Z1480">
        <v>3.74</v>
      </c>
      <c r="AA1480" t="s">
        <v>35</v>
      </c>
    </row>
    <row r="1481" spans="1:27" x14ac:dyDescent="0.3">
      <c r="A1481" t="s">
        <v>27</v>
      </c>
      <c r="B1481" t="s">
        <v>78</v>
      </c>
      <c r="C1481">
        <v>2024</v>
      </c>
      <c r="D1481" t="s">
        <v>29</v>
      </c>
      <c r="E1481">
        <v>80127.240000000005</v>
      </c>
      <c r="F1481">
        <v>106.2</v>
      </c>
      <c r="G1481">
        <v>352</v>
      </c>
      <c r="H1481">
        <v>207.6</v>
      </c>
      <c r="I1481">
        <v>3.59</v>
      </c>
      <c r="J1481">
        <v>193</v>
      </c>
      <c r="K1481">
        <v>890</v>
      </c>
      <c r="L1481">
        <v>825</v>
      </c>
      <c r="M1481" t="s">
        <v>30</v>
      </c>
      <c r="N1481">
        <v>7</v>
      </c>
      <c r="O1481" t="s">
        <v>40</v>
      </c>
      <c r="P1481">
        <v>68</v>
      </c>
      <c r="Q1481">
        <v>2269</v>
      </c>
      <c r="R1481">
        <v>5</v>
      </c>
      <c r="S1481">
        <v>0</v>
      </c>
      <c r="T1481" t="s">
        <v>32</v>
      </c>
      <c r="U1481" t="s">
        <v>38</v>
      </c>
      <c r="V1481">
        <v>267416</v>
      </c>
      <c r="W1481">
        <v>3.5</v>
      </c>
      <c r="X1481">
        <v>4</v>
      </c>
      <c r="Y1481" t="s">
        <v>34</v>
      </c>
      <c r="Z1481">
        <v>3.31</v>
      </c>
      <c r="AA1481" t="s">
        <v>35</v>
      </c>
    </row>
    <row r="1482" spans="1:27" x14ac:dyDescent="0.3">
      <c r="A1482" t="s">
        <v>84</v>
      </c>
      <c r="B1482" t="s">
        <v>99</v>
      </c>
      <c r="C1482">
        <v>2025</v>
      </c>
      <c r="D1482" t="s">
        <v>50</v>
      </c>
      <c r="E1482">
        <v>69759.03</v>
      </c>
      <c r="F1482">
        <v>87.5</v>
      </c>
      <c r="G1482">
        <v>324</v>
      </c>
      <c r="H1482">
        <v>69.5</v>
      </c>
      <c r="I1482">
        <v>5.88</v>
      </c>
      <c r="J1482">
        <v>162</v>
      </c>
      <c r="K1482">
        <v>803</v>
      </c>
      <c r="L1482">
        <v>740</v>
      </c>
      <c r="M1482" t="s">
        <v>39</v>
      </c>
      <c r="N1482">
        <v>4</v>
      </c>
      <c r="O1482" t="s">
        <v>31</v>
      </c>
      <c r="P1482">
        <v>75.3</v>
      </c>
      <c r="Q1482">
        <v>2664</v>
      </c>
      <c r="R1482">
        <v>4</v>
      </c>
      <c r="S1482">
        <v>0</v>
      </c>
      <c r="T1482" t="s">
        <v>47</v>
      </c>
      <c r="U1482" t="s">
        <v>38</v>
      </c>
      <c r="V1482">
        <v>57497</v>
      </c>
      <c r="W1482">
        <v>3.7</v>
      </c>
      <c r="X1482">
        <v>4</v>
      </c>
      <c r="Y1482" t="s">
        <v>43</v>
      </c>
      <c r="Z1482">
        <v>3.7</v>
      </c>
      <c r="AA1482" t="s">
        <v>35</v>
      </c>
    </row>
    <row r="1483" spans="1:27" x14ac:dyDescent="0.3">
      <c r="A1483" t="s">
        <v>52</v>
      </c>
      <c r="B1483" t="s">
        <v>53</v>
      </c>
      <c r="C1483">
        <v>2023</v>
      </c>
      <c r="D1483" t="s">
        <v>68</v>
      </c>
      <c r="E1483">
        <v>68205.179999999993</v>
      </c>
      <c r="F1483">
        <v>50.5</v>
      </c>
      <c r="G1483">
        <v>178</v>
      </c>
      <c r="H1483">
        <v>305.39999999999998</v>
      </c>
      <c r="I1483">
        <v>7.89</v>
      </c>
      <c r="J1483">
        <v>121</v>
      </c>
      <c r="K1483">
        <v>492</v>
      </c>
      <c r="L1483">
        <v>417</v>
      </c>
      <c r="M1483" t="s">
        <v>30</v>
      </c>
      <c r="N1483">
        <v>5</v>
      </c>
      <c r="O1483" t="s">
        <v>46</v>
      </c>
      <c r="P1483">
        <v>79.599999999999994</v>
      </c>
      <c r="Q1483">
        <v>1512</v>
      </c>
      <c r="R1483">
        <v>4</v>
      </c>
      <c r="S1483">
        <v>3</v>
      </c>
      <c r="T1483" t="s">
        <v>47</v>
      </c>
      <c r="U1483" t="s">
        <v>38</v>
      </c>
      <c r="V1483">
        <v>179048</v>
      </c>
      <c r="W1483">
        <v>3.6</v>
      </c>
      <c r="X1483">
        <v>4</v>
      </c>
      <c r="Y1483" t="s">
        <v>61</v>
      </c>
      <c r="Z1483">
        <v>3.52</v>
      </c>
      <c r="AA1483" t="s">
        <v>35</v>
      </c>
    </row>
    <row r="1484" spans="1:27" x14ac:dyDescent="0.3">
      <c r="A1484" t="s">
        <v>48</v>
      </c>
      <c r="B1484" t="s">
        <v>88</v>
      </c>
      <c r="C1484">
        <v>2026</v>
      </c>
      <c r="D1484" t="s">
        <v>68</v>
      </c>
      <c r="E1484">
        <v>52324.87</v>
      </c>
      <c r="F1484">
        <v>44.4</v>
      </c>
      <c r="G1484">
        <v>154</v>
      </c>
      <c r="H1484">
        <v>84.3</v>
      </c>
      <c r="I1484">
        <v>6.34</v>
      </c>
      <c r="J1484">
        <v>158</v>
      </c>
      <c r="K1484">
        <v>517</v>
      </c>
      <c r="L1484">
        <v>461</v>
      </c>
      <c r="M1484" t="s">
        <v>30</v>
      </c>
      <c r="N1484">
        <v>5</v>
      </c>
      <c r="O1484" t="s">
        <v>40</v>
      </c>
      <c r="P1484">
        <v>41.9</v>
      </c>
      <c r="Q1484">
        <v>2334</v>
      </c>
      <c r="R1484">
        <v>5</v>
      </c>
      <c r="S1484">
        <v>0</v>
      </c>
      <c r="T1484" t="s">
        <v>51</v>
      </c>
      <c r="U1484" t="s">
        <v>42</v>
      </c>
      <c r="V1484">
        <v>142095</v>
      </c>
      <c r="W1484">
        <v>3</v>
      </c>
      <c r="X1484">
        <v>5</v>
      </c>
      <c r="Y1484" t="s">
        <v>43</v>
      </c>
      <c r="Z1484">
        <v>3.47</v>
      </c>
      <c r="AA1484" t="s">
        <v>35</v>
      </c>
    </row>
    <row r="1485" spans="1:27" x14ac:dyDescent="0.3">
      <c r="A1485" t="s">
        <v>52</v>
      </c>
      <c r="B1485" t="s">
        <v>86</v>
      </c>
      <c r="C1485">
        <v>2025</v>
      </c>
      <c r="D1485" t="s">
        <v>50</v>
      </c>
      <c r="E1485">
        <v>119926.96</v>
      </c>
      <c r="F1485">
        <v>80.900000000000006</v>
      </c>
      <c r="G1485">
        <v>277</v>
      </c>
      <c r="H1485">
        <v>248.9</v>
      </c>
      <c r="I1485">
        <v>4.9800000000000004</v>
      </c>
      <c r="J1485">
        <v>177</v>
      </c>
      <c r="K1485">
        <v>912</v>
      </c>
      <c r="L1485">
        <v>883</v>
      </c>
      <c r="M1485" t="s">
        <v>30</v>
      </c>
      <c r="N1485">
        <v>5</v>
      </c>
      <c r="O1485" t="s">
        <v>46</v>
      </c>
      <c r="P1485">
        <v>77.400000000000006</v>
      </c>
      <c r="Q1485">
        <v>1826</v>
      </c>
      <c r="R1485">
        <v>4</v>
      </c>
      <c r="S1485">
        <v>2</v>
      </c>
      <c r="T1485" t="s">
        <v>47</v>
      </c>
      <c r="U1485" t="s">
        <v>33</v>
      </c>
      <c r="V1485">
        <v>137895</v>
      </c>
      <c r="W1485">
        <v>4.0999999999999996</v>
      </c>
      <c r="X1485">
        <v>5</v>
      </c>
      <c r="Y1485" t="s">
        <v>43</v>
      </c>
      <c r="Z1485">
        <v>3.42</v>
      </c>
      <c r="AA1485" t="s">
        <v>35</v>
      </c>
    </row>
    <row r="1486" spans="1:27" x14ac:dyDescent="0.3">
      <c r="A1486" t="s">
        <v>71</v>
      </c>
      <c r="B1486" t="s">
        <v>96</v>
      </c>
      <c r="C1486">
        <v>2022</v>
      </c>
      <c r="D1486" t="s">
        <v>68</v>
      </c>
      <c r="E1486">
        <v>59138.53</v>
      </c>
      <c r="F1486">
        <v>43.2</v>
      </c>
      <c r="G1486">
        <v>160</v>
      </c>
      <c r="H1486">
        <v>81.3</v>
      </c>
      <c r="I1486">
        <v>7.03</v>
      </c>
      <c r="J1486">
        <v>141</v>
      </c>
      <c r="K1486">
        <v>665</v>
      </c>
      <c r="L1486">
        <v>586</v>
      </c>
      <c r="M1486" t="s">
        <v>39</v>
      </c>
      <c r="N1486">
        <v>7</v>
      </c>
      <c r="O1486" t="s">
        <v>65</v>
      </c>
      <c r="P1486">
        <v>19.899999999999999</v>
      </c>
      <c r="Q1486">
        <v>1666</v>
      </c>
      <c r="R1486">
        <v>4</v>
      </c>
      <c r="S1486">
        <v>2</v>
      </c>
      <c r="T1486" t="s">
        <v>73</v>
      </c>
      <c r="U1486" t="s">
        <v>42</v>
      </c>
      <c r="V1486">
        <v>241442</v>
      </c>
      <c r="W1486">
        <v>3.2</v>
      </c>
      <c r="X1486">
        <v>4</v>
      </c>
      <c r="Y1486" t="s">
        <v>61</v>
      </c>
      <c r="Z1486">
        <v>3.7</v>
      </c>
      <c r="AA1486" t="s">
        <v>35</v>
      </c>
    </row>
    <row r="1487" spans="1:27" x14ac:dyDescent="0.3">
      <c r="A1487" t="s">
        <v>27</v>
      </c>
      <c r="B1487" t="s">
        <v>93</v>
      </c>
      <c r="C1487">
        <v>2025</v>
      </c>
      <c r="D1487" t="s">
        <v>63</v>
      </c>
      <c r="E1487">
        <v>73427.05</v>
      </c>
      <c r="F1487">
        <v>43.7</v>
      </c>
      <c r="G1487">
        <v>150</v>
      </c>
      <c r="H1487">
        <v>145.80000000000001</v>
      </c>
      <c r="I1487">
        <v>5.35</v>
      </c>
      <c r="J1487">
        <v>164</v>
      </c>
      <c r="K1487">
        <v>778</v>
      </c>
      <c r="L1487">
        <v>730</v>
      </c>
      <c r="M1487" t="s">
        <v>30</v>
      </c>
      <c r="N1487">
        <v>7</v>
      </c>
      <c r="O1487" t="s">
        <v>56</v>
      </c>
      <c r="P1487">
        <v>20.9</v>
      </c>
      <c r="Q1487">
        <v>1532</v>
      </c>
      <c r="R1487">
        <v>4</v>
      </c>
      <c r="S1487">
        <v>0</v>
      </c>
      <c r="T1487" t="s">
        <v>32</v>
      </c>
      <c r="U1487" t="s">
        <v>38</v>
      </c>
      <c r="V1487">
        <v>258880</v>
      </c>
      <c r="W1487">
        <v>3.3</v>
      </c>
      <c r="X1487">
        <v>4</v>
      </c>
      <c r="Y1487" t="s">
        <v>43</v>
      </c>
      <c r="Z1487">
        <v>3.43</v>
      </c>
      <c r="AA1487" t="s">
        <v>35</v>
      </c>
    </row>
    <row r="1488" spans="1:27" x14ac:dyDescent="0.3">
      <c r="A1488" t="s">
        <v>27</v>
      </c>
      <c r="B1488" t="s">
        <v>78</v>
      </c>
      <c r="C1488">
        <v>2021</v>
      </c>
      <c r="D1488" t="s">
        <v>38</v>
      </c>
      <c r="E1488">
        <v>105115.96</v>
      </c>
      <c r="F1488">
        <v>73.099999999999994</v>
      </c>
      <c r="G1488">
        <v>242</v>
      </c>
      <c r="H1488">
        <v>57.4</v>
      </c>
      <c r="I1488">
        <v>7.41</v>
      </c>
      <c r="J1488">
        <v>143</v>
      </c>
      <c r="K1488">
        <v>1000</v>
      </c>
      <c r="L1488">
        <v>918</v>
      </c>
      <c r="M1488" t="s">
        <v>54</v>
      </c>
      <c r="N1488">
        <v>5</v>
      </c>
      <c r="O1488" t="s">
        <v>31</v>
      </c>
      <c r="P1488">
        <v>76.900000000000006</v>
      </c>
      <c r="Q1488">
        <v>2408</v>
      </c>
      <c r="R1488">
        <v>4</v>
      </c>
      <c r="S1488">
        <v>1</v>
      </c>
      <c r="T1488" t="s">
        <v>32</v>
      </c>
      <c r="U1488" t="s">
        <v>33</v>
      </c>
      <c r="V1488">
        <v>297514</v>
      </c>
      <c r="W1488">
        <v>3.4</v>
      </c>
      <c r="X1488">
        <v>5</v>
      </c>
      <c r="Y1488" t="s">
        <v>61</v>
      </c>
      <c r="Z1488">
        <v>3.31</v>
      </c>
      <c r="AA1488" t="s">
        <v>35</v>
      </c>
    </row>
    <row r="1489" spans="1:27" x14ac:dyDescent="0.3">
      <c r="A1489" t="s">
        <v>44</v>
      </c>
      <c r="B1489" t="s">
        <v>45</v>
      </c>
      <c r="C1489">
        <v>2024</v>
      </c>
      <c r="D1489" t="s">
        <v>29</v>
      </c>
      <c r="E1489">
        <v>54375.97</v>
      </c>
      <c r="F1489">
        <v>88.9</v>
      </c>
      <c r="G1489">
        <v>299</v>
      </c>
      <c r="H1489">
        <v>200.1</v>
      </c>
      <c r="I1489">
        <v>2.85</v>
      </c>
      <c r="J1489">
        <v>200</v>
      </c>
      <c r="K1489">
        <v>612</v>
      </c>
      <c r="L1489">
        <v>507</v>
      </c>
      <c r="M1489" t="s">
        <v>30</v>
      </c>
      <c r="N1489">
        <v>7</v>
      </c>
      <c r="O1489" t="s">
        <v>65</v>
      </c>
      <c r="P1489">
        <v>31.1</v>
      </c>
      <c r="Q1489">
        <v>1654</v>
      </c>
      <c r="R1489">
        <v>5</v>
      </c>
      <c r="S1489">
        <v>0</v>
      </c>
      <c r="T1489" t="s">
        <v>47</v>
      </c>
      <c r="U1489" t="s">
        <v>42</v>
      </c>
      <c r="V1489">
        <v>24792</v>
      </c>
      <c r="W1489">
        <v>3.6</v>
      </c>
      <c r="X1489">
        <v>3</v>
      </c>
      <c r="Y1489" t="s">
        <v>34</v>
      </c>
      <c r="Z1489">
        <v>3.36</v>
      </c>
      <c r="AA1489" t="s">
        <v>35</v>
      </c>
    </row>
    <row r="1490" spans="1:27" x14ac:dyDescent="0.3">
      <c r="A1490" t="s">
        <v>27</v>
      </c>
      <c r="B1490" t="s">
        <v>83</v>
      </c>
      <c r="C1490">
        <v>2025</v>
      </c>
      <c r="D1490" t="s">
        <v>50</v>
      </c>
      <c r="E1490">
        <v>61721.97</v>
      </c>
      <c r="F1490">
        <v>88.9</v>
      </c>
      <c r="G1490">
        <v>293</v>
      </c>
      <c r="H1490">
        <v>121</v>
      </c>
      <c r="I1490">
        <v>4.49</v>
      </c>
      <c r="J1490">
        <v>174</v>
      </c>
      <c r="K1490">
        <v>611</v>
      </c>
      <c r="L1490">
        <v>538</v>
      </c>
      <c r="M1490" t="s">
        <v>39</v>
      </c>
      <c r="N1490">
        <v>5</v>
      </c>
      <c r="O1490" t="s">
        <v>40</v>
      </c>
      <c r="P1490">
        <v>38.9</v>
      </c>
      <c r="Q1490">
        <v>2029</v>
      </c>
      <c r="R1490">
        <v>4</v>
      </c>
      <c r="S1490">
        <v>1</v>
      </c>
      <c r="T1490" t="s">
        <v>32</v>
      </c>
      <c r="U1490" t="s">
        <v>42</v>
      </c>
      <c r="V1490">
        <v>292808</v>
      </c>
      <c r="W1490">
        <v>3.7</v>
      </c>
      <c r="X1490">
        <v>3</v>
      </c>
      <c r="Y1490" t="s">
        <v>43</v>
      </c>
      <c r="Z1490">
        <v>3.3</v>
      </c>
      <c r="AA1490" t="s">
        <v>35</v>
      </c>
    </row>
    <row r="1491" spans="1:27" x14ac:dyDescent="0.3">
      <c r="A1491" t="s">
        <v>27</v>
      </c>
      <c r="B1491" t="s">
        <v>78</v>
      </c>
      <c r="C1491">
        <v>2025</v>
      </c>
      <c r="D1491" t="s">
        <v>63</v>
      </c>
      <c r="E1491">
        <v>70848.39</v>
      </c>
      <c r="F1491">
        <v>47.9</v>
      </c>
      <c r="G1491">
        <v>178</v>
      </c>
      <c r="H1491">
        <v>115.1</v>
      </c>
      <c r="I1491">
        <v>6.3</v>
      </c>
      <c r="J1491">
        <v>160</v>
      </c>
      <c r="K1491">
        <v>723</v>
      </c>
      <c r="L1491">
        <v>644</v>
      </c>
      <c r="M1491" t="s">
        <v>39</v>
      </c>
      <c r="N1491">
        <v>7</v>
      </c>
      <c r="O1491" t="s">
        <v>56</v>
      </c>
      <c r="P1491">
        <v>21.5</v>
      </c>
      <c r="Q1491">
        <v>1500</v>
      </c>
      <c r="R1491">
        <v>4</v>
      </c>
      <c r="S1491">
        <v>1</v>
      </c>
      <c r="T1491" t="s">
        <v>32</v>
      </c>
      <c r="U1491" t="s">
        <v>38</v>
      </c>
      <c r="V1491">
        <v>282558</v>
      </c>
      <c r="W1491">
        <v>3.3</v>
      </c>
      <c r="X1491">
        <v>4</v>
      </c>
      <c r="Y1491" t="s">
        <v>43</v>
      </c>
      <c r="Z1491">
        <v>3.72</v>
      </c>
      <c r="AA1491" t="s">
        <v>35</v>
      </c>
    </row>
    <row r="1492" spans="1:27" x14ac:dyDescent="0.3">
      <c r="A1492" t="s">
        <v>71</v>
      </c>
      <c r="B1492" t="s">
        <v>72</v>
      </c>
      <c r="C1492">
        <v>2024</v>
      </c>
      <c r="D1492" t="s">
        <v>50</v>
      </c>
      <c r="E1492">
        <v>51370.62</v>
      </c>
      <c r="F1492">
        <v>105.7</v>
      </c>
      <c r="G1492">
        <v>403</v>
      </c>
      <c r="H1492">
        <v>99.6</v>
      </c>
      <c r="I1492">
        <v>4.91</v>
      </c>
      <c r="J1492">
        <v>177</v>
      </c>
      <c r="K1492">
        <v>534</v>
      </c>
      <c r="L1492">
        <v>505</v>
      </c>
      <c r="M1492" t="s">
        <v>30</v>
      </c>
      <c r="N1492">
        <v>7</v>
      </c>
      <c r="O1492" t="s">
        <v>57</v>
      </c>
      <c r="P1492">
        <v>28.1</v>
      </c>
      <c r="Q1492">
        <v>1598</v>
      </c>
      <c r="R1492">
        <v>5</v>
      </c>
      <c r="S1492">
        <v>1</v>
      </c>
      <c r="T1492" t="s">
        <v>73</v>
      </c>
      <c r="U1492" t="s">
        <v>42</v>
      </c>
      <c r="V1492">
        <v>177642</v>
      </c>
      <c r="W1492">
        <v>3.8</v>
      </c>
      <c r="X1492">
        <v>4</v>
      </c>
      <c r="Y1492" t="s">
        <v>43</v>
      </c>
      <c r="Z1492">
        <v>3.81</v>
      </c>
      <c r="AA1492" t="s">
        <v>35</v>
      </c>
    </row>
    <row r="1493" spans="1:27" x14ac:dyDescent="0.3">
      <c r="A1493" t="s">
        <v>27</v>
      </c>
      <c r="B1493" t="s">
        <v>82</v>
      </c>
      <c r="C1493">
        <v>2021</v>
      </c>
      <c r="D1493" t="s">
        <v>50</v>
      </c>
      <c r="E1493">
        <v>44741.31</v>
      </c>
      <c r="F1493">
        <v>93.3</v>
      </c>
      <c r="G1493">
        <v>312</v>
      </c>
      <c r="H1493">
        <v>57.6</v>
      </c>
      <c r="I1493">
        <v>4.33</v>
      </c>
      <c r="J1493">
        <v>186</v>
      </c>
      <c r="K1493">
        <v>326</v>
      </c>
      <c r="L1493">
        <v>304</v>
      </c>
      <c r="M1493" t="s">
        <v>30</v>
      </c>
      <c r="N1493">
        <v>7</v>
      </c>
      <c r="O1493" t="s">
        <v>65</v>
      </c>
      <c r="P1493">
        <v>24.9</v>
      </c>
      <c r="Q1493">
        <v>1689</v>
      </c>
      <c r="R1493">
        <v>5</v>
      </c>
      <c r="S1493">
        <v>2</v>
      </c>
      <c r="T1493" t="s">
        <v>32</v>
      </c>
      <c r="U1493" t="s">
        <v>42</v>
      </c>
      <c r="V1493">
        <v>254746</v>
      </c>
      <c r="W1493">
        <v>3.4</v>
      </c>
      <c r="X1493">
        <v>4</v>
      </c>
      <c r="Y1493" t="s">
        <v>43</v>
      </c>
      <c r="Z1493">
        <v>3.34</v>
      </c>
      <c r="AA1493" t="s">
        <v>35</v>
      </c>
    </row>
    <row r="1494" spans="1:27" x14ac:dyDescent="0.3">
      <c r="A1494" t="s">
        <v>71</v>
      </c>
      <c r="B1494" t="s">
        <v>115</v>
      </c>
      <c r="C1494">
        <v>2021</v>
      </c>
      <c r="D1494" t="s">
        <v>63</v>
      </c>
      <c r="E1494">
        <v>25493.200000000001</v>
      </c>
      <c r="F1494">
        <v>79</v>
      </c>
      <c r="G1494">
        <v>290</v>
      </c>
      <c r="H1494">
        <v>50.3</v>
      </c>
      <c r="I1494">
        <v>6.89</v>
      </c>
      <c r="J1494">
        <v>147</v>
      </c>
      <c r="K1494">
        <v>244</v>
      </c>
      <c r="L1494">
        <v>200</v>
      </c>
      <c r="M1494" t="s">
        <v>54</v>
      </c>
      <c r="N1494">
        <v>5</v>
      </c>
      <c r="O1494" t="s">
        <v>40</v>
      </c>
      <c r="P1494">
        <v>59.6</v>
      </c>
      <c r="Q1494">
        <v>1716</v>
      </c>
      <c r="R1494">
        <v>4</v>
      </c>
      <c r="S1494">
        <v>0</v>
      </c>
      <c r="T1494" t="s">
        <v>73</v>
      </c>
      <c r="U1494" t="s">
        <v>74</v>
      </c>
      <c r="V1494">
        <v>203716</v>
      </c>
      <c r="W1494">
        <v>3.6</v>
      </c>
      <c r="X1494">
        <v>3</v>
      </c>
      <c r="Y1494" t="s">
        <v>43</v>
      </c>
      <c r="Z1494">
        <v>3.67</v>
      </c>
      <c r="AA1494" t="s">
        <v>35</v>
      </c>
    </row>
    <row r="1495" spans="1:27" x14ac:dyDescent="0.3">
      <c r="A1495" t="s">
        <v>52</v>
      </c>
      <c r="B1495" t="s">
        <v>55</v>
      </c>
      <c r="C1495">
        <v>2025</v>
      </c>
      <c r="D1495" t="s">
        <v>50</v>
      </c>
      <c r="E1495">
        <v>139788.5</v>
      </c>
      <c r="F1495">
        <v>103.7</v>
      </c>
      <c r="G1495">
        <v>335</v>
      </c>
      <c r="H1495">
        <v>289.7</v>
      </c>
      <c r="I1495">
        <v>5.62</v>
      </c>
      <c r="J1495">
        <v>164</v>
      </c>
      <c r="K1495">
        <v>990</v>
      </c>
      <c r="L1495">
        <v>941</v>
      </c>
      <c r="M1495" t="s">
        <v>39</v>
      </c>
      <c r="N1495">
        <v>5</v>
      </c>
      <c r="O1495" t="s">
        <v>57</v>
      </c>
      <c r="P1495">
        <v>36.9</v>
      </c>
      <c r="Q1495">
        <v>1711</v>
      </c>
      <c r="R1495">
        <v>4</v>
      </c>
      <c r="S1495">
        <v>2</v>
      </c>
      <c r="T1495" t="s">
        <v>47</v>
      </c>
      <c r="U1495" t="s">
        <v>33</v>
      </c>
      <c r="V1495">
        <v>402120</v>
      </c>
      <c r="W1495">
        <v>3.8</v>
      </c>
      <c r="X1495">
        <v>5</v>
      </c>
      <c r="Y1495" t="s">
        <v>43</v>
      </c>
      <c r="Z1495">
        <v>3.23</v>
      </c>
      <c r="AA1495" t="s">
        <v>35</v>
      </c>
    </row>
    <row r="1496" spans="1:27" x14ac:dyDescent="0.3">
      <c r="A1496" t="s">
        <v>48</v>
      </c>
      <c r="B1496" t="s">
        <v>123</v>
      </c>
      <c r="C1496">
        <v>2020</v>
      </c>
      <c r="D1496" t="s">
        <v>68</v>
      </c>
      <c r="E1496">
        <v>29338.85</v>
      </c>
      <c r="F1496">
        <v>40.5</v>
      </c>
      <c r="G1496">
        <v>157</v>
      </c>
      <c r="H1496">
        <v>85.7</v>
      </c>
      <c r="I1496">
        <v>6.13</v>
      </c>
      <c r="J1496">
        <v>165</v>
      </c>
      <c r="K1496">
        <v>185</v>
      </c>
      <c r="L1496">
        <v>200</v>
      </c>
      <c r="M1496" t="s">
        <v>39</v>
      </c>
      <c r="N1496">
        <v>5</v>
      </c>
      <c r="O1496" t="s">
        <v>40</v>
      </c>
      <c r="P1496">
        <v>68.7</v>
      </c>
      <c r="Q1496">
        <v>2266</v>
      </c>
      <c r="R1496">
        <v>4</v>
      </c>
      <c r="S1496">
        <v>1</v>
      </c>
      <c r="T1496" t="s">
        <v>51</v>
      </c>
      <c r="U1496" t="s">
        <v>74</v>
      </c>
      <c r="V1496">
        <v>61921</v>
      </c>
      <c r="W1496">
        <v>3.2</v>
      </c>
      <c r="X1496">
        <v>3</v>
      </c>
      <c r="Y1496" t="s">
        <v>43</v>
      </c>
      <c r="Z1496">
        <v>3.88</v>
      </c>
      <c r="AA1496" t="s">
        <v>35</v>
      </c>
    </row>
    <row r="1497" spans="1:27" x14ac:dyDescent="0.3">
      <c r="A1497" t="s">
        <v>91</v>
      </c>
      <c r="B1497" t="s">
        <v>112</v>
      </c>
      <c r="C1497">
        <v>2024</v>
      </c>
      <c r="D1497" t="s">
        <v>50</v>
      </c>
      <c r="E1497">
        <v>73854.83</v>
      </c>
      <c r="F1497">
        <v>96.9</v>
      </c>
      <c r="G1497">
        <v>322</v>
      </c>
      <c r="H1497">
        <v>135.19999999999999</v>
      </c>
      <c r="I1497">
        <v>4.66</v>
      </c>
      <c r="J1497">
        <v>181</v>
      </c>
      <c r="K1497">
        <v>435</v>
      </c>
      <c r="L1497">
        <v>336</v>
      </c>
      <c r="M1497" t="s">
        <v>39</v>
      </c>
      <c r="N1497">
        <v>5</v>
      </c>
      <c r="O1497" t="s">
        <v>56</v>
      </c>
      <c r="P1497">
        <v>24.9</v>
      </c>
      <c r="Q1497">
        <v>1829</v>
      </c>
      <c r="R1497">
        <v>5</v>
      </c>
      <c r="S1497">
        <v>2</v>
      </c>
      <c r="T1497" t="s">
        <v>32</v>
      </c>
      <c r="U1497" t="s">
        <v>38</v>
      </c>
      <c r="V1497">
        <v>33084</v>
      </c>
      <c r="W1497">
        <v>3.6</v>
      </c>
      <c r="X1497">
        <v>8</v>
      </c>
      <c r="Y1497" t="s">
        <v>43</v>
      </c>
      <c r="Z1497">
        <v>3.32</v>
      </c>
      <c r="AA1497" t="s">
        <v>35</v>
      </c>
    </row>
    <row r="1498" spans="1:27" x14ac:dyDescent="0.3">
      <c r="A1498" t="s">
        <v>91</v>
      </c>
      <c r="B1498" t="s">
        <v>97</v>
      </c>
      <c r="C1498">
        <v>2025</v>
      </c>
      <c r="D1498" t="s">
        <v>38</v>
      </c>
      <c r="E1498">
        <v>108403.17</v>
      </c>
      <c r="F1498">
        <v>84.9</v>
      </c>
      <c r="G1498">
        <v>286</v>
      </c>
      <c r="H1498">
        <v>52.2</v>
      </c>
      <c r="I1498">
        <v>5.55</v>
      </c>
      <c r="J1498">
        <v>165</v>
      </c>
      <c r="K1498">
        <v>939</v>
      </c>
      <c r="L1498">
        <v>836</v>
      </c>
      <c r="M1498" t="s">
        <v>30</v>
      </c>
      <c r="N1498">
        <v>7</v>
      </c>
      <c r="O1498" t="s">
        <v>31</v>
      </c>
      <c r="P1498">
        <v>72.3</v>
      </c>
      <c r="Q1498">
        <v>2516</v>
      </c>
      <c r="R1498">
        <v>5</v>
      </c>
      <c r="S1498">
        <v>2</v>
      </c>
      <c r="T1498" t="s">
        <v>32</v>
      </c>
      <c r="U1498" t="s">
        <v>33</v>
      </c>
      <c r="V1498">
        <v>60610</v>
      </c>
      <c r="W1498">
        <v>3.5</v>
      </c>
      <c r="X1498">
        <v>8</v>
      </c>
      <c r="Y1498" t="s">
        <v>43</v>
      </c>
      <c r="Z1498">
        <v>3.37</v>
      </c>
      <c r="AA1498" t="s">
        <v>35</v>
      </c>
    </row>
    <row r="1499" spans="1:27" x14ac:dyDescent="0.3">
      <c r="A1499" t="s">
        <v>76</v>
      </c>
      <c r="B1499" t="s">
        <v>77</v>
      </c>
      <c r="C1499">
        <v>2024</v>
      </c>
      <c r="D1499" t="s">
        <v>29</v>
      </c>
      <c r="E1499">
        <v>50241.81</v>
      </c>
      <c r="F1499">
        <v>101.5</v>
      </c>
      <c r="G1499">
        <v>340</v>
      </c>
      <c r="H1499">
        <v>152.69999999999999</v>
      </c>
      <c r="I1499">
        <v>3.86</v>
      </c>
      <c r="J1499">
        <v>193</v>
      </c>
      <c r="K1499">
        <v>556</v>
      </c>
      <c r="L1499">
        <v>549</v>
      </c>
      <c r="M1499" t="s">
        <v>54</v>
      </c>
      <c r="N1499">
        <v>5</v>
      </c>
      <c r="O1499" t="s">
        <v>40</v>
      </c>
      <c r="P1499">
        <v>41.1</v>
      </c>
      <c r="Q1499">
        <v>2084</v>
      </c>
      <c r="R1499">
        <v>5</v>
      </c>
      <c r="S1499">
        <v>0</v>
      </c>
      <c r="T1499" t="s">
        <v>51</v>
      </c>
      <c r="U1499" t="s">
        <v>42</v>
      </c>
      <c r="V1499">
        <v>106270</v>
      </c>
      <c r="W1499">
        <v>3.7</v>
      </c>
      <c r="X1499">
        <v>3</v>
      </c>
      <c r="Y1499" t="s">
        <v>34</v>
      </c>
      <c r="Z1499">
        <v>3.35</v>
      </c>
      <c r="AA1499" t="s">
        <v>35</v>
      </c>
    </row>
    <row r="1500" spans="1:27" x14ac:dyDescent="0.3">
      <c r="A1500" t="s">
        <v>27</v>
      </c>
      <c r="B1500" t="s">
        <v>83</v>
      </c>
      <c r="C1500">
        <v>2023</v>
      </c>
      <c r="D1500" t="s">
        <v>38</v>
      </c>
      <c r="E1500">
        <v>107650.74</v>
      </c>
      <c r="F1500">
        <v>66</v>
      </c>
      <c r="G1500">
        <v>238</v>
      </c>
      <c r="H1500">
        <v>70.599999999999994</v>
      </c>
      <c r="I1500">
        <v>5.43</v>
      </c>
      <c r="J1500">
        <v>169</v>
      </c>
      <c r="K1500">
        <v>1000</v>
      </c>
      <c r="L1500">
        <v>931</v>
      </c>
      <c r="M1500" t="s">
        <v>30</v>
      </c>
      <c r="N1500">
        <v>5</v>
      </c>
      <c r="O1500" t="s">
        <v>56</v>
      </c>
      <c r="P1500">
        <v>31.9</v>
      </c>
      <c r="Q1500">
        <v>1500</v>
      </c>
      <c r="R1500">
        <v>4</v>
      </c>
      <c r="S1500">
        <v>1</v>
      </c>
      <c r="T1500" t="s">
        <v>32</v>
      </c>
      <c r="U1500" t="s">
        <v>33</v>
      </c>
      <c r="V1500">
        <v>215531</v>
      </c>
      <c r="W1500">
        <v>3.4</v>
      </c>
      <c r="X1500">
        <v>4</v>
      </c>
      <c r="Y1500" t="s">
        <v>43</v>
      </c>
      <c r="Z1500">
        <v>3.61</v>
      </c>
      <c r="AA1500" t="s">
        <v>35</v>
      </c>
    </row>
    <row r="1501" spans="1:27" x14ac:dyDescent="0.3">
      <c r="A1501" t="s">
        <v>58</v>
      </c>
      <c r="B1501" t="s">
        <v>111</v>
      </c>
      <c r="C1501">
        <v>2026</v>
      </c>
      <c r="D1501" t="s">
        <v>50</v>
      </c>
      <c r="E1501">
        <v>89516.61</v>
      </c>
      <c r="F1501">
        <v>78.7</v>
      </c>
      <c r="G1501">
        <v>296</v>
      </c>
      <c r="H1501">
        <v>115.6</v>
      </c>
      <c r="I1501">
        <v>4.2300000000000004</v>
      </c>
      <c r="J1501">
        <v>185</v>
      </c>
      <c r="K1501">
        <v>381</v>
      </c>
      <c r="L1501">
        <v>309</v>
      </c>
      <c r="M1501" t="s">
        <v>39</v>
      </c>
      <c r="N1501">
        <v>5</v>
      </c>
      <c r="O1501" t="s">
        <v>46</v>
      </c>
      <c r="P1501">
        <v>62</v>
      </c>
      <c r="Q1501">
        <v>1692</v>
      </c>
      <c r="R1501">
        <v>4</v>
      </c>
      <c r="S1501">
        <v>1</v>
      </c>
      <c r="T1501" t="s">
        <v>32</v>
      </c>
      <c r="U1501" t="s">
        <v>38</v>
      </c>
      <c r="V1501">
        <v>50182</v>
      </c>
      <c r="W1501">
        <v>4.0999999999999996</v>
      </c>
      <c r="X1501">
        <v>5</v>
      </c>
      <c r="Y1501" t="s">
        <v>43</v>
      </c>
      <c r="Z1501">
        <v>3.76</v>
      </c>
      <c r="AA1501" t="s">
        <v>35</v>
      </c>
    </row>
    <row r="1502" spans="1:27" x14ac:dyDescent="0.3">
      <c r="A1502" t="s">
        <v>76</v>
      </c>
      <c r="B1502" t="s">
        <v>87</v>
      </c>
      <c r="C1502">
        <v>2024</v>
      </c>
      <c r="D1502" t="s">
        <v>29</v>
      </c>
      <c r="E1502">
        <v>106647.79</v>
      </c>
      <c r="F1502">
        <v>98.5</v>
      </c>
      <c r="G1502">
        <v>363</v>
      </c>
      <c r="H1502">
        <v>152.4</v>
      </c>
      <c r="I1502">
        <v>2.76</v>
      </c>
      <c r="J1502">
        <v>200</v>
      </c>
      <c r="K1502">
        <v>1000</v>
      </c>
      <c r="L1502">
        <v>921</v>
      </c>
      <c r="M1502" t="s">
        <v>30</v>
      </c>
      <c r="N1502">
        <v>7</v>
      </c>
      <c r="O1502" t="s">
        <v>57</v>
      </c>
      <c r="P1502">
        <v>36.4</v>
      </c>
      <c r="Q1502">
        <v>1549</v>
      </c>
      <c r="R1502">
        <v>5</v>
      </c>
      <c r="S1502">
        <v>1</v>
      </c>
      <c r="T1502" t="s">
        <v>51</v>
      </c>
      <c r="U1502" t="s">
        <v>33</v>
      </c>
      <c r="V1502">
        <v>149654</v>
      </c>
      <c r="W1502">
        <v>3.9</v>
      </c>
      <c r="X1502">
        <v>5</v>
      </c>
      <c r="Y1502" t="s">
        <v>34</v>
      </c>
      <c r="Z1502">
        <v>3.69</v>
      </c>
      <c r="AA1502" t="s">
        <v>35</v>
      </c>
    </row>
    <row r="1503" spans="1:27" x14ac:dyDescent="0.3">
      <c r="A1503" t="s">
        <v>76</v>
      </c>
      <c r="B1503" t="s">
        <v>98</v>
      </c>
      <c r="C1503">
        <v>2023</v>
      </c>
      <c r="D1503" t="s">
        <v>50</v>
      </c>
      <c r="E1503">
        <v>85387.82</v>
      </c>
      <c r="F1503">
        <v>78.5</v>
      </c>
      <c r="G1503">
        <v>251</v>
      </c>
      <c r="H1503">
        <v>130.4</v>
      </c>
      <c r="I1503">
        <v>5.18</v>
      </c>
      <c r="J1503">
        <v>178</v>
      </c>
      <c r="K1503">
        <v>1000</v>
      </c>
      <c r="L1503">
        <v>899</v>
      </c>
      <c r="M1503" t="s">
        <v>30</v>
      </c>
      <c r="N1503">
        <v>5</v>
      </c>
      <c r="O1503" t="s">
        <v>65</v>
      </c>
      <c r="P1503">
        <v>26.9</v>
      </c>
      <c r="Q1503">
        <v>1500</v>
      </c>
      <c r="R1503">
        <v>4</v>
      </c>
      <c r="S1503">
        <v>2</v>
      </c>
      <c r="T1503" t="s">
        <v>51</v>
      </c>
      <c r="U1503" t="s">
        <v>38</v>
      </c>
      <c r="V1503">
        <v>131774</v>
      </c>
      <c r="W1503">
        <v>3.5</v>
      </c>
      <c r="X1503">
        <v>3</v>
      </c>
      <c r="Y1503" t="s">
        <v>43</v>
      </c>
      <c r="Z1503">
        <v>3.2</v>
      </c>
      <c r="AA1503" t="s">
        <v>35</v>
      </c>
    </row>
    <row r="1504" spans="1:27" x14ac:dyDescent="0.3">
      <c r="A1504" t="s">
        <v>52</v>
      </c>
      <c r="B1504" t="s">
        <v>64</v>
      </c>
      <c r="C1504">
        <v>2023</v>
      </c>
      <c r="D1504" t="s">
        <v>38</v>
      </c>
      <c r="E1504">
        <v>84622.11</v>
      </c>
      <c r="F1504">
        <v>73.7</v>
      </c>
      <c r="G1504">
        <v>264</v>
      </c>
      <c r="H1504">
        <v>297</v>
      </c>
      <c r="I1504">
        <v>7.3</v>
      </c>
      <c r="J1504">
        <v>143</v>
      </c>
      <c r="K1504">
        <v>599</v>
      </c>
      <c r="L1504">
        <v>590</v>
      </c>
      <c r="M1504" t="s">
        <v>30</v>
      </c>
      <c r="N1504">
        <v>5</v>
      </c>
      <c r="O1504" t="s">
        <v>40</v>
      </c>
      <c r="P1504">
        <v>44.8</v>
      </c>
      <c r="Q1504">
        <v>1922</v>
      </c>
      <c r="R1504">
        <v>4</v>
      </c>
      <c r="S1504">
        <v>2</v>
      </c>
      <c r="T1504" t="s">
        <v>47</v>
      </c>
      <c r="U1504" t="s">
        <v>38</v>
      </c>
      <c r="V1504">
        <v>193331</v>
      </c>
      <c r="W1504">
        <v>3.6</v>
      </c>
      <c r="X1504">
        <v>5</v>
      </c>
      <c r="Y1504" t="s">
        <v>61</v>
      </c>
      <c r="Z1504">
        <v>3.58</v>
      </c>
      <c r="AA1504" t="s">
        <v>35</v>
      </c>
    </row>
    <row r="1505" spans="1:27" x14ac:dyDescent="0.3">
      <c r="A1505" t="s">
        <v>71</v>
      </c>
      <c r="B1505" t="s">
        <v>75</v>
      </c>
      <c r="C1505">
        <v>2025</v>
      </c>
      <c r="D1505" t="s">
        <v>50</v>
      </c>
      <c r="E1505">
        <v>28903.55</v>
      </c>
      <c r="F1505">
        <v>96.2</v>
      </c>
      <c r="G1505">
        <v>330</v>
      </c>
      <c r="H1505">
        <v>61.7</v>
      </c>
      <c r="I1505">
        <v>4.7300000000000004</v>
      </c>
      <c r="J1505">
        <v>180</v>
      </c>
      <c r="K1505">
        <v>255</v>
      </c>
      <c r="L1505">
        <v>210</v>
      </c>
      <c r="M1505" t="s">
        <v>30</v>
      </c>
      <c r="N1505">
        <v>5</v>
      </c>
      <c r="O1505" t="s">
        <v>56</v>
      </c>
      <c r="P1505">
        <v>34.4</v>
      </c>
      <c r="Q1505">
        <v>1559</v>
      </c>
      <c r="R1505">
        <v>4</v>
      </c>
      <c r="S1505">
        <v>1</v>
      </c>
      <c r="T1505" t="s">
        <v>73</v>
      </c>
      <c r="U1505" t="s">
        <v>74</v>
      </c>
      <c r="V1505">
        <v>225650</v>
      </c>
      <c r="W1505">
        <v>3.6</v>
      </c>
      <c r="X1505">
        <v>3</v>
      </c>
      <c r="Y1505" t="s">
        <v>43</v>
      </c>
      <c r="Z1505">
        <v>3.43</v>
      </c>
      <c r="AA1505" t="s">
        <v>35</v>
      </c>
    </row>
    <row r="1506" spans="1:27" x14ac:dyDescent="0.3">
      <c r="A1506" t="s">
        <v>27</v>
      </c>
      <c r="B1506" t="s">
        <v>28</v>
      </c>
      <c r="C1506">
        <v>2025</v>
      </c>
      <c r="D1506" t="s">
        <v>38</v>
      </c>
      <c r="E1506">
        <v>88650.96</v>
      </c>
      <c r="F1506">
        <v>83.9</v>
      </c>
      <c r="G1506">
        <v>297</v>
      </c>
      <c r="H1506">
        <v>85.7</v>
      </c>
      <c r="I1506">
        <v>6.87</v>
      </c>
      <c r="J1506">
        <v>146</v>
      </c>
      <c r="K1506">
        <v>1000</v>
      </c>
      <c r="L1506">
        <v>880</v>
      </c>
      <c r="M1506" t="s">
        <v>54</v>
      </c>
      <c r="N1506">
        <v>7</v>
      </c>
      <c r="O1506" t="s">
        <v>65</v>
      </c>
      <c r="P1506">
        <v>32.200000000000003</v>
      </c>
      <c r="Q1506">
        <v>1768</v>
      </c>
      <c r="R1506">
        <v>4</v>
      </c>
      <c r="S1506">
        <v>0</v>
      </c>
      <c r="T1506" t="s">
        <v>32</v>
      </c>
      <c r="U1506" t="s">
        <v>38</v>
      </c>
      <c r="V1506">
        <v>243258</v>
      </c>
      <c r="W1506">
        <v>3.6</v>
      </c>
      <c r="X1506">
        <v>5</v>
      </c>
      <c r="Y1506" t="s">
        <v>43</v>
      </c>
      <c r="Z1506">
        <v>3.54</v>
      </c>
      <c r="AA1506" t="s">
        <v>35</v>
      </c>
    </row>
    <row r="1507" spans="1:27" x14ac:dyDescent="0.3">
      <c r="A1507" t="s">
        <v>27</v>
      </c>
      <c r="B1507" t="s">
        <v>78</v>
      </c>
      <c r="C1507">
        <v>2024</v>
      </c>
      <c r="D1507" t="s">
        <v>50</v>
      </c>
      <c r="E1507">
        <v>69709.16</v>
      </c>
      <c r="F1507">
        <v>99.7</v>
      </c>
      <c r="G1507">
        <v>349</v>
      </c>
      <c r="H1507">
        <v>60.9</v>
      </c>
      <c r="I1507">
        <v>4.74</v>
      </c>
      <c r="J1507">
        <v>184</v>
      </c>
      <c r="K1507">
        <v>662</v>
      </c>
      <c r="L1507">
        <v>636</v>
      </c>
      <c r="M1507" t="s">
        <v>30</v>
      </c>
      <c r="N1507">
        <v>5</v>
      </c>
      <c r="O1507" t="s">
        <v>31</v>
      </c>
      <c r="P1507">
        <v>61.1</v>
      </c>
      <c r="Q1507">
        <v>2597</v>
      </c>
      <c r="R1507">
        <v>5</v>
      </c>
      <c r="S1507">
        <v>0</v>
      </c>
      <c r="T1507" t="s">
        <v>32</v>
      </c>
      <c r="U1507" t="s">
        <v>38</v>
      </c>
      <c r="V1507">
        <v>273314</v>
      </c>
      <c r="W1507">
        <v>3.8</v>
      </c>
      <c r="X1507">
        <v>4</v>
      </c>
      <c r="Y1507" t="s">
        <v>43</v>
      </c>
      <c r="Z1507">
        <v>3.5</v>
      </c>
      <c r="AA1507" t="s">
        <v>35</v>
      </c>
    </row>
    <row r="1508" spans="1:27" x14ac:dyDescent="0.3">
      <c r="A1508" t="s">
        <v>48</v>
      </c>
      <c r="B1508" t="s">
        <v>123</v>
      </c>
      <c r="C1508">
        <v>2023</v>
      </c>
      <c r="D1508" t="s">
        <v>50</v>
      </c>
      <c r="E1508">
        <v>68881.259999999995</v>
      </c>
      <c r="F1508">
        <v>85.2</v>
      </c>
      <c r="G1508">
        <v>297</v>
      </c>
      <c r="H1508">
        <v>97.4</v>
      </c>
      <c r="I1508">
        <v>4.5999999999999996</v>
      </c>
      <c r="J1508">
        <v>172</v>
      </c>
      <c r="K1508">
        <v>787</v>
      </c>
      <c r="L1508">
        <v>717</v>
      </c>
      <c r="M1508" t="s">
        <v>30</v>
      </c>
      <c r="N1508">
        <v>5</v>
      </c>
      <c r="O1508" t="s">
        <v>40</v>
      </c>
      <c r="P1508">
        <v>36.4</v>
      </c>
      <c r="Q1508">
        <v>1755</v>
      </c>
      <c r="R1508">
        <v>4</v>
      </c>
      <c r="S1508">
        <v>0</v>
      </c>
      <c r="T1508" t="s">
        <v>51</v>
      </c>
      <c r="U1508" t="s">
        <v>38</v>
      </c>
      <c r="V1508">
        <v>85490</v>
      </c>
      <c r="W1508">
        <v>3.5</v>
      </c>
      <c r="X1508">
        <v>4</v>
      </c>
      <c r="Y1508" t="s">
        <v>43</v>
      </c>
      <c r="Z1508">
        <v>3.49</v>
      </c>
      <c r="AA1508" t="s">
        <v>35</v>
      </c>
    </row>
    <row r="1509" spans="1:27" x14ac:dyDescent="0.3">
      <c r="A1509" t="s">
        <v>76</v>
      </c>
      <c r="B1509" t="s">
        <v>114</v>
      </c>
      <c r="C1509">
        <v>2026</v>
      </c>
      <c r="D1509" t="s">
        <v>29</v>
      </c>
      <c r="E1509">
        <v>46435.85</v>
      </c>
      <c r="F1509">
        <v>100.4</v>
      </c>
      <c r="G1509">
        <v>359</v>
      </c>
      <c r="H1509">
        <v>204.9</v>
      </c>
      <c r="I1509">
        <v>3.97</v>
      </c>
      <c r="J1509">
        <v>189</v>
      </c>
      <c r="K1509">
        <v>429</v>
      </c>
      <c r="L1509">
        <v>426</v>
      </c>
      <c r="M1509" t="s">
        <v>54</v>
      </c>
      <c r="N1509">
        <v>7</v>
      </c>
      <c r="O1509" t="s">
        <v>40</v>
      </c>
      <c r="P1509">
        <v>52.7</v>
      </c>
      <c r="Q1509">
        <v>2075</v>
      </c>
      <c r="R1509">
        <v>4</v>
      </c>
      <c r="S1509">
        <v>0</v>
      </c>
      <c r="T1509" t="s">
        <v>51</v>
      </c>
      <c r="U1509" t="s">
        <v>42</v>
      </c>
      <c r="V1509">
        <v>73520</v>
      </c>
      <c r="W1509">
        <v>3.7</v>
      </c>
      <c r="X1509">
        <v>4</v>
      </c>
      <c r="Y1509" t="s">
        <v>34</v>
      </c>
      <c r="Z1509">
        <v>3.58</v>
      </c>
      <c r="AA1509" t="s">
        <v>35</v>
      </c>
    </row>
    <row r="1510" spans="1:27" x14ac:dyDescent="0.3">
      <c r="A1510" t="s">
        <v>48</v>
      </c>
      <c r="B1510" t="s">
        <v>60</v>
      </c>
      <c r="C1510">
        <v>2023</v>
      </c>
      <c r="D1510" t="s">
        <v>63</v>
      </c>
      <c r="E1510">
        <v>53627.18</v>
      </c>
      <c r="F1510">
        <v>75.2</v>
      </c>
      <c r="G1510">
        <v>266</v>
      </c>
      <c r="H1510">
        <v>132.80000000000001</v>
      </c>
      <c r="I1510">
        <v>6.62</v>
      </c>
      <c r="J1510">
        <v>154</v>
      </c>
      <c r="K1510">
        <v>573</v>
      </c>
      <c r="L1510">
        <v>518</v>
      </c>
      <c r="M1510" t="s">
        <v>39</v>
      </c>
      <c r="N1510">
        <v>5</v>
      </c>
      <c r="O1510" t="s">
        <v>65</v>
      </c>
      <c r="P1510">
        <v>16.600000000000001</v>
      </c>
      <c r="Q1510">
        <v>1500</v>
      </c>
      <c r="R1510">
        <v>3</v>
      </c>
      <c r="S1510">
        <v>0</v>
      </c>
      <c r="T1510" t="s">
        <v>51</v>
      </c>
      <c r="U1510" t="s">
        <v>42</v>
      </c>
      <c r="V1510">
        <v>65815</v>
      </c>
      <c r="W1510">
        <v>3.7</v>
      </c>
      <c r="X1510">
        <v>4</v>
      </c>
      <c r="Y1510" t="s">
        <v>43</v>
      </c>
      <c r="Z1510">
        <v>3.54</v>
      </c>
      <c r="AA1510" t="s">
        <v>35</v>
      </c>
    </row>
    <row r="1511" spans="1:27" x14ac:dyDescent="0.3">
      <c r="A1511" t="s">
        <v>84</v>
      </c>
      <c r="B1511" t="s">
        <v>106</v>
      </c>
      <c r="C1511">
        <v>2025</v>
      </c>
      <c r="D1511" t="s">
        <v>63</v>
      </c>
      <c r="E1511">
        <v>31999.38</v>
      </c>
      <c r="F1511">
        <v>73.5</v>
      </c>
      <c r="G1511">
        <v>219</v>
      </c>
      <c r="H1511">
        <v>63</v>
      </c>
      <c r="I1511">
        <v>6.24</v>
      </c>
      <c r="J1511">
        <v>163</v>
      </c>
      <c r="K1511">
        <v>192</v>
      </c>
      <c r="L1511">
        <v>210</v>
      </c>
      <c r="M1511" t="s">
        <v>30</v>
      </c>
      <c r="N1511">
        <v>5</v>
      </c>
      <c r="O1511" t="s">
        <v>31</v>
      </c>
      <c r="P1511">
        <v>74.2</v>
      </c>
      <c r="Q1511">
        <v>2364</v>
      </c>
      <c r="R1511">
        <v>4</v>
      </c>
      <c r="S1511">
        <v>1</v>
      </c>
      <c r="T1511" t="s">
        <v>47</v>
      </c>
      <c r="U1511" t="s">
        <v>74</v>
      </c>
      <c r="V1511">
        <v>25220</v>
      </c>
      <c r="W1511">
        <v>3.4</v>
      </c>
      <c r="X1511">
        <v>4</v>
      </c>
      <c r="Y1511" t="s">
        <v>43</v>
      </c>
      <c r="Z1511">
        <v>2.98</v>
      </c>
      <c r="AA1511" t="s">
        <v>35</v>
      </c>
    </row>
    <row r="1512" spans="1:27" x14ac:dyDescent="0.3">
      <c r="A1512" t="s">
        <v>84</v>
      </c>
      <c r="B1512" t="s">
        <v>89</v>
      </c>
      <c r="C1512">
        <v>2025</v>
      </c>
      <c r="D1512" t="s">
        <v>50</v>
      </c>
      <c r="E1512">
        <v>97440.5</v>
      </c>
      <c r="F1512">
        <v>95</v>
      </c>
      <c r="G1512">
        <v>331</v>
      </c>
      <c r="H1512">
        <v>63.3</v>
      </c>
      <c r="I1512">
        <v>5.16</v>
      </c>
      <c r="J1512">
        <v>173</v>
      </c>
      <c r="K1512">
        <v>1000</v>
      </c>
      <c r="L1512">
        <v>897</v>
      </c>
      <c r="M1512" t="s">
        <v>54</v>
      </c>
      <c r="N1512">
        <v>5</v>
      </c>
      <c r="O1512" t="s">
        <v>57</v>
      </c>
      <c r="P1512">
        <v>18.100000000000001</v>
      </c>
      <c r="Q1512">
        <v>1680</v>
      </c>
      <c r="R1512">
        <v>4</v>
      </c>
      <c r="S1512">
        <v>1</v>
      </c>
      <c r="T1512" t="s">
        <v>47</v>
      </c>
      <c r="U1512" t="s">
        <v>38</v>
      </c>
      <c r="V1512">
        <v>26936</v>
      </c>
      <c r="W1512">
        <v>3.7</v>
      </c>
      <c r="X1512">
        <v>4</v>
      </c>
      <c r="Y1512" t="s">
        <v>43</v>
      </c>
      <c r="Z1512">
        <v>3.48</v>
      </c>
      <c r="AA1512" t="s">
        <v>35</v>
      </c>
    </row>
    <row r="1513" spans="1:27" x14ac:dyDescent="0.3">
      <c r="A1513" t="s">
        <v>44</v>
      </c>
      <c r="B1513" t="s">
        <v>110</v>
      </c>
      <c r="C1513">
        <v>2022</v>
      </c>
      <c r="D1513" t="s">
        <v>63</v>
      </c>
      <c r="E1513">
        <v>33771.620000000003</v>
      </c>
      <c r="F1513">
        <v>73.400000000000006</v>
      </c>
      <c r="G1513">
        <v>250</v>
      </c>
      <c r="H1513">
        <v>77.5</v>
      </c>
      <c r="I1513">
        <v>5.72</v>
      </c>
      <c r="J1513">
        <v>157</v>
      </c>
      <c r="K1513">
        <v>262</v>
      </c>
      <c r="L1513">
        <v>240</v>
      </c>
      <c r="M1513" t="s">
        <v>54</v>
      </c>
      <c r="N1513">
        <v>5</v>
      </c>
      <c r="O1513" t="s">
        <v>40</v>
      </c>
      <c r="P1513">
        <v>64</v>
      </c>
      <c r="Q1513">
        <v>2124</v>
      </c>
      <c r="R1513">
        <v>4</v>
      </c>
      <c r="S1513">
        <v>0</v>
      </c>
      <c r="T1513" t="s">
        <v>47</v>
      </c>
      <c r="U1513" t="s">
        <v>74</v>
      </c>
      <c r="V1513">
        <v>22698</v>
      </c>
      <c r="W1513">
        <v>3.3</v>
      </c>
      <c r="X1513">
        <v>4</v>
      </c>
      <c r="Y1513" t="s">
        <v>43</v>
      </c>
      <c r="Z1513">
        <v>3.41</v>
      </c>
      <c r="AA1513" t="s">
        <v>35</v>
      </c>
    </row>
    <row r="1514" spans="1:27" x14ac:dyDescent="0.3">
      <c r="A1514" t="s">
        <v>36</v>
      </c>
      <c r="B1514" t="s">
        <v>37</v>
      </c>
      <c r="C1514">
        <v>2023</v>
      </c>
      <c r="D1514" t="s">
        <v>50</v>
      </c>
      <c r="E1514">
        <v>79916.17</v>
      </c>
      <c r="F1514">
        <v>85.7</v>
      </c>
      <c r="G1514">
        <v>295</v>
      </c>
      <c r="H1514">
        <v>79.3</v>
      </c>
      <c r="I1514">
        <v>4.43</v>
      </c>
      <c r="J1514">
        <v>176</v>
      </c>
      <c r="K1514">
        <v>1000</v>
      </c>
      <c r="L1514">
        <v>898</v>
      </c>
      <c r="M1514" t="s">
        <v>39</v>
      </c>
      <c r="N1514">
        <v>5</v>
      </c>
      <c r="O1514" t="s">
        <v>40</v>
      </c>
      <c r="P1514">
        <v>44.3</v>
      </c>
      <c r="Q1514">
        <v>2030</v>
      </c>
      <c r="R1514">
        <v>4</v>
      </c>
      <c r="S1514">
        <v>1</v>
      </c>
      <c r="T1514" t="s">
        <v>41</v>
      </c>
      <c r="U1514" t="s">
        <v>38</v>
      </c>
      <c r="V1514">
        <v>29619</v>
      </c>
      <c r="W1514">
        <v>3.5</v>
      </c>
      <c r="X1514">
        <v>3</v>
      </c>
      <c r="Y1514" t="s">
        <v>43</v>
      </c>
      <c r="Z1514">
        <v>3.44</v>
      </c>
      <c r="AA1514" t="s">
        <v>35</v>
      </c>
    </row>
    <row r="1515" spans="1:27" x14ac:dyDescent="0.3">
      <c r="A1515" t="s">
        <v>52</v>
      </c>
      <c r="B1515" t="s">
        <v>86</v>
      </c>
      <c r="C1515">
        <v>2025</v>
      </c>
      <c r="D1515" t="s">
        <v>38</v>
      </c>
      <c r="E1515">
        <v>133807.79999999999</v>
      </c>
      <c r="F1515">
        <v>41.7</v>
      </c>
      <c r="G1515">
        <v>150</v>
      </c>
      <c r="H1515">
        <v>336.7</v>
      </c>
      <c r="I1515">
        <v>5.38</v>
      </c>
      <c r="J1515">
        <v>161</v>
      </c>
      <c r="K1515">
        <v>994</v>
      </c>
      <c r="L1515">
        <v>865</v>
      </c>
      <c r="M1515" t="s">
        <v>30</v>
      </c>
      <c r="N1515">
        <v>7</v>
      </c>
      <c r="O1515" t="s">
        <v>31</v>
      </c>
      <c r="P1515">
        <v>52.9</v>
      </c>
      <c r="Q1515">
        <v>2540</v>
      </c>
      <c r="R1515">
        <v>4</v>
      </c>
      <c r="S1515">
        <v>2</v>
      </c>
      <c r="T1515" t="s">
        <v>47</v>
      </c>
      <c r="U1515" t="s">
        <v>33</v>
      </c>
      <c r="V1515">
        <v>225294</v>
      </c>
      <c r="W1515">
        <v>3.4</v>
      </c>
      <c r="X1515">
        <v>5</v>
      </c>
      <c r="Y1515" t="s">
        <v>43</v>
      </c>
      <c r="Z1515">
        <v>3.6</v>
      </c>
      <c r="AA1515" t="s">
        <v>35</v>
      </c>
    </row>
    <row r="1516" spans="1:27" x14ac:dyDescent="0.3">
      <c r="A1516" t="s">
        <v>52</v>
      </c>
      <c r="B1516" t="s">
        <v>64</v>
      </c>
      <c r="C1516">
        <v>2025</v>
      </c>
      <c r="D1516" t="s">
        <v>50</v>
      </c>
      <c r="E1516">
        <v>43022.879999999997</v>
      </c>
      <c r="F1516">
        <v>101.7</v>
      </c>
      <c r="G1516">
        <v>396</v>
      </c>
      <c r="H1516">
        <v>299.8</v>
      </c>
      <c r="I1516">
        <v>5</v>
      </c>
      <c r="J1516">
        <v>178</v>
      </c>
      <c r="K1516">
        <v>286</v>
      </c>
      <c r="L1516">
        <v>363</v>
      </c>
      <c r="M1516" t="s">
        <v>39</v>
      </c>
      <c r="N1516">
        <v>7</v>
      </c>
      <c r="O1516" t="s">
        <v>57</v>
      </c>
      <c r="P1516">
        <v>37.5</v>
      </c>
      <c r="Q1516">
        <v>1723</v>
      </c>
      <c r="R1516">
        <v>5</v>
      </c>
      <c r="S1516">
        <v>2</v>
      </c>
      <c r="T1516" t="s">
        <v>47</v>
      </c>
      <c r="U1516" t="s">
        <v>42</v>
      </c>
      <c r="V1516">
        <v>177801</v>
      </c>
      <c r="W1516">
        <v>4.2</v>
      </c>
      <c r="X1516">
        <v>6</v>
      </c>
      <c r="Y1516" t="s">
        <v>43</v>
      </c>
      <c r="Z1516">
        <v>3.89</v>
      </c>
      <c r="AA1516" t="s">
        <v>35</v>
      </c>
    </row>
    <row r="1517" spans="1:27" x14ac:dyDescent="0.3">
      <c r="A1517" t="s">
        <v>52</v>
      </c>
      <c r="B1517" t="s">
        <v>86</v>
      </c>
      <c r="C1517">
        <v>2026</v>
      </c>
      <c r="D1517" t="s">
        <v>38</v>
      </c>
      <c r="E1517">
        <v>88927.83</v>
      </c>
      <c r="F1517">
        <v>60.1</v>
      </c>
      <c r="G1517">
        <v>213</v>
      </c>
      <c r="H1517">
        <v>331.3</v>
      </c>
      <c r="I1517">
        <v>7.27</v>
      </c>
      <c r="J1517">
        <v>143</v>
      </c>
      <c r="K1517">
        <v>671</v>
      </c>
      <c r="L1517">
        <v>574</v>
      </c>
      <c r="M1517" t="s">
        <v>30</v>
      </c>
      <c r="N1517">
        <v>5</v>
      </c>
      <c r="O1517" t="s">
        <v>40</v>
      </c>
      <c r="P1517">
        <v>56.9</v>
      </c>
      <c r="Q1517">
        <v>1899</v>
      </c>
      <c r="R1517">
        <v>4</v>
      </c>
      <c r="S1517">
        <v>3</v>
      </c>
      <c r="T1517" t="s">
        <v>47</v>
      </c>
      <c r="U1517" t="s">
        <v>38</v>
      </c>
      <c r="V1517">
        <v>116766</v>
      </c>
      <c r="W1517">
        <v>3.8</v>
      </c>
      <c r="X1517">
        <v>4</v>
      </c>
      <c r="Y1517" t="s">
        <v>61</v>
      </c>
      <c r="Z1517">
        <v>3.54</v>
      </c>
      <c r="AA1517" t="s">
        <v>35</v>
      </c>
    </row>
    <row r="1518" spans="1:27" x14ac:dyDescent="0.3">
      <c r="A1518" t="s">
        <v>91</v>
      </c>
      <c r="B1518" t="s">
        <v>122</v>
      </c>
      <c r="C1518">
        <v>2025</v>
      </c>
      <c r="D1518" t="s">
        <v>50</v>
      </c>
      <c r="E1518">
        <v>119539.21</v>
      </c>
      <c r="F1518">
        <v>109.1</v>
      </c>
      <c r="G1518">
        <v>391</v>
      </c>
      <c r="H1518">
        <v>54.4</v>
      </c>
      <c r="I1518">
        <v>4.24</v>
      </c>
      <c r="J1518">
        <v>183</v>
      </c>
      <c r="K1518">
        <v>1000</v>
      </c>
      <c r="L1518">
        <v>900</v>
      </c>
      <c r="M1518" t="s">
        <v>54</v>
      </c>
      <c r="N1518">
        <v>5</v>
      </c>
      <c r="O1518" t="s">
        <v>65</v>
      </c>
      <c r="P1518">
        <v>38.6</v>
      </c>
      <c r="Q1518">
        <v>1669</v>
      </c>
      <c r="R1518">
        <v>3</v>
      </c>
      <c r="S1518">
        <v>2</v>
      </c>
      <c r="T1518" t="s">
        <v>32</v>
      </c>
      <c r="U1518" t="s">
        <v>33</v>
      </c>
      <c r="V1518">
        <v>49676</v>
      </c>
      <c r="W1518">
        <v>3.7</v>
      </c>
      <c r="X1518">
        <v>6</v>
      </c>
      <c r="Y1518" t="s">
        <v>43</v>
      </c>
      <c r="Z1518">
        <v>3.58</v>
      </c>
      <c r="AA1518" t="s">
        <v>35</v>
      </c>
    </row>
    <row r="1519" spans="1:27" x14ac:dyDescent="0.3">
      <c r="A1519" t="s">
        <v>94</v>
      </c>
      <c r="B1519" t="s">
        <v>116</v>
      </c>
      <c r="C1519">
        <v>2025</v>
      </c>
      <c r="D1519" t="s">
        <v>63</v>
      </c>
      <c r="E1519">
        <v>71446.39</v>
      </c>
      <c r="F1519">
        <v>60.1</v>
      </c>
      <c r="G1519">
        <v>202</v>
      </c>
      <c r="H1519">
        <v>146.6</v>
      </c>
      <c r="I1519">
        <v>6.43</v>
      </c>
      <c r="J1519">
        <v>150</v>
      </c>
      <c r="K1519">
        <v>451</v>
      </c>
      <c r="L1519">
        <v>409</v>
      </c>
      <c r="M1519" t="s">
        <v>39</v>
      </c>
      <c r="N1519">
        <v>5</v>
      </c>
      <c r="O1519" t="s">
        <v>65</v>
      </c>
      <c r="P1519">
        <v>19.100000000000001</v>
      </c>
      <c r="Q1519">
        <v>1500</v>
      </c>
      <c r="R1519">
        <v>5</v>
      </c>
      <c r="S1519">
        <v>2</v>
      </c>
      <c r="T1519" t="s">
        <v>32</v>
      </c>
      <c r="U1519" t="s">
        <v>38</v>
      </c>
      <c r="V1519">
        <v>60589</v>
      </c>
      <c r="W1519">
        <v>3.5</v>
      </c>
      <c r="X1519">
        <v>5</v>
      </c>
      <c r="Y1519" t="s">
        <v>43</v>
      </c>
      <c r="Z1519">
        <v>3.36</v>
      </c>
      <c r="AA1519" t="s">
        <v>35</v>
      </c>
    </row>
    <row r="1520" spans="1:27" x14ac:dyDescent="0.3">
      <c r="A1520" t="s">
        <v>71</v>
      </c>
      <c r="B1520" t="s">
        <v>96</v>
      </c>
      <c r="C1520">
        <v>2023</v>
      </c>
      <c r="D1520" t="s">
        <v>29</v>
      </c>
      <c r="E1520">
        <v>93434.880000000005</v>
      </c>
      <c r="F1520">
        <v>89.1</v>
      </c>
      <c r="G1520">
        <v>321</v>
      </c>
      <c r="H1520">
        <v>249.5</v>
      </c>
      <c r="I1520">
        <v>2.9</v>
      </c>
      <c r="J1520">
        <v>200</v>
      </c>
      <c r="K1520">
        <v>1000</v>
      </c>
      <c r="L1520">
        <v>912</v>
      </c>
      <c r="M1520" t="s">
        <v>30</v>
      </c>
      <c r="N1520">
        <v>5</v>
      </c>
      <c r="O1520" t="s">
        <v>46</v>
      </c>
      <c r="P1520">
        <v>68.599999999999994</v>
      </c>
      <c r="Q1520">
        <v>1500</v>
      </c>
      <c r="R1520">
        <v>5</v>
      </c>
      <c r="S1520">
        <v>0</v>
      </c>
      <c r="T1520" t="s">
        <v>73</v>
      </c>
      <c r="U1520" t="s">
        <v>38</v>
      </c>
      <c r="V1520">
        <v>220329</v>
      </c>
      <c r="W1520">
        <v>3.4</v>
      </c>
      <c r="X1520">
        <v>4</v>
      </c>
      <c r="Y1520" t="s">
        <v>34</v>
      </c>
      <c r="Z1520">
        <v>3.6</v>
      </c>
      <c r="AA1520" t="s">
        <v>35</v>
      </c>
    </row>
    <row r="1521" spans="1:27" x14ac:dyDescent="0.3">
      <c r="A1521" t="s">
        <v>102</v>
      </c>
      <c r="B1521" t="s">
        <v>128</v>
      </c>
      <c r="C1521">
        <v>2024</v>
      </c>
      <c r="D1521" t="s">
        <v>50</v>
      </c>
      <c r="E1521">
        <v>96777.2</v>
      </c>
      <c r="F1521">
        <v>98.9</v>
      </c>
      <c r="G1521">
        <v>341</v>
      </c>
      <c r="H1521">
        <v>130.19999999999999</v>
      </c>
      <c r="I1521">
        <v>4.47</v>
      </c>
      <c r="J1521">
        <v>179</v>
      </c>
      <c r="K1521">
        <v>1000</v>
      </c>
      <c r="L1521">
        <v>896</v>
      </c>
      <c r="M1521" t="s">
        <v>39</v>
      </c>
      <c r="N1521">
        <v>7</v>
      </c>
      <c r="O1521" t="s">
        <v>56</v>
      </c>
      <c r="P1521">
        <v>36.700000000000003</v>
      </c>
      <c r="Q1521">
        <v>1807</v>
      </c>
      <c r="R1521">
        <v>5</v>
      </c>
      <c r="S1521">
        <v>0</v>
      </c>
      <c r="T1521" t="s">
        <v>47</v>
      </c>
      <c r="U1521" t="s">
        <v>38</v>
      </c>
      <c r="V1521">
        <v>20918</v>
      </c>
      <c r="W1521">
        <v>3.8</v>
      </c>
      <c r="X1521">
        <v>6</v>
      </c>
      <c r="Y1521" t="s">
        <v>43</v>
      </c>
      <c r="Z1521">
        <v>3.45</v>
      </c>
      <c r="AA1521" t="s">
        <v>35</v>
      </c>
    </row>
    <row r="1522" spans="1:27" x14ac:dyDescent="0.3">
      <c r="A1522" t="s">
        <v>52</v>
      </c>
      <c r="B1522" t="s">
        <v>53</v>
      </c>
      <c r="C1522">
        <v>2024</v>
      </c>
      <c r="D1522" t="s">
        <v>29</v>
      </c>
      <c r="E1522">
        <v>142117.21</v>
      </c>
      <c r="F1522">
        <v>102.9</v>
      </c>
      <c r="G1522">
        <v>353</v>
      </c>
      <c r="H1522">
        <v>265.10000000000002</v>
      </c>
      <c r="I1522">
        <v>3.97</v>
      </c>
      <c r="J1522">
        <v>184</v>
      </c>
      <c r="K1522">
        <v>1000</v>
      </c>
      <c r="L1522">
        <v>906</v>
      </c>
      <c r="M1522" t="s">
        <v>30</v>
      </c>
      <c r="N1522">
        <v>5</v>
      </c>
      <c r="O1522" t="s">
        <v>40</v>
      </c>
      <c r="P1522">
        <v>39.700000000000003</v>
      </c>
      <c r="Q1522">
        <v>1870</v>
      </c>
      <c r="R1522">
        <v>5</v>
      </c>
      <c r="S1522">
        <v>2</v>
      </c>
      <c r="T1522" t="s">
        <v>47</v>
      </c>
      <c r="U1522" t="s">
        <v>33</v>
      </c>
      <c r="V1522">
        <v>232616</v>
      </c>
      <c r="W1522">
        <v>3.9</v>
      </c>
      <c r="X1522">
        <v>4</v>
      </c>
      <c r="Y1522" t="s">
        <v>34</v>
      </c>
      <c r="Z1522">
        <v>3.43</v>
      </c>
      <c r="AA1522" t="s">
        <v>35</v>
      </c>
    </row>
    <row r="1523" spans="1:27" x14ac:dyDescent="0.3">
      <c r="A1523" t="s">
        <v>100</v>
      </c>
      <c r="B1523" t="s">
        <v>118</v>
      </c>
      <c r="C1523">
        <v>2024</v>
      </c>
      <c r="D1523" t="s">
        <v>50</v>
      </c>
      <c r="E1523">
        <v>119324.89</v>
      </c>
      <c r="F1523">
        <v>90.9</v>
      </c>
      <c r="G1523">
        <v>308</v>
      </c>
      <c r="H1523">
        <v>123.3</v>
      </c>
      <c r="I1523">
        <v>5.39</v>
      </c>
      <c r="J1523">
        <v>168</v>
      </c>
      <c r="K1523">
        <v>1000</v>
      </c>
      <c r="L1523">
        <v>871</v>
      </c>
      <c r="M1523" t="s">
        <v>39</v>
      </c>
      <c r="N1523">
        <v>5</v>
      </c>
      <c r="O1523" t="s">
        <v>31</v>
      </c>
      <c r="P1523">
        <v>63.8</v>
      </c>
      <c r="Q1523">
        <v>2732</v>
      </c>
      <c r="R1523">
        <v>5</v>
      </c>
      <c r="S1523">
        <v>0</v>
      </c>
      <c r="T1523" t="s">
        <v>73</v>
      </c>
      <c r="U1523" t="s">
        <v>33</v>
      </c>
      <c r="V1523">
        <v>11219</v>
      </c>
      <c r="W1523">
        <v>3.7</v>
      </c>
      <c r="X1523">
        <v>5</v>
      </c>
      <c r="Y1523" t="s">
        <v>43</v>
      </c>
      <c r="Z1523">
        <v>3.39</v>
      </c>
      <c r="AA1523" t="s">
        <v>43</v>
      </c>
    </row>
    <row r="1524" spans="1:27" x14ac:dyDescent="0.3">
      <c r="A1524" t="s">
        <v>71</v>
      </c>
      <c r="B1524" t="s">
        <v>75</v>
      </c>
      <c r="C1524">
        <v>2025</v>
      </c>
      <c r="D1524" t="s">
        <v>63</v>
      </c>
      <c r="E1524">
        <v>61646.7</v>
      </c>
      <c r="F1524">
        <v>48.1</v>
      </c>
      <c r="G1524">
        <v>150</v>
      </c>
      <c r="H1524">
        <v>66.900000000000006</v>
      </c>
      <c r="I1524">
        <v>6.74</v>
      </c>
      <c r="J1524">
        <v>145</v>
      </c>
      <c r="K1524">
        <v>651</v>
      </c>
      <c r="L1524">
        <v>520</v>
      </c>
      <c r="M1524" t="s">
        <v>30</v>
      </c>
      <c r="N1524">
        <v>7</v>
      </c>
      <c r="O1524" t="s">
        <v>31</v>
      </c>
      <c r="P1524">
        <v>74.400000000000006</v>
      </c>
      <c r="Q1524">
        <v>2640</v>
      </c>
      <c r="R1524">
        <v>4</v>
      </c>
      <c r="S1524">
        <v>1</v>
      </c>
      <c r="T1524" t="s">
        <v>73</v>
      </c>
      <c r="U1524" t="s">
        <v>42</v>
      </c>
      <c r="V1524">
        <v>115977</v>
      </c>
      <c r="W1524">
        <v>3.2</v>
      </c>
      <c r="X1524">
        <v>4</v>
      </c>
      <c r="Y1524" t="s">
        <v>43</v>
      </c>
      <c r="Z1524">
        <v>3.12</v>
      </c>
      <c r="AA1524" t="s">
        <v>35</v>
      </c>
    </row>
    <row r="1525" spans="1:27" x14ac:dyDescent="0.3">
      <c r="A1525" t="s">
        <v>52</v>
      </c>
      <c r="B1525" t="s">
        <v>53</v>
      </c>
      <c r="C1525">
        <v>2025</v>
      </c>
      <c r="D1525" t="s">
        <v>50</v>
      </c>
      <c r="E1525">
        <v>112948.48</v>
      </c>
      <c r="F1525">
        <v>78.099999999999994</v>
      </c>
      <c r="G1525">
        <v>261</v>
      </c>
      <c r="H1525">
        <v>325.7</v>
      </c>
      <c r="I1525">
        <v>5.89</v>
      </c>
      <c r="J1525">
        <v>169</v>
      </c>
      <c r="K1525">
        <v>787</v>
      </c>
      <c r="L1525">
        <v>637</v>
      </c>
      <c r="M1525" t="s">
        <v>39</v>
      </c>
      <c r="N1525">
        <v>5</v>
      </c>
      <c r="O1525" t="s">
        <v>31</v>
      </c>
      <c r="P1525">
        <v>79.900000000000006</v>
      </c>
      <c r="Q1525">
        <v>2409</v>
      </c>
      <c r="R1525">
        <v>5</v>
      </c>
      <c r="S1525">
        <v>2</v>
      </c>
      <c r="T1525" t="s">
        <v>47</v>
      </c>
      <c r="U1525" t="s">
        <v>33</v>
      </c>
      <c r="V1525">
        <v>130244</v>
      </c>
      <c r="W1525">
        <v>3.5</v>
      </c>
      <c r="X1525">
        <v>4</v>
      </c>
      <c r="Y1525" t="s">
        <v>43</v>
      </c>
      <c r="Z1525">
        <v>3.34</v>
      </c>
      <c r="AA1525" t="s">
        <v>35</v>
      </c>
    </row>
    <row r="1526" spans="1:27" x14ac:dyDescent="0.3">
      <c r="A1526" t="s">
        <v>76</v>
      </c>
      <c r="B1526" t="s">
        <v>77</v>
      </c>
      <c r="C1526">
        <v>2025</v>
      </c>
      <c r="D1526" t="s">
        <v>29</v>
      </c>
      <c r="E1526">
        <v>91101</v>
      </c>
      <c r="F1526">
        <v>93.1</v>
      </c>
      <c r="G1526">
        <v>300</v>
      </c>
      <c r="H1526">
        <v>167.8</v>
      </c>
      <c r="I1526">
        <v>3.9</v>
      </c>
      <c r="J1526">
        <v>193</v>
      </c>
      <c r="K1526">
        <v>1000</v>
      </c>
      <c r="L1526">
        <v>880</v>
      </c>
      <c r="M1526" t="s">
        <v>30</v>
      </c>
      <c r="N1526">
        <v>7</v>
      </c>
      <c r="O1526" t="s">
        <v>46</v>
      </c>
      <c r="P1526">
        <v>70.099999999999994</v>
      </c>
      <c r="Q1526">
        <v>1500</v>
      </c>
      <c r="R1526">
        <v>5</v>
      </c>
      <c r="S1526">
        <v>1</v>
      </c>
      <c r="T1526" t="s">
        <v>51</v>
      </c>
      <c r="U1526" t="s">
        <v>38</v>
      </c>
      <c r="V1526">
        <v>95350</v>
      </c>
      <c r="W1526">
        <v>3.5</v>
      </c>
      <c r="X1526">
        <v>4</v>
      </c>
      <c r="Y1526" t="s">
        <v>34</v>
      </c>
      <c r="Z1526">
        <v>3.22</v>
      </c>
      <c r="AA1526" t="s">
        <v>35</v>
      </c>
    </row>
    <row r="1527" spans="1:27" x14ac:dyDescent="0.3">
      <c r="A1527" t="s">
        <v>71</v>
      </c>
      <c r="B1527" t="s">
        <v>115</v>
      </c>
      <c r="C1527">
        <v>2022</v>
      </c>
      <c r="D1527" t="s">
        <v>63</v>
      </c>
      <c r="E1527">
        <v>30225.18</v>
      </c>
      <c r="F1527">
        <v>54.4</v>
      </c>
      <c r="G1527">
        <v>172</v>
      </c>
      <c r="H1527">
        <v>86.1</v>
      </c>
      <c r="I1527">
        <v>5.71</v>
      </c>
      <c r="J1527">
        <v>162</v>
      </c>
      <c r="K1527">
        <v>266</v>
      </c>
      <c r="L1527">
        <v>255</v>
      </c>
      <c r="M1527" t="s">
        <v>54</v>
      </c>
      <c r="N1527">
        <v>5</v>
      </c>
      <c r="O1527" t="s">
        <v>57</v>
      </c>
      <c r="P1527">
        <v>22.3</v>
      </c>
      <c r="Q1527">
        <v>1704</v>
      </c>
      <c r="R1527">
        <v>4</v>
      </c>
      <c r="S1527">
        <v>0</v>
      </c>
      <c r="T1527" t="s">
        <v>73</v>
      </c>
      <c r="U1527" t="s">
        <v>74</v>
      </c>
      <c r="V1527">
        <v>237770</v>
      </c>
      <c r="W1527">
        <v>3.4</v>
      </c>
      <c r="X1527">
        <v>4</v>
      </c>
      <c r="Y1527" t="s">
        <v>43</v>
      </c>
      <c r="Z1527">
        <v>3.16</v>
      </c>
      <c r="AA1527" t="s">
        <v>35</v>
      </c>
    </row>
    <row r="1528" spans="1:27" x14ac:dyDescent="0.3">
      <c r="A1528" t="s">
        <v>71</v>
      </c>
      <c r="B1528" t="s">
        <v>75</v>
      </c>
      <c r="C1528">
        <v>2025</v>
      </c>
      <c r="D1528" t="s">
        <v>50</v>
      </c>
      <c r="E1528">
        <v>104231.93</v>
      </c>
      <c r="F1528">
        <v>79.599999999999994</v>
      </c>
      <c r="G1528">
        <v>254</v>
      </c>
      <c r="H1528">
        <v>106.6</v>
      </c>
      <c r="I1528">
        <v>4.1900000000000004</v>
      </c>
      <c r="J1528">
        <v>186</v>
      </c>
      <c r="K1528">
        <v>1000</v>
      </c>
      <c r="L1528">
        <v>903</v>
      </c>
      <c r="M1528" t="s">
        <v>39</v>
      </c>
      <c r="N1528">
        <v>5</v>
      </c>
      <c r="O1528" t="s">
        <v>46</v>
      </c>
      <c r="P1528">
        <v>62.5</v>
      </c>
      <c r="Q1528">
        <v>1649</v>
      </c>
      <c r="R1528">
        <v>4</v>
      </c>
      <c r="S1528">
        <v>2</v>
      </c>
      <c r="T1528" t="s">
        <v>73</v>
      </c>
      <c r="U1528" t="s">
        <v>33</v>
      </c>
      <c r="V1528">
        <v>190907</v>
      </c>
      <c r="W1528">
        <v>3.5</v>
      </c>
      <c r="X1528">
        <v>4</v>
      </c>
      <c r="Y1528" t="s">
        <v>43</v>
      </c>
      <c r="Z1528">
        <v>3.19</v>
      </c>
      <c r="AA1528" t="s">
        <v>35</v>
      </c>
    </row>
    <row r="1529" spans="1:27" x14ac:dyDescent="0.3">
      <c r="A1529" t="s">
        <v>71</v>
      </c>
      <c r="B1529" t="s">
        <v>90</v>
      </c>
      <c r="C1529">
        <v>2024</v>
      </c>
      <c r="D1529" t="s">
        <v>63</v>
      </c>
      <c r="E1529">
        <v>45940.66</v>
      </c>
      <c r="F1529">
        <v>72.5</v>
      </c>
      <c r="G1529">
        <v>255</v>
      </c>
      <c r="H1529">
        <v>76.400000000000006</v>
      </c>
      <c r="I1529">
        <v>5.42</v>
      </c>
      <c r="J1529">
        <v>176</v>
      </c>
      <c r="K1529">
        <v>484</v>
      </c>
      <c r="L1529">
        <v>435</v>
      </c>
      <c r="M1529" t="s">
        <v>30</v>
      </c>
      <c r="N1529">
        <v>5</v>
      </c>
      <c r="O1529" t="s">
        <v>31</v>
      </c>
      <c r="P1529">
        <v>76</v>
      </c>
      <c r="Q1529">
        <v>2531</v>
      </c>
      <c r="R1529">
        <v>5</v>
      </c>
      <c r="S1529">
        <v>2</v>
      </c>
      <c r="T1529" t="s">
        <v>73</v>
      </c>
      <c r="U1529" t="s">
        <v>42</v>
      </c>
      <c r="V1529">
        <v>114800</v>
      </c>
      <c r="W1529">
        <v>3.5</v>
      </c>
      <c r="X1529">
        <v>3</v>
      </c>
      <c r="Y1529" t="s">
        <v>43</v>
      </c>
      <c r="Z1529">
        <v>3.52</v>
      </c>
      <c r="AA1529" t="s">
        <v>35</v>
      </c>
    </row>
    <row r="1530" spans="1:27" x14ac:dyDescent="0.3">
      <c r="A1530" t="s">
        <v>84</v>
      </c>
      <c r="B1530" t="s">
        <v>85</v>
      </c>
      <c r="C1530">
        <v>2025</v>
      </c>
      <c r="D1530" t="s">
        <v>68</v>
      </c>
      <c r="E1530">
        <v>68547.740000000005</v>
      </c>
      <c r="F1530">
        <v>40.5</v>
      </c>
      <c r="G1530">
        <v>153</v>
      </c>
      <c r="H1530">
        <v>104</v>
      </c>
      <c r="I1530">
        <v>5.31</v>
      </c>
      <c r="J1530">
        <v>168</v>
      </c>
      <c r="K1530">
        <v>738</v>
      </c>
      <c r="L1530">
        <v>635</v>
      </c>
      <c r="M1530" t="s">
        <v>54</v>
      </c>
      <c r="N1530">
        <v>5</v>
      </c>
      <c r="O1530" t="s">
        <v>57</v>
      </c>
      <c r="P1530">
        <v>22</v>
      </c>
      <c r="Q1530">
        <v>1696</v>
      </c>
      <c r="R1530">
        <v>5</v>
      </c>
      <c r="S1530">
        <v>1</v>
      </c>
      <c r="T1530" t="s">
        <v>47</v>
      </c>
      <c r="U1530" t="s">
        <v>38</v>
      </c>
      <c r="V1530">
        <v>25642</v>
      </c>
      <c r="W1530">
        <v>3.3</v>
      </c>
      <c r="X1530">
        <v>5</v>
      </c>
      <c r="Y1530" t="s">
        <v>43</v>
      </c>
      <c r="Z1530">
        <v>3.78</v>
      </c>
      <c r="AA1530" t="s">
        <v>35</v>
      </c>
    </row>
    <row r="1531" spans="1:27" x14ac:dyDescent="0.3">
      <c r="A1531" t="s">
        <v>48</v>
      </c>
      <c r="B1531" t="s">
        <v>123</v>
      </c>
      <c r="C1531">
        <v>2025</v>
      </c>
      <c r="D1531" t="s">
        <v>50</v>
      </c>
      <c r="E1531">
        <v>46513</v>
      </c>
      <c r="F1531">
        <v>99</v>
      </c>
      <c r="G1531">
        <v>349</v>
      </c>
      <c r="H1531">
        <v>87.7</v>
      </c>
      <c r="I1531">
        <v>4.41</v>
      </c>
      <c r="J1531">
        <v>182</v>
      </c>
      <c r="K1531">
        <v>443</v>
      </c>
      <c r="L1531">
        <v>412</v>
      </c>
      <c r="M1531" t="s">
        <v>39</v>
      </c>
      <c r="N1531">
        <v>5</v>
      </c>
      <c r="O1531" t="s">
        <v>31</v>
      </c>
      <c r="P1531">
        <v>75.099999999999994</v>
      </c>
      <c r="Q1531">
        <v>2677</v>
      </c>
      <c r="R1531">
        <v>4</v>
      </c>
      <c r="S1531">
        <v>2</v>
      </c>
      <c r="T1531" t="s">
        <v>51</v>
      </c>
      <c r="U1531" t="s">
        <v>42</v>
      </c>
      <c r="V1531">
        <v>124966</v>
      </c>
      <c r="W1531">
        <v>3.9</v>
      </c>
      <c r="X1531">
        <v>4</v>
      </c>
      <c r="Y1531" t="s">
        <v>43</v>
      </c>
      <c r="Z1531">
        <v>3.53</v>
      </c>
      <c r="AA1531" t="s">
        <v>35</v>
      </c>
    </row>
    <row r="1532" spans="1:27" x14ac:dyDescent="0.3">
      <c r="A1532" t="s">
        <v>71</v>
      </c>
      <c r="B1532" t="s">
        <v>96</v>
      </c>
      <c r="C1532">
        <v>2022</v>
      </c>
      <c r="D1532" t="s">
        <v>68</v>
      </c>
      <c r="E1532">
        <v>72612.58</v>
      </c>
      <c r="F1532">
        <v>73.400000000000006</v>
      </c>
      <c r="G1532">
        <v>257</v>
      </c>
      <c r="H1532">
        <v>112.5</v>
      </c>
      <c r="I1532">
        <v>7.56</v>
      </c>
      <c r="J1532">
        <v>142</v>
      </c>
      <c r="K1532">
        <v>793</v>
      </c>
      <c r="L1532">
        <v>668</v>
      </c>
      <c r="M1532" t="s">
        <v>39</v>
      </c>
      <c r="N1532">
        <v>7</v>
      </c>
      <c r="O1532" t="s">
        <v>46</v>
      </c>
      <c r="P1532">
        <v>64.3</v>
      </c>
      <c r="Q1532">
        <v>1500</v>
      </c>
      <c r="R1532">
        <v>4</v>
      </c>
      <c r="S1532">
        <v>1</v>
      </c>
      <c r="T1532" t="s">
        <v>73</v>
      </c>
      <c r="U1532" t="s">
        <v>38</v>
      </c>
      <c r="V1532">
        <v>232843</v>
      </c>
      <c r="W1532">
        <v>3.3</v>
      </c>
      <c r="X1532">
        <v>4</v>
      </c>
      <c r="Y1532" t="s">
        <v>61</v>
      </c>
      <c r="Z1532">
        <v>3.5</v>
      </c>
      <c r="AA1532" t="s">
        <v>35</v>
      </c>
    </row>
    <row r="1533" spans="1:27" x14ac:dyDescent="0.3">
      <c r="A1533" t="s">
        <v>48</v>
      </c>
      <c r="B1533" t="s">
        <v>60</v>
      </c>
      <c r="C1533">
        <v>2022</v>
      </c>
      <c r="D1533" t="s">
        <v>63</v>
      </c>
      <c r="E1533">
        <v>34817.25</v>
      </c>
      <c r="F1533">
        <v>56.3</v>
      </c>
      <c r="G1533">
        <v>207</v>
      </c>
      <c r="H1533">
        <v>107.7</v>
      </c>
      <c r="I1533">
        <v>5.43</v>
      </c>
      <c r="J1533">
        <v>173</v>
      </c>
      <c r="K1533">
        <v>236</v>
      </c>
      <c r="L1533">
        <v>242</v>
      </c>
      <c r="M1533" t="s">
        <v>54</v>
      </c>
      <c r="N1533">
        <v>7</v>
      </c>
      <c r="O1533" t="s">
        <v>31</v>
      </c>
      <c r="P1533">
        <v>56.4</v>
      </c>
      <c r="Q1533">
        <v>2426</v>
      </c>
      <c r="R1533">
        <v>4</v>
      </c>
      <c r="S1533">
        <v>1</v>
      </c>
      <c r="T1533" t="s">
        <v>51</v>
      </c>
      <c r="U1533" t="s">
        <v>74</v>
      </c>
      <c r="V1533">
        <v>109878</v>
      </c>
      <c r="W1533">
        <v>3.3</v>
      </c>
      <c r="X1533">
        <v>4</v>
      </c>
      <c r="Y1533" t="s">
        <v>43</v>
      </c>
      <c r="Z1533">
        <v>3.68</v>
      </c>
      <c r="AA1533" t="s">
        <v>35</v>
      </c>
    </row>
    <row r="1534" spans="1:27" x14ac:dyDescent="0.3">
      <c r="A1534" t="s">
        <v>44</v>
      </c>
      <c r="B1534" t="s">
        <v>45</v>
      </c>
      <c r="C1534">
        <v>2025</v>
      </c>
      <c r="D1534" t="s">
        <v>63</v>
      </c>
      <c r="E1534">
        <v>34507.25</v>
      </c>
      <c r="F1534">
        <v>66.400000000000006</v>
      </c>
      <c r="G1534">
        <v>230</v>
      </c>
      <c r="H1534">
        <v>125.8</v>
      </c>
      <c r="I1534">
        <v>6.28</v>
      </c>
      <c r="J1534">
        <v>167</v>
      </c>
      <c r="K1534">
        <v>291</v>
      </c>
      <c r="L1534">
        <v>200</v>
      </c>
      <c r="M1534" t="s">
        <v>54</v>
      </c>
      <c r="N1534">
        <v>7</v>
      </c>
      <c r="O1534" t="s">
        <v>31</v>
      </c>
      <c r="P1534">
        <v>64.599999999999994</v>
      </c>
      <c r="Q1534">
        <v>2166</v>
      </c>
      <c r="R1534">
        <v>5</v>
      </c>
      <c r="S1534">
        <v>1</v>
      </c>
      <c r="T1534" t="s">
        <v>47</v>
      </c>
      <c r="U1534" t="s">
        <v>74</v>
      </c>
      <c r="V1534">
        <v>18832</v>
      </c>
      <c r="W1534">
        <v>3.2</v>
      </c>
      <c r="X1534">
        <v>4</v>
      </c>
      <c r="Y1534" t="s">
        <v>43</v>
      </c>
      <c r="Z1534">
        <v>3.46</v>
      </c>
      <c r="AA1534" t="s">
        <v>43</v>
      </c>
    </row>
    <row r="1535" spans="1:27" x14ac:dyDescent="0.3">
      <c r="A1535" t="s">
        <v>71</v>
      </c>
      <c r="B1535" t="s">
        <v>115</v>
      </c>
      <c r="C1535">
        <v>2023</v>
      </c>
      <c r="D1535" t="s">
        <v>50</v>
      </c>
      <c r="E1535">
        <v>27057.77</v>
      </c>
      <c r="F1535">
        <v>108.5</v>
      </c>
      <c r="G1535">
        <v>385</v>
      </c>
      <c r="H1535">
        <v>77.2</v>
      </c>
      <c r="I1535">
        <v>5.89</v>
      </c>
      <c r="J1535">
        <v>162</v>
      </c>
      <c r="K1535">
        <v>295</v>
      </c>
      <c r="L1535">
        <v>278</v>
      </c>
      <c r="M1535" t="s">
        <v>30</v>
      </c>
      <c r="N1535">
        <v>5</v>
      </c>
      <c r="O1535" t="s">
        <v>65</v>
      </c>
      <c r="P1535">
        <v>31.5</v>
      </c>
      <c r="Q1535">
        <v>1500</v>
      </c>
      <c r="R1535">
        <v>4</v>
      </c>
      <c r="S1535">
        <v>1</v>
      </c>
      <c r="T1535" t="s">
        <v>73</v>
      </c>
      <c r="U1535" t="s">
        <v>74</v>
      </c>
      <c r="V1535">
        <v>176350</v>
      </c>
      <c r="W1535">
        <v>3.6</v>
      </c>
      <c r="X1535">
        <v>4</v>
      </c>
      <c r="Y1535" t="s">
        <v>43</v>
      </c>
      <c r="Z1535">
        <v>3.55</v>
      </c>
      <c r="AA1535" t="s">
        <v>35</v>
      </c>
    </row>
    <row r="1536" spans="1:27" x14ac:dyDescent="0.3">
      <c r="A1536" t="s">
        <v>27</v>
      </c>
      <c r="B1536" t="s">
        <v>78</v>
      </c>
      <c r="C1536">
        <v>2020</v>
      </c>
      <c r="D1536" t="s">
        <v>38</v>
      </c>
      <c r="E1536">
        <v>48608.56</v>
      </c>
      <c r="F1536">
        <v>41.4</v>
      </c>
      <c r="G1536">
        <v>163</v>
      </c>
      <c r="H1536">
        <v>71.099999999999994</v>
      </c>
      <c r="I1536">
        <v>5.45</v>
      </c>
      <c r="J1536">
        <v>175</v>
      </c>
      <c r="K1536">
        <v>443</v>
      </c>
      <c r="L1536">
        <v>450</v>
      </c>
      <c r="M1536" t="s">
        <v>30</v>
      </c>
      <c r="N1536">
        <v>5</v>
      </c>
      <c r="O1536" t="s">
        <v>31</v>
      </c>
      <c r="P1536">
        <v>57.3</v>
      </c>
      <c r="Q1536">
        <v>2188</v>
      </c>
      <c r="R1536">
        <v>5</v>
      </c>
      <c r="S1536">
        <v>1</v>
      </c>
      <c r="T1536" t="s">
        <v>32</v>
      </c>
      <c r="U1536" t="s">
        <v>42</v>
      </c>
      <c r="V1536">
        <v>221203</v>
      </c>
      <c r="W1536">
        <v>3.4</v>
      </c>
      <c r="X1536">
        <v>4</v>
      </c>
      <c r="Y1536" t="s">
        <v>43</v>
      </c>
      <c r="Z1536">
        <v>3.94</v>
      </c>
      <c r="AA1536" t="s">
        <v>35</v>
      </c>
    </row>
    <row r="1537" spans="1:27" x14ac:dyDescent="0.3">
      <c r="A1537" t="s">
        <v>52</v>
      </c>
      <c r="B1537" t="s">
        <v>86</v>
      </c>
      <c r="C1537">
        <v>2025</v>
      </c>
      <c r="D1537" t="s">
        <v>63</v>
      </c>
      <c r="E1537">
        <v>30686.17</v>
      </c>
      <c r="F1537">
        <v>65.2</v>
      </c>
      <c r="G1537">
        <v>245</v>
      </c>
      <c r="H1537">
        <v>343.2</v>
      </c>
      <c r="I1537">
        <v>7.58</v>
      </c>
      <c r="J1537">
        <v>138</v>
      </c>
      <c r="K1537">
        <v>162</v>
      </c>
      <c r="L1537">
        <v>200</v>
      </c>
      <c r="M1537" t="s">
        <v>30</v>
      </c>
      <c r="N1537">
        <v>5</v>
      </c>
      <c r="O1537" t="s">
        <v>65</v>
      </c>
      <c r="P1537">
        <v>24.8</v>
      </c>
      <c r="Q1537">
        <v>1533</v>
      </c>
      <c r="R1537">
        <v>5</v>
      </c>
      <c r="S1537">
        <v>2</v>
      </c>
      <c r="T1537" t="s">
        <v>47</v>
      </c>
      <c r="U1537" t="s">
        <v>74</v>
      </c>
      <c r="V1537">
        <v>248383</v>
      </c>
      <c r="W1537">
        <v>3.6</v>
      </c>
      <c r="X1537">
        <v>4</v>
      </c>
      <c r="Y1537" t="s">
        <v>61</v>
      </c>
      <c r="Z1537">
        <v>3.76</v>
      </c>
      <c r="AA1537" t="s">
        <v>35</v>
      </c>
    </row>
    <row r="1538" spans="1:27" x14ac:dyDescent="0.3">
      <c r="A1538" t="s">
        <v>52</v>
      </c>
      <c r="B1538" t="s">
        <v>80</v>
      </c>
      <c r="C1538">
        <v>2023</v>
      </c>
      <c r="D1538" t="s">
        <v>29</v>
      </c>
      <c r="E1538">
        <v>56003.28</v>
      </c>
      <c r="F1538">
        <v>108.7</v>
      </c>
      <c r="G1538">
        <v>392</v>
      </c>
      <c r="H1538">
        <v>231.2</v>
      </c>
      <c r="I1538">
        <v>3.88</v>
      </c>
      <c r="J1538">
        <v>192</v>
      </c>
      <c r="K1538">
        <v>391</v>
      </c>
      <c r="L1538">
        <v>330</v>
      </c>
      <c r="M1538" t="s">
        <v>30</v>
      </c>
      <c r="N1538">
        <v>5</v>
      </c>
      <c r="O1538" t="s">
        <v>31</v>
      </c>
      <c r="P1538">
        <v>60</v>
      </c>
      <c r="Q1538">
        <v>2669</v>
      </c>
      <c r="R1538">
        <v>4</v>
      </c>
      <c r="S1538">
        <v>3</v>
      </c>
      <c r="T1538" t="s">
        <v>47</v>
      </c>
      <c r="U1538" t="s">
        <v>42</v>
      </c>
      <c r="V1538">
        <v>102435</v>
      </c>
      <c r="W1538">
        <v>4</v>
      </c>
      <c r="X1538">
        <v>4</v>
      </c>
      <c r="Y1538" t="s">
        <v>34</v>
      </c>
      <c r="Z1538">
        <v>3.61</v>
      </c>
      <c r="AA1538" t="s">
        <v>35</v>
      </c>
    </row>
    <row r="1539" spans="1:27" x14ac:dyDescent="0.3">
      <c r="A1539" t="s">
        <v>91</v>
      </c>
      <c r="B1539" t="s">
        <v>97</v>
      </c>
      <c r="C1539">
        <v>2025</v>
      </c>
      <c r="D1539" t="s">
        <v>68</v>
      </c>
      <c r="E1539">
        <v>75699.03</v>
      </c>
      <c r="F1539">
        <v>67.400000000000006</v>
      </c>
      <c r="G1539">
        <v>240</v>
      </c>
      <c r="H1539">
        <v>129</v>
      </c>
      <c r="I1539">
        <v>5.37</v>
      </c>
      <c r="J1539">
        <v>172</v>
      </c>
      <c r="K1539">
        <v>482</v>
      </c>
      <c r="L1539">
        <v>447</v>
      </c>
      <c r="M1539" t="s">
        <v>39</v>
      </c>
      <c r="N1539">
        <v>5</v>
      </c>
      <c r="O1539" t="s">
        <v>65</v>
      </c>
      <c r="P1539">
        <v>19.899999999999999</v>
      </c>
      <c r="Q1539">
        <v>1537</v>
      </c>
      <c r="R1539">
        <v>5</v>
      </c>
      <c r="S1539">
        <v>1</v>
      </c>
      <c r="T1539" t="s">
        <v>32</v>
      </c>
      <c r="U1539" t="s">
        <v>38</v>
      </c>
      <c r="V1539">
        <v>23009</v>
      </c>
      <c r="W1539">
        <v>3.5</v>
      </c>
      <c r="X1539">
        <v>6</v>
      </c>
      <c r="Y1539" t="s">
        <v>43</v>
      </c>
      <c r="Z1539">
        <v>3.56</v>
      </c>
      <c r="AA1539" t="s">
        <v>35</v>
      </c>
    </row>
    <row r="1540" spans="1:27" x14ac:dyDescent="0.3">
      <c r="A1540" t="s">
        <v>52</v>
      </c>
      <c r="B1540" t="s">
        <v>64</v>
      </c>
      <c r="C1540">
        <v>2025</v>
      </c>
      <c r="D1540" t="s">
        <v>38</v>
      </c>
      <c r="E1540">
        <v>102510.62</v>
      </c>
      <c r="F1540">
        <v>40.799999999999997</v>
      </c>
      <c r="G1540">
        <v>150</v>
      </c>
      <c r="H1540">
        <v>229.2</v>
      </c>
      <c r="I1540">
        <v>7.08</v>
      </c>
      <c r="J1540">
        <v>140</v>
      </c>
      <c r="K1540">
        <v>755</v>
      </c>
      <c r="L1540">
        <v>692</v>
      </c>
      <c r="M1540" t="s">
        <v>30</v>
      </c>
      <c r="N1540">
        <v>5</v>
      </c>
      <c r="O1540" t="s">
        <v>57</v>
      </c>
      <c r="P1540">
        <v>25.9</v>
      </c>
      <c r="Q1540">
        <v>1648</v>
      </c>
      <c r="R1540">
        <v>4</v>
      </c>
      <c r="S1540">
        <v>2</v>
      </c>
      <c r="T1540" t="s">
        <v>47</v>
      </c>
      <c r="U1540" t="s">
        <v>33</v>
      </c>
      <c r="V1540">
        <v>206373</v>
      </c>
      <c r="W1540">
        <v>3.6</v>
      </c>
      <c r="X1540">
        <v>6</v>
      </c>
      <c r="Y1540" t="s">
        <v>61</v>
      </c>
      <c r="Z1540">
        <v>3.68</v>
      </c>
      <c r="AA1540" t="s">
        <v>35</v>
      </c>
    </row>
    <row r="1541" spans="1:27" x14ac:dyDescent="0.3">
      <c r="A1541" t="s">
        <v>76</v>
      </c>
      <c r="B1541" t="s">
        <v>98</v>
      </c>
      <c r="C1541">
        <v>2022</v>
      </c>
      <c r="D1541" t="s">
        <v>68</v>
      </c>
      <c r="E1541">
        <v>39241.19</v>
      </c>
      <c r="F1541">
        <v>62.3</v>
      </c>
      <c r="G1541">
        <v>205</v>
      </c>
      <c r="H1541">
        <v>97.7</v>
      </c>
      <c r="I1541">
        <v>5.35</v>
      </c>
      <c r="J1541">
        <v>173</v>
      </c>
      <c r="K1541">
        <v>416</v>
      </c>
      <c r="L1541">
        <v>406</v>
      </c>
      <c r="M1541" t="s">
        <v>39</v>
      </c>
      <c r="N1541">
        <v>5</v>
      </c>
      <c r="O1541" t="s">
        <v>40</v>
      </c>
      <c r="P1541">
        <v>51.8</v>
      </c>
      <c r="Q1541">
        <v>1948</v>
      </c>
      <c r="R1541">
        <v>5</v>
      </c>
      <c r="S1541">
        <v>0</v>
      </c>
      <c r="T1541" t="s">
        <v>51</v>
      </c>
      <c r="U1541" t="s">
        <v>42</v>
      </c>
      <c r="V1541">
        <v>50222</v>
      </c>
      <c r="W1541">
        <v>3.3</v>
      </c>
      <c r="X1541">
        <v>4</v>
      </c>
      <c r="Y1541" t="s">
        <v>43</v>
      </c>
      <c r="Z1541">
        <v>3.29</v>
      </c>
      <c r="AA1541" t="s">
        <v>35</v>
      </c>
    </row>
    <row r="1542" spans="1:27" x14ac:dyDescent="0.3">
      <c r="A1542" t="s">
        <v>44</v>
      </c>
      <c r="B1542" t="s">
        <v>109</v>
      </c>
      <c r="C1542">
        <v>2025</v>
      </c>
      <c r="D1542" t="s">
        <v>50</v>
      </c>
      <c r="E1542">
        <v>74596.820000000007</v>
      </c>
      <c r="F1542">
        <v>94.2</v>
      </c>
      <c r="G1542">
        <v>323</v>
      </c>
      <c r="H1542">
        <v>59.2</v>
      </c>
      <c r="I1542">
        <v>5.24</v>
      </c>
      <c r="J1542">
        <v>178</v>
      </c>
      <c r="K1542">
        <v>1000</v>
      </c>
      <c r="L1542">
        <v>902</v>
      </c>
      <c r="M1542" t="s">
        <v>30</v>
      </c>
      <c r="N1542">
        <v>7</v>
      </c>
      <c r="O1542" t="s">
        <v>31</v>
      </c>
      <c r="P1542">
        <v>74.099999999999994</v>
      </c>
      <c r="Q1542">
        <v>2456</v>
      </c>
      <c r="R1542">
        <v>4</v>
      </c>
      <c r="S1542">
        <v>0</v>
      </c>
      <c r="T1542" t="s">
        <v>47</v>
      </c>
      <c r="U1542" t="s">
        <v>38</v>
      </c>
      <c r="V1542">
        <v>14842</v>
      </c>
      <c r="W1542">
        <v>3.6</v>
      </c>
      <c r="X1542">
        <v>5</v>
      </c>
      <c r="Y1542" t="s">
        <v>43</v>
      </c>
      <c r="Z1542">
        <v>3.43</v>
      </c>
      <c r="AA1542" t="s">
        <v>43</v>
      </c>
    </row>
    <row r="1543" spans="1:27" x14ac:dyDescent="0.3">
      <c r="A1543" t="s">
        <v>52</v>
      </c>
      <c r="B1543" t="s">
        <v>64</v>
      </c>
      <c r="C1543">
        <v>2024</v>
      </c>
      <c r="D1543" t="s">
        <v>29</v>
      </c>
      <c r="E1543">
        <v>62920.59</v>
      </c>
      <c r="F1543">
        <v>91</v>
      </c>
      <c r="G1543">
        <v>352</v>
      </c>
      <c r="H1543">
        <v>239.9</v>
      </c>
      <c r="I1543">
        <v>4.04</v>
      </c>
      <c r="J1543">
        <v>184</v>
      </c>
      <c r="K1543">
        <v>443</v>
      </c>
      <c r="L1543">
        <v>372</v>
      </c>
      <c r="M1543" t="s">
        <v>54</v>
      </c>
      <c r="N1543">
        <v>5</v>
      </c>
      <c r="O1543" t="s">
        <v>46</v>
      </c>
      <c r="P1543">
        <v>71.7</v>
      </c>
      <c r="Q1543">
        <v>1500</v>
      </c>
      <c r="R1543">
        <v>4</v>
      </c>
      <c r="S1543">
        <v>2</v>
      </c>
      <c r="T1543" t="s">
        <v>47</v>
      </c>
      <c r="U1543" t="s">
        <v>42</v>
      </c>
      <c r="V1543">
        <v>248485</v>
      </c>
      <c r="W1543">
        <v>4.4000000000000004</v>
      </c>
      <c r="X1543">
        <v>4</v>
      </c>
      <c r="Y1543" t="s">
        <v>43</v>
      </c>
      <c r="Z1543">
        <v>3.87</v>
      </c>
      <c r="AA1543" t="s">
        <v>35</v>
      </c>
    </row>
    <row r="1544" spans="1:27" x14ac:dyDescent="0.3">
      <c r="A1544" t="s">
        <v>48</v>
      </c>
      <c r="B1544" t="s">
        <v>88</v>
      </c>
      <c r="C1544">
        <v>2023</v>
      </c>
      <c r="D1544" t="s">
        <v>50</v>
      </c>
      <c r="E1544">
        <v>62846.87</v>
      </c>
      <c r="F1544">
        <v>96.2</v>
      </c>
      <c r="G1544">
        <v>339</v>
      </c>
      <c r="H1544">
        <v>123.1</v>
      </c>
      <c r="I1544">
        <v>4.6900000000000004</v>
      </c>
      <c r="J1544">
        <v>186</v>
      </c>
      <c r="K1544">
        <v>698</v>
      </c>
      <c r="L1544">
        <v>598</v>
      </c>
      <c r="M1544" t="s">
        <v>39</v>
      </c>
      <c r="N1544">
        <v>7</v>
      </c>
      <c r="O1544" t="s">
        <v>40</v>
      </c>
      <c r="P1544">
        <v>47</v>
      </c>
      <c r="Q1544">
        <v>1905</v>
      </c>
      <c r="R1544">
        <v>5</v>
      </c>
      <c r="S1544">
        <v>0</v>
      </c>
      <c r="T1544" t="s">
        <v>51</v>
      </c>
      <c r="U1544" t="s">
        <v>42</v>
      </c>
      <c r="V1544">
        <v>73090</v>
      </c>
      <c r="W1544">
        <v>3.8</v>
      </c>
      <c r="X1544">
        <v>4</v>
      </c>
      <c r="Y1544" t="s">
        <v>43</v>
      </c>
      <c r="Z1544">
        <v>3.52</v>
      </c>
      <c r="AA1544" t="s">
        <v>35</v>
      </c>
    </row>
    <row r="1545" spans="1:27" x14ac:dyDescent="0.3">
      <c r="A1545" t="s">
        <v>71</v>
      </c>
      <c r="B1545" t="s">
        <v>81</v>
      </c>
      <c r="C1545">
        <v>2023</v>
      </c>
      <c r="D1545" t="s">
        <v>38</v>
      </c>
      <c r="E1545">
        <v>44973.03</v>
      </c>
      <c r="F1545">
        <v>70.2</v>
      </c>
      <c r="G1545">
        <v>272</v>
      </c>
      <c r="H1545">
        <v>98.7</v>
      </c>
      <c r="I1545">
        <v>6.41</v>
      </c>
      <c r="J1545">
        <v>156</v>
      </c>
      <c r="K1545">
        <v>493</v>
      </c>
      <c r="L1545">
        <v>472</v>
      </c>
      <c r="M1545" t="s">
        <v>54</v>
      </c>
      <c r="N1545">
        <v>5</v>
      </c>
      <c r="O1545" t="s">
        <v>56</v>
      </c>
      <c r="P1545">
        <v>36.299999999999997</v>
      </c>
      <c r="Q1545">
        <v>2102</v>
      </c>
      <c r="R1545">
        <v>4</v>
      </c>
      <c r="S1545">
        <v>1</v>
      </c>
      <c r="T1545" t="s">
        <v>73</v>
      </c>
      <c r="U1545" t="s">
        <v>42</v>
      </c>
      <c r="V1545">
        <v>163237</v>
      </c>
      <c r="W1545">
        <v>3.6</v>
      </c>
      <c r="X1545">
        <v>4</v>
      </c>
      <c r="Y1545" t="s">
        <v>43</v>
      </c>
      <c r="Z1545">
        <v>3.87</v>
      </c>
      <c r="AA1545" t="s">
        <v>35</v>
      </c>
    </row>
    <row r="1546" spans="1:27" x14ac:dyDescent="0.3">
      <c r="A1546" t="s">
        <v>36</v>
      </c>
      <c r="B1546" t="s">
        <v>37</v>
      </c>
      <c r="C1546">
        <v>2026</v>
      </c>
      <c r="D1546" t="s">
        <v>50</v>
      </c>
      <c r="E1546">
        <v>86892.09</v>
      </c>
      <c r="F1546">
        <v>84.1</v>
      </c>
      <c r="G1546">
        <v>298</v>
      </c>
      <c r="H1546">
        <v>115.8</v>
      </c>
      <c r="I1546">
        <v>4.2300000000000004</v>
      </c>
      <c r="J1546">
        <v>186</v>
      </c>
      <c r="K1546">
        <v>1000</v>
      </c>
      <c r="L1546">
        <v>879</v>
      </c>
      <c r="M1546" t="s">
        <v>39</v>
      </c>
      <c r="N1546">
        <v>7</v>
      </c>
      <c r="O1546" t="s">
        <v>40</v>
      </c>
      <c r="P1546">
        <v>44.6</v>
      </c>
      <c r="Q1546">
        <v>1924</v>
      </c>
      <c r="R1546">
        <v>4</v>
      </c>
      <c r="S1546">
        <v>1</v>
      </c>
      <c r="T1546" t="s">
        <v>41</v>
      </c>
      <c r="U1546" t="s">
        <v>38</v>
      </c>
      <c r="V1546">
        <v>27998</v>
      </c>
      <c r="W1546">
        <v>3.6</v>
      </c>
      <c r="X1546">
        <v>4</v>
      </c>
      <c r="Y1546" t="s">
        <v>43</v>
      </c>
      <c r="Z1546">
        <v>3.54</v>
      </c>
      <c r="AA1546" t="s">
        <v>35</v>
      </c>
    </row>
    <row r="1547" spans="1:27" x14ac:dyDescent="0.3">
      <c r="A1547" t="s">
        <v>76</v>
      </c>
      <c r="B1547" t="s">
        <v>87</v>
      </c>
      <c r="C1547">
        <v>2022</v>
      </c>
      <c r="D1547" t="s">
        <v>29</v>
      </c>
      <c r="E1547">
        <v>56768.4</v>
      </c>
      <c r="F1547">
        <v>117.3</v>
      </c>
      <c r="G1547">
        <v>400</v>
      </c>
      <c r="H1547">
        <v>156.69999999999999</v>
      </c>
      <c r="I1547">
        <v>3.2</v>
      </c>
      <c r="J1547">
        <v>200</v>
      </c>
      <c r="K1547">
        <v>588</v>
      </c>
      <c r="L1547">
        <v>539</v>
      </c>
      <c r="M1547" t="s">
        <v>54</v>
      </c>
      <c r="N1547">
        <v>5</v>
      </c>
      <c r="O1547" t="s">
        <v>57</v>
      </c>
      <c r="P1547">
        <v>29.7</v>
      </c>
      <c r="Q1547">
        <v>1611</v>
      </c>
      <c r="R1547">
        <v>5</v>
      </c>
      <c r="S1547">
        <v>1</v>
      </c>
      <c r="T1547" t="s">
        <v>51</v>
      </c>
      <c r="U1547" t="s">
        <v>42</v>
      </c>
      <c r="V1547">
        <v>141874</v>
      </c>
      <c r="W1547">
        <v>4.2</v>
      </c>
      <c r="X1547">
        <v>4</v>
      </c>
      <c r="Y1547" t="s">
        <v>34</v>
      </c>
      <c r="Z1547">
        <v>3.41</v>
      </c>
      <c r="AA1547" t="s">
        <v>35</v>
      </c>
    </row>
    <row r="1548" spans="1:27" x14ac:dyDescent="0.3">
      <c r="A1548" t="s">
        <v>84</v>
      </c>
      <c r="B1548" t="s">
        <v>106</v>
      </c>
      <c r="C1548">
        <v>2022</v>
      </c>
      <c r="D1548" t="s">
        <v>50</v>
      </c>
      <c r="E1548">
        <v>86649.72</v>
      </c>
      <c r="F1548">
        <v>78.8</v>
      </c>
      <c r="G1548">
        <v>301</v>
      </c>
      <c r="H1548">
        <v>125</v>
      </c>
      <c r="I1548">
        <v>5.18</v>
      </c>
      <c r="J1548">
        <v>175</v>
      </c>
      <c r="K1548">
        <v>1000</v>
      </c>
      <c r="L1548">
        <v>889</v>
      </c>
      <c r="M1548" t="s">
        <v>54</v>
      </c>
      <c r="N1548">
        <v>5</v>
      </c>
      <c r="O1548" t="s">
        <v>31</v>
      </c>
      <c r="P1548">
        <v>74.400000000000006</v>
      </c>
      <c r="Q1548">
        <v>2525</v>
      </c>
      <c r="R1548">
        <v>5</v>
      </c>
      <c r="S1548">
        <v>2</v>
      </c>
      <c r="T1548" t="s">
        <v>47</v>
      </c>
      <c r="U1548" t="s">
        <v>38</v>
      </c>
      <c r="V1548">
        <v>45060</v>
      </c>
      <c r="W1548">
        <v>4</v>
      </c>
      <c r="X1548">
        <v>4</v>
      </c>
      <c r="Y1548" t="s">
        <v>43</v>
      </c>
      <c r="Z1548">
        <v>3.82</v>
      </c>
      <c r="AA1548" t="s">
        <v>35</v>
      </c>
    </row>
    <row r="1549" spans="1:27" x14ac:dyDescent="0.3">
      <c r="A1549" t="s">
        <v>48</v>
      </c>
      <c r="B1549" t="s">
        <v>79</v>
      </c>
      <c r="C1549">
        <v>2023</v>
      </c>
      <c r="D1549" t="s">
        <v>29</v>
      </c>
      <c r="E1549">
        <v>84710.91</v>
      </c>
      <c r="F1549">
        <v>95.4</v>
      </c>
      <c r="G1549">
        <v>364</v>
      </c>
      <c r="H1549">
        <v>187.7</v>
      </c>
      <c r="I1549">
        <v>4.0599999999999996</v>
      </c>
      <c r="J1549">
        <v>192</v>
      </c>
      <c r="K1549">
        <v>1000</v>
      </c>
      <c r="L1549">
        <v>925</v>
      </c>
      <c r="M1549" t="s">
        <v>30</v>
      </c>
      <c r="N1549">
        <v>7</v>
      </c>
      <c r="O1549" t="s">
        <v>65</v>
      </c>
      <c r="P1549">
        <v>29.6</v>
      </c>
      <c r="Q1549">
        <v>1715</v>
      </c>
      <c r="R1549">
        <v>4</v>
      </c>
      <c r="S1549">
        <v>0</v>
      </c>
      <c r="T1549" t="s">
        <v>51</v>
      </c>
      <c r="U1549" t="s">
        <v>38</v>
      </c>
      <c r="V1549">
        <v>109134</v>
      </c>
      <c r="W1549">
        <v>3.7</v>
      </c>
      <c r="X1549">
        <v>4</v>
      </c>
      <c r="Y1549" t="s">
        <v>43</v>
      </c>
      <c r="Z1549">
        <v>3.82</v>
      </c>
      <c r="AA1549" t="s">
        <v>35</v>
      </c>
    </row>
    <row r="1550" spans="1:27" x14ac:dyDescent="0.3">
      <c r="A1550" t="s">
        <v>52</v>
      </c>
      <c r="B1550" t="s">
        <v>64</v>
      </c>
      <c r="C1550">
        <v>2025</v>
      </c>
      <c r="D1550" t="s">
        <v>63</v>
      </c>
      <c r="E1550">
        <v>93767.76</v>
      </c>
      <c r="F1550">
        <v>58.4</v>
      </c>
      <c r="G1550">
        <v>202</v>
      </c>
      <c r="H1550">
        <v>247.1</v>
      </c>
      <c r="I1550">
        <v>7.71</v>
      </c>
      <c r="J1550">
        <v>133</v>
      </c>
      <c r="K1550">
        <v>685</v>
      </c>
      <c r="L1550">
        <v>615</v>
      </c>
      <c r="M1550" t="s">
        <v>39</v>
      </c>
      <c r="N1550">
        <v>5</v>
      </c>
      <c r="O1550" t="s">
        <v>65</v>
      </c>
      <c r="P1550">
        <v>38.9</v>
      </c>
      <c r="Q1550">
        <v>1585</v>
      </c>
      <c r="R1550">
        <v>4</v>
      </c>
      <c r="S1550">
        <v>2</v>
      </c>
      <c r="T1550" t="s">
        <v>47</v>
      </c>
      <c r="U1550" t="s">
        <v>38</v>
      </c>
      <c r="V1550">
        <v>129076</v>
      </c>
      <c r="W1550">
        <v>3.4</v>
      </c>
      <c r="X1550">
        <v>4</v>
      </c>
      <c r="Y1550" t="s">
        <v>61</v>
      </c>
      <c r="Z1550">
        <v>3.46</v>
      </c>
      <c r="AA1550" t="s">
        <v>35</v>
      </c>
    </row>
    <row r="1551" spans="1:27" x14ac:dyDescent="0.3">
      <c r="A1551" t="s">
        <v>91</v>
      </c>
      <c r="B1551" t="s">
        <v>112</v>
      </c>
      <c r="C1551">
        <v>2025</v>
      </c>
      <c r="D1551" t="s">
        <v>38</v>
      </c>
      <c r="E1551">
        <v>133858.15</v>
      </c>
      <c r="F1551">
        <v>74.7</v>
      </c>
      <c r="G1551">
        <v>287</v>
      </c>
      <c r="H1551">
        <v>88.7</v>
      </c>
      <c r="I1551">
        <v>5.3</v>
      </c>
      <c r="J1551">
        <v>169</v>
      </c>
      <c r="K1551">
        <v>1000</v>
      </c>
      <c r="L1551">
        <v>890</v>
      </c>
      <c r="M1551" t="s">
        <v>30</v>
      </c>
      <c r="N1551">
        <v>5</v>
      </c>
      <c r="O1551" t="s">
        <v>40</v>
      </c>
      <c r="P1551">
        <v>50.4</v>
      </c>
      <c r="Q1551">
        <v>2012</v>
      </c>
      <c r="R1551">
        <v>5</v>
      </c>
      <c r="S1551">
        <v>1</v>
      </c>
      <c r="T1551" t="s">
        <v>32</v>
      </c>
      <c r="U1551" t="s">
        <v>33</v>
      </c>
      <c r="V1551">
        <v>27376</v>
      </c>
      <c r="W1551">
        <v>3.4</v>
      </c>
      <c r="X1551">
        <v>8</v>
      </c>
      <c r="Y1551" t="s">
        <v>43</v>
      </c>
      <c r="Z1551">
        <v>3.84</v>
      </c>
      <c r="AA1551" t="s">
        <v>35</v>
      </c>
    </row>
    <row r="1552" spans="1:27" x14ac:dyDescent="0.3">
      <c r="A1552" t="s">
        <v>36</v>
      </c>
      <c r="B1552" t="s">
        <v>120</v>
      </c>
      <c r="C1552">
        <v>2026</v>
      </c>
      <c r="D1552" t="s">
        <v>38</v>
      </c>
      <c r="E1552">
        <v>73010.399999999994</v>
      </c>
      <c r="F1552">
        <v>55.3</v>
      </c>
      <c r="G1552">
        <v>213</v>
      </c>
      <c r="H1552">
        <v>72.3</v>
      </c>
      <c r="I1552">
        <v>6.41</v>
      </c>
      <c r="J1552">
        <v>152</v>
      </c>
      <c r="K1552">
        <v>910</v>
      </c>
      <c r="L1552">
        <v>807</v>
      </c>
      <c r="M1552" t="s">
        <v>30</v>
      </c>
      <c r="N1552">
        <v>5</v>
      </c>
      <c r="O1552" t="s">
        <v>65</v>
      </c>
      <c r="P1552">
        <v>17.100000000000001</v>
      </c>
      <c r="Q1552">
        <v>1595</v>
      </c>
      <c r="R1552">
        <v>4</v>
      </c>
      <c r="S1552">
        <v>0</v>
      </c>
      <c r="T1552" t="s">
        <v>41</v>
      </c>
      <c r="U1552" t="s">
        <v>38</v>
      </c>
      <c r="V1552">
        <v>9198</v>
      </c>
      <c r="W1552">
        <v>3</v>
      </c>
      <c r="X1552">
        <v>4</v>
      </c>
      <c r="Y1552" t="s">
        <v>43</v>
      </c>
      <c r="Z1552">
        <v>3.85</v>
      </c>
      <c r="AA1552" t="s">
        <v>43</v>
      </c>
    </row>
    <row r="1553" spans="1:27" x14ac:dyDescent="0.3">
      <c r="A1553" t="s">
        <v>48</v>
      </c>
      <c r="B1553" t="s">
        <v>79</v>
      </c>
      <c r="C1553">
        <v>2026</v>
      </c>
      <c r="D1553" t="s">
        <v>50</v>
      </c>
      <c r="E1553">
        <v>53569.81</v>
      </c>
      <c r="F1553">
        <v>105.4</v>
      </c>
      <c r="G1553">
        <v>370</v>
      </c>
      <c r="H1553">
        <v>145.4</v>
      </c>
      <c r="I1553">
        <v>5.36</v>
      </c>
      <c r="J1553">
        <v>168</v>
      </c>
      <c r="K1553">
        <v>550</v>
      </c>
      <c r="L1553">
        <v>484</v>
      </c>
      <c r="M1553" t="s">
        <v>39</v>
      </c>
      <c r="N1553">
        <v>7</v>
      </c>
      <c r="O1553" t="s">
        <v>57</v>
      </c>
      <c r="P1553">
        <v>23.4</v>
      </c>
      <c r="Q1553">
        <v>1883</v>
      </c>
      <c r="R1553">
        <v>5</v>
      </c>
      <c r="S1553">
        <v>1</v>
      </c>
      <c r="T1553" t="s">
        <v>51</v>
      </c>
      <c r="U1553" t="s">
        <v>42</v>
      </c>
      <c r="V1553">
        <v>112650</v>
      </c>
      <c r="W1553">
        <v>3.8</v>
      </c>
      <c r="X1553">
        <v>4</v>
      </c>
      <c r="Y1553" t="s">
        <v>43</v>
      </c>
      <c r="Z1553">
        <v>3.51</v>
      </c>
      <c r="AA1553" t="s">
        <v>35</v>
      </c>
    </row>
    <row r="1554" spans="1:27" x14ac:dyDescent="0.3">
      <c r="A1554" t="s">
        <v>84</v>
      </c>
      <c r="B1554" t="s">
        <v>85</v>
      </c>
      <c r="C1554">
        <v>2023</v>
      </c>
      <c r="D1554" t="s">
        <v>68</v>
      </c>
      <c r="E1554">
        <v>61247.58</v>
      </c>
      <c r="F1554">
        <v>43</v>
      </c>
      <c r="G1554">
        <v>150</v>
      </c>
      <c r="H1554">
        <v>103.3</v>
      </c>
      <c r="I1554">
        <v>6.46</v>
      </c>
      <c r="J1554">
        <v>145</v>
      </c>
      <c r="K1554">
        <v>643</v>
      </c>
      <c r="L1554">
        <v>633</v>
      </c>
      <c r="M1554" t="s">
        <v>54</v>
      </c>
      <c r="N1554">
        <v>5</v>
      </c>
      <c r="O1554" t="s">
        <v>56</v>
      </c>
      <c r="P1554">
        <v>34</v>
      </c>
      <c r="Q1554">
        <v>1664</v>
      </c>
      <c r="R1554">
        <v>4</v>
      </c>
      <c r="S1554">
        <v>0</v>
      </c>
      <c r="T1554" t="s">
        <v>47</v>
      </c>
      <c r="U1554" t="s">
        <v>42</v>
      </c>
      <c r="V1554">
        <v>76286</v>
      </c>
      <c r="W1554">
        <v>3.1</v>
      </c>
      <c r="X1554">
        <v>5</v>
      </c>
      <c r="Y1554" t="s">
        <v>43</v>
      </c>
      <c r="Z1554">
        <v>3.49</v>
      </c>
      <c r="AA1554" t="s">
        <v>35</v>
      </c>
    </row>
    <row r="1555" spans="1:27" x14ac:dyDescent="0.3">
      <c r="A1555" t="s">
        <v>94</v>
      </c>
      <c r="B1555" t="s">
        <v>125</v>
      </c>
      <c r="C1555">
        <v>2024</v>
      </c>
      <c r="D1555" t="s">
        <v>38</v>
      </c>
      <c r="E1555">
        <v>130055.6</v>
      </c>
      <c r="F1555">
        <v>60.1</v>
      </c>
      <c r="G1555">
        <v>232</v>
      </c>
      <c r="H1555">
        <v>124.6</v>
      </c>
      <c r="I1555">
        <v>5.56</v>
      </c>
      <c r="J1555">
        <v>169</v>
      </c>
      <c r="K1555">
        <v>1000</v>
      </c>
      <c r="L1555">
        <v>860</v>
      </c>
      <c r="M1555" t="s">
        <v>30</v>
      </c>
      <c r="N1555">
        <v>5</v>
      </c>
      <c r="O1555" t="s">
        <v>65</v>
      </c>
      <c r="P1555">
        <v>29.1</v>
      </c>
      <c r="Q1555">
        <v>1715</v>
      </c>
      <c r="R1555">
        <v>4</v>
      </c>
      <c r="S1555">
        <v>1</v>
      </c>
      <c r="T1555" t="s">
        <v>32</v>
      </c>
      <c r="U1555" t="s">
        <v>33</v>
      </c>
      <c r="V1555">
        <v>44054</v>
      </c>
      <c r="W1555">
        <v>3.2</v>
      </c>
      <c r="X1555">
        <v>7</v>
      </c>
      <c r="Y1555" t="s">
        <v>43</v>
      </c>
      <c r="Z1555">
        <v>3.86</v>
      </c>
      <c r="AA1555" t="s">
        <v>35</v>
      </c>
    </row>
    <row r="1556" spans="1:27" x14ac:dyDescent="0.3">
      <c r="A1556" t="s">
        <v>71</v>
      </c>
      <c r="B1556" t="s">
        <v>115</v>
      </c>
      <c r="C1556">
        <v>2022</v>
      </c>
      <c r="D1556" t="s">
        <v>38</v>
      </c>
      <c r="E1556">
        <v>39142.51</v>
      </c>
      <c r="F1556">
        <v>67.400000000000006</v>
      </c>
      <c r="G1556">
        <v>236</v>
      </c>
      <c r="H1556">
        <v>120.8</v>
      </c>
      <c r="I1556">
        <v>6.39</v>
      </c>
      <c r="J1556">
        <v>159</v>
      </c>
      <c r="K1556">
        <v>376</v>
      </c>
      <c r="L1556">
        <v>323</v>
      </c>
      <c r="M1556" t="s">
        <v>39</v>
      </c>
      <c r="N1556">
        <v>7</v>
      </c>
      <c r="O1556" t="s">
        <v>56</v>
      </c>
      <c r="P1556">
        <v>20.6</v>
      </c>
      <c r="Q1556">
        <v>1500</v>
      </c>
      <c r="R1556">
        <v>3</v>
      </c>
      <c r="S1556">
        <v>0</v>
      </c>
      <c r="T1556" t="s">
        <v>73</v>
      </c>
      <c r="U1556" t="s">
        <v>42</v>
      </c>
      <c r="V1556">
        <v>143146</v>
      </c>
      <c r="W1556">
        <v>3.5</v>
      </c>
      <c r="X1556">
        <v>3</v>
      </c>
      <c r="Y1556" t="s">
        <v>43</v>
      </c>
      <c r="Z1556">
        <v>3.5</v>
      </c>
      <c r="AA1556" t="s">
        <v>35</v>
      </c>
    </row>
    <row r="1557" spans="1:27" x14ac:dyDescent="0.3">
      <c r="A1557" t="s">
        <v>71</v>
      </c>
      <c r="B1557" t="s">
        <v>96</v>
      </c>
      <c r="C1557">
        <v>2023</v>
      </c>
      <c r="D1557" t="s">
        <v>68</v>
      </c>
      <c r="E1557">
        <v>26581.17</v>
      </c>
      <c r="F1557">
        <v>76.3</v>
      </c>
      <c r="G1557">
        <v>257</v>
      </c>
      <c r="H1557">
        <v>72</v>
      </c>
      <c r="I1557">
        <v>7.24</v>
      </c>
      <c r="J1557">
        <v>143</v>
      </c>
      <c r="K1557">
        <v>211</v>
      </c>
      <c r="L1557">
        <v>200</v>
      </c>
      <c r="M1557" t="s">
        <v>54</v>
      </c>
      <c r="N1557">
        <v>5</v>
      </c>
      <c r="O1557" t="s">
        <v>40</v>
      </c>
      <c r="P1557">
        <v>35.9</v>
      </c>
      <c r="Q1557">
        <v>1699</v>
      </c>
      <c r="R1557">
        <v>5</v>
      </c>
      <c r="S1557">
        <v>0</v>
      </c>
      <c r="T1557" t="s">
        <v>73</v>
      </c>
      <c r="U1557" t="s">
        <v>74</v>
      </c>
      <c r="V1557">
        <v>206659</v>
      </c>
      <c r="W1557">
        <v>3.4</v>
      </c>
      <c r="X1557">
        <v>4</v>
      </c>
      <c r="Y1557" t="s">
        <v>61</v>
      </c>
      <c r="Z1557">
        <v>3.37</v>
      </c>
      <c r="AA1557" t="s">
        <v>35</v>
      </c>
    </row>
    <row r="1558" spans="1:27" x14ac:dyDescent="0.3">
      <c r="A1558" t="s">
        <v>48</v>
      </c>
      <c r="B1558" t="s">
        <v>49</v>
      </c>
      <c r="C1558">
        <v>2023</v>
      </c>
      <c r="D1558" t="s">
        <v>29</v>
      </c>
      <c r="E1558">
        <v>92527.86</v>
      </c>
      <c r="F1558">
        <v>110.6</v>
      </c>
      <c r="G1558">
        <v>404</v>
      </c>
      <c r="H1558">
        <v>196.5</v>
      </c>
      <c r="I1558">
        <v>2.7</v>
      </c>
      <c r="J1558">
        <v>200</v>
      </c>
      <c r="K1558">
        <v>1000</v>
      </c>
      <c r="L1558">
        <v>936</v>
      </c>
      <c r="M1558" t="s">
        <v>54</v>
      </c>
      <c r="N1558">
        <v>7</v>
      </c>
      <c r="O1558" t="s">
        <v>40</v>
      </c>
      <c r="P1558">
        <v>54.6</v>
      </c>
      <c r="Q1558">
        <v>2003</v>
      </c>
      <c r="R1558">
        <v>4</v>
      </c>
      <c r="S1558">
        <v>0</v>
      </c>
      <c r="T1558" t="s">
        <v>51</v>
      </c>
      <c r="U1558" t="s">
        <v>38</v>
      </c>
      <c r="V1558">
        <v>118664</v>
      </c>
      <c r="W1558">
        <v>3.6</v>
      </c>
      <c r="X1558">
        <v>4</v>
      </c>
      <c r="Y1558" t="s">
        <v>34</v>
      </c>
      <c r="Z1558">
        <v>3.65</v>
      </c>
      <c r="AA1558" t="s">
        <v>35</v>
      </c>
    </row>
    <row r="1559" spans="1:27" x14ac:dyDescent="0.3">
      <c r="A1559" t="s">
        <v>27</v>
      </c>
      <c r="B1559" t="s">
        <v>83</v>
      </c>
      <c r="C1559">
        <v>2022</v>
      </c>
      <c r="D1559" t="s">
        <v>50</v>
      </c>
      <c r="E1559">
        <v>73265.41</v>
      </c>
      <c r="F1559">
        <v>102.2</v>
      </c>
      <c r="G1559">
        <v>363</v>
      </c>
      <c r="H1559">
        <v>88.3</v>
      </c>
      <c r="I1559">
        <v>4.82</v>
      </c>
      <c r="J1559">
        <v>187</v>
      </c>
      <c r="K1559">
        <v>722</v>
      </c>
      <c r="L1559">
        <v>624</v>
      </c>
      <c r="M1559" t="s">
        <v>39</v>
      </c>
      <c r="N1559">
        <v>5</v>
      </c>
      <c r="O1559" t="s">
        <v>31</v>
      </c>
      <c r="P1559">
        <v>50.8</v>
      </c>
      <c r="Q1559">
        <v>2433</v>
      </c>
      <c r="R1559">
        <v>3</v>
      </c>
      <c r="S1559">
        <v>1</v>
      </c>
      <c r="T1559" t="s">
        <v>32</v>
      </c>
      <c r="U1559" t="s">
        <v>38</v>
      </c>
      <c r="V1559">
        <v>255210</v>
      </c>
      <c r="W1559">
        <v>3.6</v>
      </c>
      <c r="X1559">
        <v>4</v>
      </c>
      <c r="Y1559" t="s">
        <v>43</v>
      </c>
      <c r="Z1559">
        <v>3.55</v>
      </c>
      <c r="AA1559" t="s">
        <v>35</v>
      </c>
    </row>
    <row r="1560" spans="1:27" x14ac:dyDescent="0.3">
      <c r="A1560" t="s">
        <v>58</v>
      </c>
      <c r="B1560" t="s">
        <v>59</v>
      </c>
      <c r="C1560">
        <v>2022</v>
      </c>
      <c r="D1560" t="s">
        <v>50</v>
      </c>
      <c r="E1560">
        <v>178840.11</v>
      </c>
      <c r="F1560">
        <v>102.1</v>
      </c>
      <c r="G1560">
        <v>380</v>
      </c>
      <c r="H1560">
        <v>97.5</v>
      </c>
      <c r="I1560">
        <v>4.62</v>
      </c>
      <c r="J1560">
        <v>182</v>
      </c>
      <c r="K1560">
        <v>1000</v>
      </c>
      <c r="L1560">
        <v>855</v>
      </c>
      <c r="M1560" t="s">
        <v>30</v>
      </c>
      <c r="N1560">
        <v>5</v>
      </c>
      <c r="O1560" t="s">
        <v>31</v>
      </c>
      <c r="P1560">
        <v>52.1</v>
      </c>
      <c r="Q1560">
        <v>2548</v>
      </c>
      <c r="R1560">
        <v>5</v>
      </c>
      <c r="S1560">
        <v>1</v>
      </c>
      <c r="T1560" t="s">
        <v>32</v>
      </c>
      <c r="U1560" t="s">
        <v>33</v>
      </c>
      <c r="V1560">
        <v>49341</v>
      </c>
      <c r="W1560">
        <v>4.3</v>
      </c>
      <c r="X1560">
        <v>6</v>
      </c>
      <c r="Y1560" t="s">
        <v>43</v>
      </c>
      <c r="Z1560">
        <v>3.72</v>
      </c>
      <c r="AA1560" t="s">
        <v>35</v>
      </c>
    </row>
    <row r="1561" spans="1:27" x14ac:dyDescent="0.3">
      <c r="A1561" t="s">
        <v>94</v>
      </c>
      <c r="B1561" t="s">
        <v>113</v>
      </c>
      <c r="C1561">
        <v>2024</v>
      </c>
      <c r="D1561" t="s">
        <v>68</v>
      </c>
      <c r="E1561">
        <v>55700.85</v>
      </c>
      <c r="F1561">
        <v>69.099999999999994</v>
      </c>
      <c r="G1561">
        <v>229</v>
      </c>
      <c r="H1561">
        <v>110.1</v>
      </c>
      <c r="I1561">
        <v>5.42</v>
      </c>
      <c r="J1561">
        <v>173</v>
      </c>
      <c r="K1561">
        <v>224</v>
      </c>
      <c r="L1561">
        <v>200</v>
      </c>
      <c r="M1561" t="s">
        <v>54</v>
      </c>
      <c r="N1561">
        <v>5</v>
      </c>
      <c r="O1561" t="s">
        <v>40</v>
      </c>
      <c r="P1561">
        <v>54.8</v>
      </c>
      <c r="Q1561">
        <v>2094</v>
      </c>
      <c r="R1561">
        <v>4</v>
      </c>
      <c r="S1561">
        <v>1</v>
      </c>
      <c r="T1561" t="s">
        <v>32</v>
      </c>
      <c r="U1561" t="s">
        <v>42</v>
      </c>
      <c r="V1561">
        <v>52734</v>
      </c>
      <c r="W1561">
        <v>3.2</v>
      </c>
      <c r="X1561">
        <v>8</v>
      </c>
      <c r="Y1561" t="s">
        <v>43</v>
      </c>
      <c r="Z1561">
        <v>3.31</v>
      </c>
      <c r="AA1561" t="s">
        <v>35</v>
      </c>
    </row>
    <row r="1562" spans="1:27" x14ac:dyDescent="0.3">
      <c r="A1562" t="s">
        <v>71</v>
      </c>
      <c r="B1562" t="s">
        <v>104</v>
      </c>
      <c r="C1562">
        <v>2024</v>
      </c>
      <c r="D1562" t="s">
        <v>50</v>
      </c>
      <c r="E1562">
        <v>75079.649999999994</v>
      </c>
      <c r="F1562">
        <v>88.3</v>
      </c>
      <c r="G1562">
        <v>299</v>
      </c>
      <c r="H1562">
        <v>135.6</v>
      </c>
      <c r="I1562">
        <v>5.98</v>
      </c>
      <c r="J1562">
        <v>157</v>
      </c>
      <c r="K1562">
        <v>836</v>
      </c>
      <c r="L1562">
        <v>754</v>
      </c>
      <c r="M1562" t="s">
        <v>39</v>
      </c>
      <c r="N1562">
        <v>7</v>
      </c>
      <c r="O1562" t="s">
        <v>65</v>
      </c>
      <c r="P1562">
        <v>20.8</v>
      </c>
      <c r="Q1562">
        <v>1791</v>
      </c>
      <c r="R1562">
        <v>3</v>
      </c>
      <c r="S1562">
        <v>2</v>
      </c>
      <c r="T1562" t="s">
        <v>73</v>
      </c>
      <c r="U1562" t="s">
        <v>38</v>
      </c>
      <c r="V1562">
        <v>149633</v>
      </c>
      <c r="W1562">
        <v>3.7</v>
      </c>
      <c r="X1562">
        <v>5</v>
      </c>
      <c r="Y1562" t="s">
        <v>43</v>
      </c>
      <c r="Z1562">
        <v>3.39</v>
      </c>
      <c r="AA1562" t="s">
        <v>35</v>
      </c>
    </row>
    <row r="1563" spans="1:27" x14ac:dyDescent="0.3">
      <c r="A1563" t="s">
        <v>71</v>
      </c>
      <c r="B1563" t="s">
        <v>115</v>
      </c>
      <c r="C1563">
        <v>2022</v>
      </c>
      <c r="D1563" t="s">
        <v>63</v>
      </c>
      <c r="E1563">
        <v>46766.53</v>
      </c>
      <c r="F1563">
        <v>44.5</v>
      </c>
      <c r="G1563">
        <v>150</v>
      </c>
      <c r="H1563">
        <v>53.5</v>
      </c>
      <c r="I1563">
        <v>6.3</v>
      </c>
      <c r="J1563">
        <v>162</v>
      </c>
      <c r="K1563">
        <v>484</v>
      </c>
      <c r="L1563">
        <v>431</v>
      </c>
      <c r="M1563" t="s">
        <v>30</v>
      </c>
      <c r="N1563">
        <v>5</v>
      </c>
      <c r="O1563" t="s">
        <v>65</v>
      </c>
      <c r="P1563">
        <v>24.2</v>
      </c>
      <c r="Q1563">
        <v>1500</v>
      </c>
      <c r="R1563">
        <v>3</v>
      </c>
      <c r="S1563">
        <v>1</v>
      </c>
      <c r="T1563" t="s">
        <v>73</v>
      </c>
      <c r="U1563" t="s">
        <v>42</v>
      </c>
      <c r="V1563">
        <v>150601</v>
      </c>
      <c r="W1563">
        <v>3.2</v>
      </c>
      <c r="X1563">
        <v>4</v>
      </c>
      <c r="Y1563" t="s">
        <v>43</v>
      </c>
      <c r="Z1563">
        <v>3.37</v>
      </c>
      <c r="AA1563" t="s">
        <v>35</v>
      </c>
    </row>
    <row r="1564" spans="1:27" x14ac:dyDescent="0.3">
      <c r="A1564" t="s">
        <v>84</v>
      </c>
      <c r="B1564" t="s">
        <v>85</v>
      </c>
      <c r="C1564">
        <v>2026</v>
      </c>
      <c r="D1564" t="s">
        <v>63</v>
      </c>
      <c r="E1564">
        <v>43574.22</v>
      </c>
      <c r="F1564">
        <v>67.2</v>
      </c>
      <c r="G1564">
        <v>237</v>
      </c>
      <c r="H1564">
        <v>107.9</v>
      </c>
      <c r="I1564">
        <v>5.55</v>
      </c>
      <c r="J1564">
        <v>159</v>
      </c>
      <c r="K1564">
        <v>376</v>
      </c>
      <c r="L1564">
        <v>361</v>
      </c>
      <c r="M1564" t="s">
        <v>54</v>
      </c>
      <c r="N1564">
        <v>5</v>
      </c>
      <c r="O1564" t="s">
        <v>40</v>
      </c>
      <c r="P1564">
        <v>46.9</v>
      </c>
      <c r="Q1564">
        <v>1834</v>
      </c>
      <c r="R1564">
        <v>5</v>
      </c>
      <c r="S1564">
        <v>2</v>
      </c>
      <c r="T1564" t="s">
        <v>47</v>
      </c>
      <c r="U1564" t="s">
        <v>42</v>
      </c>
      <c r="V1564">
        <v>55997</v>
      </c>
      <c r="W1564">
        <v>3.1</v>
      </c>
      <c r="X1564">
        <v>5</v>
      </c>
      <c r="Y1564" t="s">
        <v>43</v>
      </c>
      <c r="Z1564">
        <v>3.53</v>
      </c>
      <c r="AA1564" t="s">
        <v>35</v>
      </c>
    </row>
    <row r="1565" spans="1:27" x14ac:dyDescent="0.3">
      <c r="A1565" t="s">
        <v>71</v>
      </c>
      <c r="B1565" t="s">
        <v>90</v>
      </c>
      <c r="C1565">
        <v>2025</v>
      </c>
      <c r="D1565" t="s">
        <v>38</v>
      </c>
      <c r="E1565">
        <v>71227.02</v>
      </c>
      <c r="F1565">
        <v>54.5</v>
      </c>
      <c r="G1565">
        <v>216</v>
      </c>
      <c r="H1565">
        <v>96.7</v>
      </c>
      <c r="I1565">
        <v>5.05</v>
      </c>
      <c r="J1565">
        <v>174</v>
      </c>
      <c r="K1565">
        <v>851</v>
      </c>
      <c r="L1565">
        <v>788</v>
      </c>
      <c r="M1565" t="s">
        <v>54</v>
      </c>
      <c r="N1565">
        <v>5</v>
      </c>
      <c r="O1565" t="s">
        <v>65</v>
      </c>
      <c r="P1565">
        <v>18.600000000000001</v>
      </c>
      <c r="Q1565">
        <v>1500</v>
      </c>
      <c r="R1565">
        <v>4</v>
      </c>
      <c r="S1565">
        <v>0</v>
      </c>
      <c r="T1565" t="s">
        <v>73</v>
      </c>
      <c r="U1565" t="s">
        <v>38</v>
      </c>
      <c r="V1565">
        <v>114165</v>
      </c>
      <c r="W1565">
        <v>3.2</v>
      </c>
      <c r="X1565">
        <v>3</v>
      </c>
      <c r="Y1565" t="s">
        <v>43</v>
      </c>
      <c r="Z1565">
        <v>3.96</v>
      </c>
      <c r="AA1565" t="s">
        <v>35</v>
      </c>
    </row>
    <row r="1566" spans="1:27" x14ac:dyDescent="0.3">
      <c r="A1566" t="s">
        <v>58</v>
      </c>
      <c r="B1566" t="s">
        <v>59</v>
      </c>
      <c r="C1566">
        <v>2024</v>
      </c>
      <c r="D1566" t="s">
        <v>63</v>
      </c>
      <c r="E1566">
        <v>126359.58</v>
      </c>
      <c r="F1566">
        <v>40.6</v>
      </c>
      <c r="G1566">
        <v>150</v>
      </c>
      <c r="H1566">
        <v>112.6</v>
      </c>
      <c r="I1566">
        <v>7.47</v>
      </c>
      <c r="J1566">
        <v>135</v>
      </c>
      <c r="K1566">
        <v>711</v>
      </c>
      <c r="L1566">
        <v>582</v>
      </c>
      <c r="M1566" t="s">
        <v>30</v>
      </c>
      <c r="N1566">
        <v>5</v>
      </c>
      <c r="O1566" t="s">
        <v>57</v>
      </c>
      <c r="P1566">
        <v>34.700000000000003</v>
      </c>
      <c r="Q1566">
        <v>1760</v>
      </c>
      <c r="R1566">
        <v>5</v>
      </c>
      <c r="S1566">
        <v>1</v>
      </c>
      <c r="T1566" t="s">
        <v>32</v>
      </c>
      <c r="U1566" t="s">
        <v>33</v>
      </c>
      <c r="V1566">
        <v>31657</v>
      </c>
      <c r="W1566">
        <v>3.6</v>
      </c>
      <c r="X1566">
        <v>6</v>
      </c>
      <c r="Y1566" t="s">
        <v>61</v>
      </c>
      <c r="Z1566">
        <v>3.69</v>
      </c>
      <c r="AA1566" t="s">
        <v>35</v>
      </c>
    </row>
    <row r="1567" spans="1:27" x14ac:dyDescent="0.3">
      <c r="A1567" t="s">
        <v>27</v>
      </c>
      <c r="B1567" t="s">
        <v>28</v>
      </c>
      <c r="C1567">
        <v>2021</v>
      </c>
      <c r="D1567" t="s">
        <v>50</v>
      </c>
      <c r="E1567">
        <v>35869.49</v>
      </c>
      <c r="F1567">
        <v>82.6</v>
      </c>
      <c r="G1567">
        <v>267</v>
      </c>
      <c r="H1567">
        <v>132.5</v>
      </c>
      <c r="I1567">
        <v>5.38</v>
      </c>
      <c r="J1567">
        <v>165</v>
      </c>
      <c r="K1567">
        <v>224</v>
      </c>
      <c r="L1567">
        <v>235</v>
      </c>
      <c r="M1567" t="s">
        <v>39</v>
      </c>
      <c r="N1567">
        <v>5</v>
      </c>
      <c r="O1567" t="s">
        <v>31</v>
      </c>
      <c r="P1567">
        <v>58.6</v>
      </c>
      <c r="Q1567">
        <v>2542</v>
      </c>
      <c r="R1567">
        <v>3</v>
      </c>
      <c r="S1567">
        <v>0</v>
      </c>
      <c r="T1567" t="s">
        <v>32</v>
      </c>
      <c r="U1567" t="s">
        <v>42</v>
      </c>
      <c r="V1567">
        <v>202031</v>
      </c>
      <c r="W1567">
        <v>3.8</v>
      </c>
      <c r="X1567">
        <v>3</v>
      </c>
      <c r="Y1567" t="s">
        <v>43</v>
      </c>
      <c r="Z1567">
        <v>3.23</v>
      </c>
      <c r="AA1567" t="s">
        <v>35</v>
      </c>
    </row>
    <row r="1568" spans="1:27" x14ac:dyDescent="0.3">
      <c r="A1568" t="s">
        <v>91</v>
      </c>
      <c r="B1568" t="s">
        <v>124</v>
      </c>
      <c r="C1568">
        <v>2025</v>
      </c>
      <c r="D1568" t="s">
        <v>68</v>
      </c>
      <c r="E1568">
        <v>84568.67</v>
      </c>
      <c r="F1568">
        <v>83.7</v>
      </c>
      <c r="G1568">
        <v>285</v>
      </c>
      <c r="H1568">
        <v>96.2</v>
      </c>
      <c r="I1568">
        <v>6.92</v>
      </c>
      <c r="J1568">
        <v>143</v>
      </c>
      <c r="K1568">
        <v>627</v>
      </c>
      <c r="L1568">
        <v>638</v>
      </c>
      <c r="M1568" t="s">
        <v>54</v>
      </c>
      <c r="N1568">
        <v>7</v>
      </c>
      <c r="O1568" t="s">
        <v>65</v>
      </c>
      <c r="P1568">
        <v>31.5</v>
      </c>
      <c r="Q1568">
        <v>1500</v>
      </c>
      <c r="R1568">
        <v>4</v>
      </c>
      <c r="S1568">
        <v>1</v>
      </c>
      <c r="T1568" t="s">
        <v>32</v>
      </c>
      <c r="U1568" t="s">
        <v>38</v>
      </c>
      <c r="V1568">
        <v>62828</v>
      </c>
      <c r="W1568">
        <v>3.5</v>
      </c>
      <c r="X1568">
        <v>5</v>
      </c>
      <c r="Y1568" t="s">
        <v>43</v>
      </c>
      <c r="Z1568">
        <v>3.41</v>
      </c>
      <c r="AA1568" t="s">
        <v>35</v>
      </c>
    </row>
    <row r="1569" spans="1:27" x14ac:dyDescent="0.3">
      <c r="A1569" t="s">
        <v>52</v>
      </c>
      <c r="B1569" t="s">
        <v>55</v>
      </c>
      <c r="C1569">
        <v>2023</v>
      </c>
      <c r="D1569" t="s">
        <v>63</v>
      </c>
      <c r="E1569">
        <v>106611.48</v>
      </c>
      <c r="F1569">
        <v>81.099999999999994</v>
      </c>
      <c r="G1569">
        <v>298</v>
      </c>
      <c r="H1569">
        <v>228</v>
      </c>
      <c r="I1569">
        <v>6.34</v>
      </c>
      <c r="J1569">
        <v>153</v>
      </c>
      <c r="K1569">
        <v>834</v>
      </c>
      <c r="L1569">
        <v>823</v>
      </c>
      <c r="M1569" t="s">
        <v>54</v>
      </c>
      <c r="N1569">
        <v>5</v>
      </c>
      <c r="O1569" t="s">
        <v>56</v>
      </c>
      <c r="P1569">
        <v>21</v>
      </c>
      <c r="Q1569">
        <v>1582</v>
      </c>
      <c r="R1569">
        <v>5</v>
      </c>
      <c r="S1569">
        <v>2</v>
      </c>
      <c r="T1569" t="s">
        <v>47</v>
      </c>
      <c r="U1569" t="s">
        <v>33</v>
      </c>
      <c r="V1569">
        <v>481578</v>
      </c>
      <c r="W1569">
        <v>4.0999999999999996</v>
      </c>
      <c r="X1569">
        <v>4</v>
      </c>
      <c r="Y1569" t="s">
        <v>43</v>
      </c>
      <c r="Z1569">
        <v>3.67</v>
      </c>
      <c r="AA1569" t="s">
        <v>35</v>
      </c>
    </row>
    <row r="1570" spans="1:27" x14ac:dyDescent="0.3">
      <c r="A1570" t="s">
        <v>91</v>
      </c>
      <c r="B1570" t="s">
        <v>124</v>
      </c>
      <c r="C1570">
        <v>2024</v>
      </c>
      <c r="D1570" t="s">
        <v>29</v>
      </c>
      <c r="E1570">
        <v>82827.92</v>
      </c>
      <c r="F1570">
        <v>98.2</v>
      </c>
      <c r="G1570">
        <v>348</v>
      </c>
      <c r="H1570">
        <v>182.7</v>
      </c>
      <c r="I1570">
        <v>4.0599999999999996</v>
      </c>
      <c r="J1570">
        <v>195</v>
      </c>
      <c r="K1570">
        <v>550</v>
      </c>
      <c r="L1570">
        <v>495</v>
      </c>
      <c r="M1570" t="s">
        <v>30</v>
      </c>
      <c r="N1570">
        <v>5</v>
      </c>
      <c r="O1570" t="s">
        <v>56</v>
      </c>
      <c r="P1570">
        <v>35.200000000000003</v>
      </c>
      <c r="Q1570">
        <v>1572</v>
      </c>
      <c r="R1570">
        <v>4</v>
      </c>
      <c r="S1570">
        <v>1</v>
      </c>
      <c r="T1570" t="s">
        <v>32</v>
      </c>
      <c r="U1570" t="s">
        <v>38</v>
      </c>
      <c r="V1570">
        <v>59167</v>
      </c>
      <c r="W1570">
        <v>3.9</v>
      </c>
      <c r="X1570">
        <v>6</v>
      </c>
      <c r="Y1570" t="s">
        <v>43</v>
      </c>
      <c r="Z1570">
        <v>3.54</v>
      </c>
      <c r="AA1570" t="s">
        <v>35</v>
      </c>
    </row>
    <row r="1571" spans="1:27" x14ac:dyDescent="0.3">
      <c r="A1571" t="s">
        <v>27</v>
      </c>
      <c r="B1571" t="s">
        <v>93</v>
      </c>
      <c r="C1571">
        <v>2024</v>
      </c>
      <c r="D1571" t="s">
        <v>68</v>
      </c>
      <c r="E1571">
        <v>38832.160000000003</v>
      </c>
      <c r="F1571">
        <v>66.3</v>
      </c>
      <c r="G1571">
        <v>221</v>
      </c>
      <c r="H1571">
        <v>134.4</v>
      </c>
      <c r="I1571">
        <v>7.31</v>
      </c>
      <c r="J1571">
        <v>145</v>
      </c>
      <c r="K1571">
        <v>247</v>
      </c>
      <c r="L1571">
        <v>221</v>
      </c>
      <c r="M1571" t="s">
        <v>54</v>
      </c>
      <c r="N1571">
        <v>7</v>
      </c>
      <c r="O1571" t="s">
        <v>40</v>
      </c>
      <c r="P1571">
        <v>68.7</v>
      </c>
      <c r="Q1571">
        <v>1808</v>
      </c>
      <c r="R1571">
        <v>5</v>
      </c>
      <c r="S1571">
        <v>2</v>
      </c>
      <c r="T1571" t="s">
        <v>32</v>
      </c>
      <c r="U1571" t="s">
        <v>42</v>
      </c>
      <c r="V1571">
        <v>256517</v>
      </c>
      <c r="W1571">
        <v>3.4</v>
      </c>
      <c r="X1571">
        <v>3</v>
      </c>
      <c r="Y1571" t="s">
        <v>61</v>
      </c>
      <c r="Z1571">
        <v>3.33</v>
      </c>
      <c r="AA1571" t="s">
        <v>35</v>
      </c>
    </row>
    <row r="1572" spans="1:27" x14ac:dyDescent="0.3">
      <c r="A1572" t="s">
        <v>48</v>
      </c>
      <c r="B1572" t="s">
        <v>60</v>
      </c>
      <c r="C1572">
        <v>2025</v>
      </c>
      <c r="D1572" t="s">
        <v>29</v>
      </c>
      <c r="E1572">
        <v>52082.5</v>
      </c>
      <c r="F1572">
        <v>92.9</v>
      </c>
      <c r="G1572">
        <v>337</v>
      </c>
      <c r="H1572">
        <v>235.5</v>
      </c>
      <c r="I1572">
        <v>3.28</v>
      </c>
      <c r="J1572">
        <v>200</v>
      </c>
      <c r="K1572">
        <v>501</v>
      </c>
      <c r="L1572">
        <v>445</v>
      </c>
      <c r="M1572" t="s">
        <v>54</v>
      </c>
      <c r="N1572">
        <v>5</v>
      </c>
      <c r="O1572" t="s">
        <v>56</v>
      </c>
      <c r="P1572">
        <v>33.700000000000003</v>
      </c>
      <c r="Q1572">
        <v>1630</v>
      </c>
      <c r="R1572">
        <v>5</v>
      </c>
      <c r="S1572">
        <v>0</v>
      </c>
      <c r="T1572" t="s">
        <v>51</v>
      </c>
      <c r="U1572" t="s">
        <v>42</v>
      </c>
      <c r="V1572">
        <v>99623</v>
      </c>
      <c r="W1572">
        <v>3.8</v>
      </c>
      <c r="X1572">
        <v>4</v>
      </c>
      <c r="Y1572" t="s">
        <v>34</v>
      </c>
      <c r="Z1572">
        <v>3.63</v>
      </c>
      <c r="AA1572" t="s">
        <v>35</v>
      </c>
    </row>
    <row r="1573" spans="1:27" x14ac:dyDescent="0.3">
      <c r="A1573" t="s">
        <v>52</v>
      </c>
      <c r="B1573" t="s">
        <v>80</v>
      </c>
      <c r="C1573">
        <v>2024</v>
      </c>
      <c r="D1573" t="s">
        <v>68</v>
      </c>
      <c r="E1573">
        <v>125176.94</v>
      </c>
      <c r="F1573">
        <v>68.400000000000006</v>
      </c>
      <c r="G1573">
        <v>258</v>
      </c>
      <c r="H1573">
        <v>217.3</v>
      </c>
      <c r="I1573">
        <v>6.57</v>
      </c>
      <c r="J1573">
        <v>154</v>
      </c>
      <c r="K1573">
        <v>910</v>
      </c>
      <c r="L1573">
        <v>830</v>
      </c>
      <c r="M1573" t="s">
        <v>30</v>
      </c>
      <c r="N1573">
        <v>7</v>
      </c>
      <c r="O1573" t="s">
        <v>31</v>
      </c>
      <c r="P1573">
        <v>56.6</v>
      </c>
      <c r="Q1573">
        <v>2263</v>
      </c>
      <c r="R1573">
        <v>5</v>
      </c>
      <c r="S1573">
        <v>2</v>
      </c>
      <c r="T1573" t="s">
        <v>47</v>
      </c>
      <c r="U1573" t="s">
        <v>33</v>
      </c>
      <c r="V1573">
        <v>162760</v>
      </c>
      <c r="W1573">
        <v>3.8</v>
      </c>
      <c r="X1573">
        <v>5</v>
      </c>
      <c r="Y1573" t="s">
        <v>43</v>
      </c>
      <c r="Z1573">
        <v>3.77</v>
      </c>
      <c r="AA1573" t="s">
        <v>35</v>
      </c>
    </row>
    <row r="1574" spans="1:27" x14ac:dyDescent="0.3">
      <c r="A1574" t="s">
        <v>44</v>
      </c>
      <c r="B1574" t="s">
        <v>62</v>
      </c>
      <c r="C1574">
        <v>2024</v>
      </c>
      <c r="D1574" t="s">
        <v>50</v>
      </c>
      <c r="E1574">
        <v>46760.47</v>
      </c>
      <c r="F1574">
        <v>102.4</v>
      </c>
      <c r="G1574">
        <v>343</v>
      </c>
      <c r="H1574">
        <v>59.7</v>
      </c>
      <c r="I1574">
        <v>4</v>
      </c>
      <c r="J1574">
        <v>195</v>
      </c>
      <c r="K1574">
        <v>478</v>
      </c>
      <c r="L1574">
        <v>443</v>
      </c>
      <c r="M1574" t="s">
        <v>30</v>
      </c>
      <c r="N1574">
        <v>5</v>
      </c>
      <c r="O1574" t="s">
        <v>57</v>
      </c>
      <c r="P1574">
        <v>32.200000000000003</v>
      </c>
      <c r="Q1574">
        <v>1592</v>
      </c>
      <c r="R1574">
        <v>4</v>
      </c>
      <c r="S1574">
        <v>0</v>
      </c>
      <c r="T1574" t="s">
        <v>47</v>
      </c>
      <c r="U1574" t="s">
        <v>42</v>
      </c>
      <c r="V1574">
        <v>22048</v>
      </c>
      <c r="W1574">
        <v>3.7</v>
      </c>
      <c r="X1574">
        <v>4</v>
      </c>
      <c r="Y1574" t="s">
        <v>43</v>
      </c>
      <c r="Z1574">
        <v>3.35</v>
      </c>
      <c r="AA1574" t="s">
        <v>35</v>
      </c>
    </row>
    <row r="1575" spans="1:27" x14ac:dyDescent="0.3">
      <c r="A1575" t="s">
        <v>58</v>
      </c>
      <c r="B1575" t="s">
        <v>111</v>
      </c>
      <c r="C1575">
        <v>2024</v>
      </c>
      <c r="D1575" t="s">
        <v>38</v>
      </c>
      <c r="E1575">
        <v>134953.72</v>
      </c>
      <c r="F1575">
        <v>64.8</v>
      </c>
      <c r="G1575">
        <v>248</v>
      </c>
      <c r="H1575">
        <v>76.7</v>
      </c>
      <c r="I1575">
        <v>5.51</v>
      </c>
      <c r="J1575">
        <v>167</v>
      </c>
      <c r="K1575">
        <v>801</v>
      </c>
      <c r="L1575">
        <v>766</v>
      </c>
      <c r="M1575" t="s">
        <v>54</v>
      </c>
      <c r="N1575">
        <v>7</v>
      </c>
      <c r="O1575" t="s">
        <v>46</v>
      </c>
      <c r="P1575">
        <v>61.4</v>
      </c>
      <c r="Q1575">
        <v>1736</v>
      </c>
      <c r="R1575">
        <v>5</v>
      </c>
      <c r="S1575">
        <v>1</v>
      </c>
      <c r="T1575" t="s">
        <v>32</v>
      </c>
      <c r="U1575" t="s">
        <v>33</v>
      </c>
      <c r="V1575">
        <v>76804</v>
      </c>
      <c r="W1575">
        <v>3.9</v>
      </c>
      <c r="X1575">
        <v>6</v>
      </c>
      <c r="Y1575" t="s">
        <v>43</v>
      </c>
      <c r="Z1575">
        <v>3.83</v>
      </c>
      <c r="AA1575" t="s">
        <v>35</v>
      </c>
    </row>
    <row r="1576" spans="1:27" x14ac:dyDescent="0.3">
      <c r="A1576" t="s">
        <v>71</v>
      </c>
      <c r="B1576" t="s">
        <v>115</v>
      </c>
      <c r="C1576">
        <v>2023</v>
      </c>
      <c r="D1576" t="s">
        <v>38</v>
      </c>
      <c r="E1576">
        <v>33832.39</v>
      </c>
      <c r="F1576">
        <v>82.8</v>
      </c>
      <c r="G1576">
        <v>276</v>
      </c>
      <c r="H1576">
        <v>148.1</v>
      </c>
      <c r="I1576">
        <v>7.96</v>
      </c>
      <c r="J1576">
        <v>128</v>
      </c>
      <c r="K1576">
        <v>343</v>
      </c>
      <c r="L1576">
        <v>302</v>
      </c>
      <c r="M1576" t="s">
        <v>30</v>
      </c>
      <c r="N1576">
        <v>7</v>
      </c>
      <c r="O1576" t="s">
        <v>40</v>
      </c>
      <c r="P1576">
        <v>67.7</v>
      </c>
      <c r="Q1576">
        <v>1930</v>
      </c>
      <c r="R1576">
        <v>4</v>
      </c>
      <c r="S1576">
        <v>0</v>
      </c>
      <c r="T1576" t="s">
        <v>73</v>
      </c>
      <c r="U1576" t="s">
        <v>74</v>
      </c>
      <c r="V1576">
        <v>177176</v>
      </c>
      <c r="W1576">
        <v>3.7</v>
      </c>
      <c r="X1576">
        <v>4</v>
      </c>
      <c r="Y1576" t="s">
        <v>61</v>
      </c>
      <c r="Z1576">
        <v>3.33</v>
      </c>
      <c r="AA1576" t="s">
        <v>35</v>
      </c>
    </row>
    <row r="1577" spans="1:27" x14ac:dyDescent="0.3">
      <c r="A1577" t="s">
        <v>52</v>
      </c>
      <c r="B1577" t="s">
        <v>64</v>
      </c>
      <c r="C1577">
        <v>2021</v>
      </c>
      <c r="D1577" t="s">
        <v>38</v>
      </c>
      <c r="E1577">
        <v>143043.07999999999</v>
      </c>
      <c r="F1577">
        <v>60</v>
      </c>
      <c r="G1577">
        <v>222</v>
      </c>
      <c r="H1577">
        <v>229.1</v>
      </c>
      <c r="I1577">
        <v>6.27</v>
      </c>
      <c r="J1577">
        <v>153</v>
      </c>
      <c r="K1577">
        <v>1000</v>
      </c>
      <c r="L1577">
        <v>781</v>
      </c>
      <c r="M1577" t="s">
        <v>39</v>
      </c>
      <c r="N1577">
        <v>5</v>
      </c>
      <c r="O1577" t="s">
        <v>40</v>
      </c>
      <c r="P1577">
        <v>41.9</v>
      </c>
      <c r="Q1577">
        <v>2265</v>
      </c>
      <c r="R1577">
        <v>5</v>
      </c>
      <c r="S1577">
        <v>2</v>
      </c>
      <c r="T1577" t="s">
        <v>47</v>
      </c>
      <c r="U1577" t="s">
        <v>33</v>
      </c>
      <c r="V1577">
        <v>139115</v>
      </c>
      <c r="W1577">
        <v>3.6</v>
      </c>
      <c r="X1577">
        <v>5</v>
      </c>
      <c r="Y1577" t="s">
        <v>43</v>
      </c>
      <c r="Z1577">
        <v>3.7</v>
      </c>
      <c r="AA1577" t="s">
        <v>35</v>
      </c>
    </row>
    <row r="1578" spans="1:27" x14ac:dyDescent="0.3">
      <c r="A1578" t="s">
        <v>52</v>
      </c>
      <c r="B1578" t="s">
        <v>86</v>
      </c>
      <c r="C1578">
        <v>2021</v>
      </c>
      <c r="D1578" t="s">
        <v>63</v>
      </c>
      <c r="E1578">
        <v>66814.080000000002</v>
      </c>
      <c r="F1578">
        <v>57.8</v>
      </c>
      <c r="G1578">
        <v>194</v>
      </c>
      <c r="H1578">
        <v>347.5</v>
      </c>
      <c r="I1578">
        <v>7.17</v>
      </c>
      <c r="J1578">
        <v>136</v>
      </c>
      <c r="K1578">
        <v>493</v>
      </c>
      <c r="L1578">
        <v>397</v>
      </c>
      <c r="M1578" t="s">
        <v>30</v>
      </c>
      <c r="N1578">
        <v>7</v>
      </c>
      <c r="O1578" t="s">
        <v>31</v>
      </c>
      <c r="P1578">
        <v>79.2</v>
      </c>
      <c r="Q1578">
        <v>2428</v>
      </c>
      <c r="R1578">
        <v>4</v>
      </c>
      <c r="S1578">
        <v>2</v>
      </c>
      <c r="T1578" t="s">
        <v>47</v>
      </c>
      <c r="U1578" t="s">
        <v>38</v>
      </c>
      <c r="V1578">
        <v>228985</v>
      </c>
      <c r="W1578">
        <v>3.8</v>
      </c>
      <c r="X1578">
        <v>6</v>
      </c>
      <c r="Y1578" t="s">
        <v>61</v>
      </c>
      <c r="Z1578">
        <v>3.36</v>
      </c>
      <c r="AA1578" t="s">
        <v>35</v>
      </c>
    </row>
    <row r="1579" spans="1:27" x14ac:dyDescent="0.3">
      <c r="A1579" t="s">
        <v>91</v>
      </c>
      <c r="B1579" t="s">
        <v>112</v>
      </c>
      <c r="C1579">
        <v>2025</v>
      </c>
      <c r="D1579" t="s">
        <v>50</v>
      </c>
      <c r="E1579">
        <v>135695.35</v>
      </c>
      <c r="F1579">
        <v>105.1</v>
      </c>
      <c r="G1579">
        <v>363</v>
      </c>
      <c r="H1579">
        <v>94.7</v>
      </c>
      <c r="I1579">
        <v>4.24</v>
      </c>
      <c r="J1579">
        <v>192</v>
      </c>
      <c r="K1579">
        <v>1000</v>
      </c>
      <c r="L1579">
        <v>868</v>
      </c>
      <c r="M1579" t="s">
        <v>30</v>
      </c>
      <c r="N1579">
        <v>5</v>
      </c>
      <c r="O1579" t="s">
        <v>56</v>
      </c>
      <c r="P1579">
        <v>33.799999999999997</v>
      </c>
      <c r="Q1579">
        <v>1687</v>
      </c>
      <c r="R1579">
        <v>4</v>
      </c>
      <c r="S1579">
        <v>2</v>
      </c>
      <c r="T1579" t="s">
        <v>32</v>
      </c>
      <c r="U1579" t="s">
        <v>33</v>
      </c>
      <c r="V1579">
        <v>36974</v>
      </c>
      <c r="W1579">
        <v>3.8</v>
      </c>
      <c r="X1579">
        <v>6</v>
      </c>
      <c r="Y1579" t="s">
        <v>43</v>
      </c>
      <c r="Z1579">
        <v>3.45</v>
      </c>
      <c r="AA1579" t="s">
        <v>35</v>
      </c>
    </row>
    <row r="1580" spans="1:27" x14ac:dyDescent="0.3">
      <c r="A1580" t="s">
        <v>48</v>
      </c>
      <c r="B1580" t="s">
        <v>60</v>
      </c>
      <c r="C1580">
        <v>2025</v>
      </c>
      <c r="D1580" t="s">
        <v>38</v>
      </c>
      <c r="E1580">
        <v>65977.95</v>
      </c>
      <c r="F1580">
        <v>56</v>
      </c>
      <c r="G1580">
        <v>198</v>
      </c>
      <c r="H1580">
        <v>88.6</v>
      </c>
      <c r="I1580">
        <v>7.95</v>
      </c>
      <c r="J1580">
        <v>130</v>
      </c>
      <c r="K1580">
        <v>810</v>
      </c>
      <c r="L1580">
        <v>733</v>
      </c>
      <c r="M1580" t="s">
        <v>54</v>
      </c>
      <c r="N1580">
        <v>7</v>
      </c>
      <c r="O1580" t="s">
        <v>57</v>
      </c>
      <c r="P1580">
        <v>15.8</v>
      </c>
      <c r="Q1580">
        <v>1625</v>
      </c>
      <c r="R1580">
        <v>4</v>
      </c>
      <c r="S1580">
        <v>0</v>
      </c>
      <c r="T1580" t="s">
        <v>51</v>
      </c>
      <c r="U1580" t="s">
        <v>38</v>
      </c>
      <c r="V1580">
        <v>91348</v>
      </c>
      <c r="W1580">
        <v>3.4</v>
      </c>
      <c r="X1580">
        <v>5</v>
      </c>
      <c r="Y1580" t="s">
        <v>61</v>
      </c>
      <c r="Z1580">
        <v>3.54</v>
      </c>
      <c r="AA1580" t="s">
        <v>35</v>
      </c>
    </row>
    <row r="1581" spans="1:27" x14ac:dyDescent="0.3">
      <c r="A1581" t="s">
        <v>48</v>
      </c>
      <c r="B1581" t="s">
        <v>123</v>
      </c>
      <c r="C1581">
        <v>2026</v>
      </c>
      <c r="D1581" t="s">
        <v>38</v>
      </c>
      <c r="E1581">
        <v>95775.65</v>
      </c>
      <c r="F1581">
        <v>51.6</v>
      </c>
      <c r="G1581">
        <v>194</v>
      </c>
      <c r="H1581">
        <v>149.5</v>
      </c>
      <c r="I1581">
        <v>5.63</v>
      </c>
      <c r="J1581">
        <v>155</v>
      </c>
      <c r="K1581">
        <v>1000</v>
      </c>
      <c r="L1581">
        <v>870</v>
      </c>
      <c r="M1581" t="s">
        <v>54</v>
      </c>
      <c r="N1581">
        <v>7</v>
      </c>
      <c r="O1581" t="s">
        <v>46</v>
      </c>
      <c r="P1581">
        <v>77.7</v>
      </c>
      <c r="Q1581">
        <v>1877</v>
      </c>
      <c r="R1581">
        <v>5</v>
      </c>
      <c r="S1581">
        <v>1</v>
      </c>
      <c r="T1581" t="s">
        <v>51</v>
      </c>
      <c r="U1581" t="s">
        <v>38</v>
      </c>
      <c r="V1581">
        <v>81075</v>
      </c>
      <c r="W1581">
        <v>3.4</v>
      </c>
      <c r="X1581">
        <v>4</v>
      </c>
      <c r="Y1581" t="s">
        <v>43</v>
      </c>
      <c r="Z1581">
        <v>3.76</v>
      </c>
      <c r="AA1581" t="s">
        <v>35</v>
      </c>
    </row>
    <row r="1582" spans="1:27" x14ac:dyDescent="0.3">
      <c r="A1582" t="s">
        <v>71</v>
      </c>
      <c r="B1582" t="s">
        <v>115</v>
      </c>
      <c r="C1582">
        <v>2026</v>
      </c>
      <c r="D1582" t="s">
        <v>38</v>
      </c>
      <c r="E1582">
        <v>79542.78</v>
      </c>
      <c r="F1582">
        <v>81.099999999999994</v>
      </c>
      <c r="G1582">
        <v>295</v>
      </c>
      <c r="H1582">
        <v>110.9</v>
      </c>
      <c r="I1582">
        <v>7.2</v>
      </c>
      <c r="J1582">
        <v>137</v>
      </c>
      <c r="K1582">
        <v>912</v>
      </c>
      <c r="L1582">
        <v>788</v>
      </c>
      <c r="M1582" t="s">
        <v>30</v>
      </c>
      <c r="N1582">
        <v>7</v>
      </c>
      <c r="O1582" t="s">
        <v>46</v>
      </c>
      <c r="P1582">
        <v>71.2</v>
      </c>
      <c r="Q1582">
        <v>1565</v>
      </c>
      <c r="R1582">
        <v>5</v>
      </c>
      <c r="S1582">
        <v>1</v>
      </c>
      <c r="T1582" t="s">
        <v>73</v>
      </c>
      <c r="U1582" t="s">
        <v>38</v>
      </c>
      <c r="V1582">
        <v>153987</v>
      </c>
      <c r="W1582">
        <v>3.3</v>
      </c>
      <c r="X1582">
        <v>5</v>
      </c>
      <c r="Y1582" t="s">
        <v>61</v>
      </c>
      <c r="Z1582">
        <v>3.64</v>
      </c>
      <c r="AA1582" t="s">
        <v>35</v>
      </c>
    </row>
    <row r="1583" spans="1:27" x14ac:dyDescent="0.3">
      <c r="A1583" t="s">
        <v>27</v>
      </c>
      <c r="B1583" t="s">
        <v>93</v>
      </c>
      <c r="C1583">
        <v>2023</v>
      </c>
      <c r="D1583" t="s">
        <v>38</v>
      </c>
      <c r="E1583">
        <v>92433.279999999999</v>
      </c>
      <c r="F1583">
        <v>70.099999999999994</v>
      </c>
      <c r="G1583">
        <v>250</v>
      </c>
      <c r="H1583">
        <v>74.900000000000006</v>
      </c>
      <c r="I1583">
        <v>5.51</v>
      </c>
      <c r="J1583">
        <v>162</v>
      </c>
      <c r="K1583">
        <v>1000</v>
      </c>
      <c r="L1583">
        <v>906</v>
      </c>
      <c r="M1583" t="s">
        <v>30</v>
      </c>
      <c r="N1583">
        <v>5</v>
      </c>
      <c r="O1583" t="s">
        <v>57</v>
      </c>
      <c r="P1583">
        <v>17.8</v>
      </c>
      <c r="Q1583">
        <v>1765</v>
      </c>
      <c r="R1583">
        <v>4</v>
      </c>
      <c r="S1583">
        <v>2</v>
      </c>
      <c r="T1583" t="s">
        <v>32</v>
      </c>
      <c r="U1583" t="s">
        <v>38</v>
      </c>
      <c r="V1583">
        <v>212147</v>
      </c>
      <c r="W1583">
        <v>3.4</v>
      </c>
      <c r="X1583">
        <v>3</v>
      </c>
      <c r="Y1583" t="s">
        <v>43</v>
      </c>
      <c r="Z1583">
        <v>3.57</v>
      </c>
      <c r="AA1583" t="s">
        <v>35</v>
      </c>
    </row>
    <row r="1584" spans="1:27" x14ac:dyDescent="0.3">
      <c r="A1584" t="s">
        <v>48</v>
      </c>
      <c r="B1584" t="s">
        <v>60</v>
      </c>
      <c r="C1584">
        <v>2024</v>
      </c>
      <c r="D1584" t="s">
        <v>50</v>
      </c>
      <c r="E1584">
        <v>56059.51</v>
      </c>
      <c r="F1584">
        <v>98</v>
      </c>
      <c r="G1584">
        <v>327</v>
      </c>
      <c r="H1584">
        <v>74.8</v>
      </c>
      <c r="I1584">
        <v>5.86</v>
      </c>
      <c r="J1584">
        <v>163</v>
      </c>
      <c r="K1584">
        <v>599</v>
      </c>
      <c r="L1584">
        <v>511</v>
      </c>
      <c r="M1584" t="s">
        <v>54</v>
      </c>
      <c r="N1584">
        <v>5</v>
      </c>
      <c r="O1584" t="s">
        <v>57</v>
      </c>
      <c r="P1584">
        <v>20.6</v>
      </c>
      <c r="Q1584">
        <v>1542</v>
      </c>
      <c r="R1584">
        <v>5</v>
      </c>
      <c r="S1584">
        <v>1</v>
      </c>
      <c r="T1584" t="s">
        <v>51</v>
      </c>
      <c r="U1584" t="s">
        <v>42</v>
      </c>
      <c r="V1584">
        <v>117679</v>
      </c>
      <c r="W1584">
        <v>3.6</v>
      </c>
      <c r="X1584">
        <v>5</v>
      </c>
      <c r="Y1584" t="s">
        <v>43</v>
      </c>
      <c r="Z1584">
        <v>3.34</v>
      </c>
      <c r="AA1584" t="s">
        <v>35</v>
      </c>
    </row>
    <row r="1585" spans="1:27" x14ac:dyDescent="0.3">
      <c r="A1585" t="s">
        <v>76</v>
      </c>
      <c r="B1585" t="s">
        <v>114</v>
      </c>
      <c r="C1585">
        <v>2024</v>
      </c>
      <c r="D1585" t="s">
        <v>68</v>
      </c>
      <c r="E1585">
        <v>60016.36</v>
      </c>
      <c r="F1585">
        <v>71</v>
      </c>
      <c r="G1585">
        <v>273</v>
      </c>
      <c r="H1585">
        <v>53</v>
      </c>
      <c r="I1585">
        <v>5.77</v>
      </c>
      <c r="J1585">
        <v>164</v>
      </c>
      <c r="K1585">
        <v>706</v>
      </c>
      <c r="L1585">
        <v>655</v>
      </c>
      <c r="M1585" t="s">
        <v>30</v>
      </c>
      <c r="N1585">
        <v>5</v>
      </c>
      <c r="O1585" t="s">
        <v>57</v>
      </c>
      <c r="P1585">
        <v>31</v>
      </c>
      <c r="Q1585">
        <v>1925</v>
      </c>
      <c r="R1585">
        <v>5</v>
      </c>
      <c r="S1585">
        <v>0</v>
      </c>
      <c r="T1585" t="s">
        <v>51</v>
      </c>
      <c r="U1585" t="s">
        <v>42</v>
      </c>
      <c r="V1585">
        <v>80671</v>
      </c>
      <c r="W1585">
        <v>3.3</v>
      </c>
      <c r="X1585">
        <v>3</v>
      </c>
      <c r="Y1585" t="s">
        <v>43</v>
      </c>
      <c r="Z1585">
        <v>3.85</v>
      </c>
      <c r="AA1585" t="s">
        <v>35</v>
      </c>
    </row>
    <row r="1586" spans="1:27" x14ac:dyDescent="0.3">
      <c r="A1586" t="s">
        <v>107</v>
      </c>
      <c r="B1586" t="s">
        <v>108</v>
      </c>
      <c r="C1586">
        <v>2024</v>
      </c>
      <c r="D1586" t="s">
        <v>38</v>
      </c>
      <c r="E1586">
        <v>184202.43</v>
      </c>
      <c r="F1586">
        <v>79.3</v>
      </c>
      <c r="G1586">
        <v>290</v>
      </c>
      <c r="H1586">
        <v>299.2</v>
      </c>
      <c r="I1586">
        <v>5.84</v>
      </c>
      <c r="J1586">
        <v>154</v>
      </c>
      <c r="K1586">
        <v>1000</v>
      </c>
      <c r="L1586">
        <v>849</v>
      </c>
      <c r="M1586" t="s">
        <v>30</v>
      </c>
      <c r="N1586">
        <v>7</v>
      </c>
      <c r="O1586" t="s">
        <v>57</v>
      </c>
      <c r="P1586">
        <v>20.399999999999999</v>
      </c>
      <c r="Q1586">
        <v>1714</v>
      </c>
      <c r="R1586">
        <v>5</v>
      </c>
      <c r="S1586">
        <v>1</v>
      </c>
      <c r="T1586" t="s">
        <v>32</v>
      </c>
      <c r="U1586" t="s">
        <v>33</v>
      </c>
      <c r="V1586">
        <v>14726</v>
      </c>
      <c r="W1586">
        <v>3.7</v>
      </c>
      <c r="X1586">
        <v>6</v>
      </c>
      <c r="Y1586" t="s">
        <v>43</v>
      </c>
      <c r="Z1586">
        <v>3.66</v>
      </c>
      <c r="AA1586" t="s">
        <v>43</v>
      </c>
    </row>
    <row r="1587" spans="1:27" x14ac:dyDescent="0.3">
      <c r="A1587" t="s">
        <v>52</v>
      </c>
      <c r="B1587" t="s">
        <v>80</v>
      </c>
      <c r="C1587">
        <v>2022</v>
      </c>
      <c r="D1587" t="s">
        <v>29</v>
      </c>
      <c r="E1587">
        <v>57537.68</v>
      </c>
      <c r="F1587">
        <v>103.2</v>
      </c>
      <c r="G1587">
        <v>386</v>
      </c>
      <c r="H1587">
        <v>238.5</v>
      </c>
      <c r="I1587">
        <v>3.15</v>
      </c>
      <c r="J1587">
        <v>199</v>
      </c>
      <c r="K1587">
        <v>393</v>
      </c>
      <c r="L1587">
        <v>380</v>
      </c>
      <c r="M1587" t="s">
        <v>39</v>
      </c>
      <c r="N1587">
        <v>5</v>
      </c>
      <c r="O1587" t="s">
        <v>31</v>
      </c>
      <c r="P1587">
        <v>55.4</v>
      </c>
      <c r="Q1587">
        <v>2484</v>
      </c>
      <c r="R1587">
        <v>5</v>
      </c>
      <c r="S1587">
        <v>3</v>
      </c>
      <c r="T1587" t="s">
        <v>47</v>
      </c>
      <c r="U1587" t="s">
        <v>42</v>
      </c>
      <c r="V1587">
        <v>194936</v>
      </c>
      <c r="W1587">
        <v>4.0999999999999996</v>
      </c>
      <c r="X1587">
        <v>6</v>
      </c>
      <c r="Y1587" t="s">
        <v>34</v>
      </c>
      <c r="Z1587">
        <v>3.74</v>
      </c>
      <c r="AA1587" t="s">
        <v>35</v>
      </c>
    </row>
    <row r="1588" spans="1:27" x14ac:dyDescent="0.3">
      <c r="A1588" t="s">
        <v>44</v>
      </c>
      <c r="B1588" t="s">
        <v>45</v>
      </c>
      <c r="C1588">
        <v>2021</v>
      </c>
      <c r="D1588" t="s">
        <v>29</v>
      </c>
      <c r="E1588">
        <v>47454.86</v>
      </c>
      <c r="F1588">
        <v>102.7</v>
      </c>
      <c r="G1588">
        <v>354</v>
      </c>
      <c r="H1588">
        <v>232.6</v>
      </c>
      <c r="I1588">
        <v>2.76</v>
      </c>
      <c r="J1588">
        <v>200</v>
      </c>
      <c r="K1588">
        <v>521</v>
      </c>
      <c r="L1588">
        <v>455</v>
      </c>
      <c r="M1588" t="s">
        <v>39</v>
      </c>
      <c r="N1588">
        <v>5</v>
      </c>
      <c r="O1588" t="s">
        <v>46</v>
      </c>
      <c r="P1588">
        <v>77.5</v>
      </c>
      <c r="Q1588">
        <v>1612</v>
      </c>
      <c r="R1588">
        <v>4</v>
      </c>
      <c r="S1588">
        <v>0</v>
      </c>
      <c r="T1588" t="s">
        <v>47</v>
      </c>
      <c r="U1588" t="s">
        <v>42</v>
      </c>
      <c r="V1588">
        <v>7468</v>
      </c>
      <c r="W1588">
        <v>3.8</v>
      </c>
      <c r="X1588">
        <v>3</v>
      </c>
      <c r="Y1588" t="s">
        <v>34</v>
      </c>
      <c r="Z1588">
        <v>3.45</v>
      </c>
      <c r="AA1588" t="s">
        <v>43</v>
      </c>
    </row>
    <row r="1589" spans="1:27" x14ac:dyDescent="0.3">
      <c r="A1589" t="s">
        <v>27</v>
      </c>
      <c r="B1589" t="s">
        <v>82</v>
      </c>
      <c r="C1589">
        <v>2024</v>
      </c>
      <c r="D1589" t="s">
        <v>50</v>
      </c>
      <c r="E1589">
        <v>52456.57</v>
      </c>
      <c r="F1589">
        <v>106.8</v>
      </c>
      <c r="G1589">
        <v>377</v>
      </c>
      <c r="H1589">
        <v>127.6</v>
      </c>
      <c r="I1589">
        <v>4.43</v>
      </c>
      <c r="J1589">
        <v>177</v>
      </c>
      <c r="K1589">
        <v>470</v>
      </c>
      <c r="L1589">
        <v>420</v>
      </c>
      <c r="M1589" t="s">
        <v>54</v>
      </c>
      <c r="N1589">
        <v>5</v>
      </c>
      <c r="O1589" t="s">
        <v>40</v>
      </c>
      <c r="P1589">
        <v>64.099999999999994</v>
      </c>
      <c r="Q1589">
        <v>1885</v>
      </c>
      <c r="R1589">
        <v>4</v>
      </c>
      <c r="S1589">
        <v>0</v>
      </c>
      <c r="T1589" t="s">
        <v>32</v>
      </c>
      <c r="U1589" t="s">
        <v>42</v>
      </c>
      <c r="V1589">
        <v>214608</v>
      </c>
      <c r="W1589">
        <v>3.8</v>
      </c>
      <c r="X1589">
        <v>4</v>
      </c>
      <c r="Y1589" t="s">
        <v>43</v>
      </c>
      <c r="Z1589">
        <v>3.53</v>
      </c>
      <c r="AA1589" t="s">
        <v>35</v>
      </c>
    </row>
    <row r="1590" spans="1:27" x14ac:dyDescent="0.3">
      <c r="A1590" t="s">
        <v>27</v>
      </c>
      <c r="B1590" t="s">
        <v>82</v>
      </c>
      <c r="C1590">
        <v>2022</v>
      </c>
      <c r="D1590" t="s">
        <v>63</v>
      </c>
      <c r="E1590">
        <v>27966.77</v>
      </c>
      <c r="F1590">
        <v>59.8</v>
      </c>
      <c r="G1590">
        <v>195</v>
      </c>
      <c r="H1590">
        <v>146.4</v>
      </c>
      <c r="I1590">
        <v>5.04</v>
      </c>
      <c r="J1590">
        <v>172</v>
      </c>
      <c r="K1590">
        <v>150</v>
      </c>
      <c r="L1590">
        <v>200</v>
      </c>
      <c r="M1590" t="s">
        <v>30</v>
      </c>
      <c r="N1590">
        <v>7</v>
      </c>
      <c r="O1590" t="s">
        <v>65</v>
      </c>
      <c r="P1590">
        <v>31</v>
      </c>
      <c r="Q1590">
        <v>1750</v>
      </c>
      <c r="R1590">
        <v>5</v>
      </c>
      <c r="S1590">
        <v>1</v>
      </c>
      <c r="T1590" t="s">
        <v>32</v>
      </c>
      <c r="U1590" t="s">
        <v>74</v>
      </c>
      <c r="V1590">
        <v>258777</v>
      </c>
      <c r="W1590">
        <v>3.3</v>
      </c>
      <c r="X1590">
        <v>3</v>
      </c>
      <c r="Y1590" t="s">
        <v>43</v>
      </c>
      <c r="Z1590">
        <v>3.26</v>
      </c>
      <c r="AA1590" t="s">
        <v>35</v>
      </c>
    </row>
    <row r="1591" spans="1:27" x14ac:dyDescent="0.3">
      <c r="A1591" t="s">
        <v>44</v>
      </c>
      <c r="B1591" t="s">
        <v>110</v>
      </c>
      <c r="C1591">
        <v>2021</v>
      </c>
      <c r="D1591" t="s">
        <v>50</v>
      </c>
      <c r="E1591">
        <v>61755.21</v>
      </c>
      <c r="F1591">
        <v>79.099999999999994</v>
      </c>
      <c r="G1591">
        <v>270</v>
      </c>
      <c r="H1591">
        <v>148.6</v>
      </c>
      <c r="I1591">
        <v>5.83</v>
      </c>
      <c r="J1591">
        <v>165</v>
      </c>
      <c r="K1591">
        <v>846</v>
      </c>
      <c r="L1591">
        <v>793</v>
      </c>
      <c r="M1591" t="s">
        <v>39</v>
      </c>
      <c r="N1591">
        <v>5</v>
      </c>
      <c r="O1591" t="s">
        <v>40</v>
      </c>
      <c r="P1591">
        <v>47.3</v>
      </c>
      <c r="Q1591">
        <v>2033</v>
      </c>
      <c r="R1591">
        <v>5</v>
      </c>
      <c r="S1591">
        <v>1</v>
      </c>
      <c r="T1591" t="s">
        <v>47</v>
      </c>
      <c r="U1591" t="s">
        <v>42</v>
      </c>
      <c r="V1591">
        <v>9557</v>
      </c>
      <c r="W1591">
        <v>3.7</v>
      </c>
      <c r="X1591">
        <v>3</v>
      </c>
      <c r="Y1591" t="s">
        <v>43</v>
      </c>
      <c r="Z1591">
        <v>3.41</v>
      </c>
      <c r="AA1591" t="s">
        <v>43</v>
      </c>
    </row>
    <row r="1592" spans="1:27" x14ac:dyDescent="0.3">
      <c r="A1592" t="s">
        <v>44</v>
      </c>
      <c r="B1592" t="s">
        <v>109</v>
      </c>
      <c r="C1592">
        <v>2025</v>
      </c>
      <c r="D1592" t="s">
        <v>68</v>
      </c>
      <c r="E1592">
        <v>36433.269999999997</v>
      </c>
      <c r="F1592">
        <v>44.4</v>
      </c>
      <c r="G1592">
        <v>150</v>
      </c>
      <c r="H1592">
        <v>74.5</v>
      </c>
      <c r="I1592">
        <v>5.63</v>
      </c>
      <c r="J1592">
        <v>161</v>
      </c>
      <c r="K1592">
        <v>349</v>
      </c>
      <c r="L1592">
        <v>331</v>
      </c>
      <c r="M1592" t="s">
        <v>39</v>
      </c>
      <c r="N1592">
        <v>5</v>
      </c>
      <c r="O1592" t="s">
        <v>56</v>
      </c>
      <c r="P1592">
        <v>23.6</v>
      </c>
      <c r="Q1592">
        <v>1500</v>
      </c>
      <c r="R1592">
        <v>5</v>
      </c>
      <c r="S1592">
        <v>0</v>
      </c>
      <c r="T1592" t="s">
        <v>47</v>
      </c>
      <c r="U1592" t="s">
        <v>42</v>
      </c>
      <c r="V1592">
        <v>27128</v>
      </c>
      <c r="W1592">
        <v>3.2</v>
      </c>
      <c r="X1592">
        <v>3</v>
      </c>
      <c r="Y1592" t="s">
        <v>43</v>
      </c>
      <c r="Z1592">
        <v>3.38</v>
      </c>
      <c r="AA1592" t="s">
        <v>35</v>
      </c>
    </row>
    <row r="1593" spans="1:27" x14ac:dyDescent="0.3">
      <c r="A1593" t="s">
        <v>129</v>
      </c>
      <c r="B1593" t="s">
        <v>145</v>
      </c>
      <c r="C1593">
        <v>2026</v>
      </c>
      <c r="D1593" t="s">
        <v>29</v>
      </c>
      <c r="E1593">
        <v>111533.26</v>
      </c>
      <c r="F1593">
        <v>116.5</v>
      </c>
      <c r="G1593">
        <v>422</v>
      </c>
      <c r="H1593">
        <v>153.5</v>
      </c>
      <c r="I1593">
        <v>2.98</v>
      </c>
      <c r="J1593">
        <v>200</v>
      </c>
      <c r="K1593">
        <v>1000</v>
      </c>
      <c r="L1593">
        <v>882</v>
      </c>
      <c r="M1593" t="s">
        <v>30</v>
      </c>
      <c r="N1593">
        <v>5</v>
      </c>
      <c r="O1593" t="s">
        <v>40</v>
      </c>
      <c r="P1593">
        <v>54.6</v>
      </c>
      <c r="Q1593">
        <v>1917</v>
      </c>
      <c r="R1593">
        <v>4</v>
      </c>
      <c r="S1593">
        <v>1</v>
      </c>
      <c r="T1593" t="s">
        <v>131</v>
      </c>
      <c r="U1593" t="s">
        <v>33</v>
      </c>
      <c r="V1593">
        <v>29548</v>
      </c>
      <c r="W1593">
        <v>3.7</v>
      </c>
      <c r="X1593">
        <v>5</v>
      </c>
      <c r="Y1593" t="s">
        <v>34</v>
      </c>
      <c r="Z1593">
        <v>3.62</v>
      </c>
      <c r="AA1593" t="s">
        <v>35</v>
      </c>
    </row>
    <row r="1594" spans="1:27" x14ac:dyDescent="0.3">
      <c r="A1594" t="s">
        <v>52</v>
      </c>
      <c r="B1594" t="s">
        <v>64</v>
      </c>
      <c r="C1594">
        <v>2026</v>
      </c>
      <c r="D1594" t="s">
        <v>68</v>
      </c>
      <c r="E1594">
        <v>81673.279999999999</v>
      </c>
      <c r="F1594">
        <v>69.3</v>
      </c>
      <c r="G1594">
        <v>252</v>
      </c>
      <c r="H1594">
        <v>299</v>
      </c>
      <c r="I1594">
        <v>6.12</v>
      </c>
      <c r="J1594">
        <v>153</v>
      </c>
      <c r="K1594">
        <v>595</v>
      </c>
      <c r="L1594">
        <v>529</v>
      </c>
      <c r="M1594" t="s">
        <v>30</v>
      </c>
      <c r="N1594">
        <v>5</v>
      </c>
      <c r="O1594" t="s">
        <v>40</v>
      </c>
      <c r="P1594">
        <v>69.8</v>
      </c>
      <c r="Q1594">
        <v>2107</v>
      </c>
      <c r="R1594">
        <v>4</v>
      </c>
      <c r="S1594">
        <v>2</v>
      </c>
      <c r="T1594" t="s">
        <v>47</v>
      </c>
      <c r="U1594" t="s">
        <v>38</v>
      </c>
      <c r="V1594">
        <v>117880</v>
      </c>
      <c r="W1594">
        <v>3.8</v>
      </c>
      <c r="X1594">
        <v>6</v>
      </c>
      <c r="Y1594" t="s">
        <v>43</v>
      </c>
      <c r="Z1594">
        <v>3.64</v>
      </c>
      <c r="AA1594" t="s">
        <v>35</v>
      </c>
    </row>
    <row r="1595" spans="1:27" x14ac:dyDescent="0.3">
      <c r="A1595" t="s">
        <v>52</v>
      </c>
      <c r="B1595" t="s">
        <v>80</v>
      </c>
      <c r="C1595">
        <v>2026</v>
      </c>
      <c r="D1595" t="s">
        <v>63</v>
      </c>
      <c r="E1595">
        <v>55329.7</v>
      </c>
      <c r="F1595">
        <v>56.6</v>
      </c>
      <c r="G1595">
        <v>217</v>
      </c>
      <c r="H1595">
        <v>328.7</v>
      </c>
      <c r="I1595">
        <v>6.63</v>
      </c>
      <c r="J1595">
        <v>151</v>
      </c>
      <c r="K1595">
        <v>378</v>
      </c>
      <c r="L1595">
        <v>320</v>
      </c>
      <c r="M1595" t="s">
        <v>54</v>
      </c>
      <c r="N1595">
        <v>7</v>
      </c>
      <c r="O1595" t="s">
        <v>31</v>
      </c>
      <c r="P1595">
        <v>69.8</v>
      </c>
      <c r="Q1595">
        <v>2635</v>
      </c>
      <c r="R1595">
        <v>4</v>
      </c>
      <c r="S1595">
        <v>2</v>
      </c>
      <c r="T1595" t="s">
        <v>47</v>
      </c>
      <c r="U1595" t="s">
        <v>42</v>
      </c>
      <c r="V1595">
        <v>211999</v>
      </c>
      <c r="W1595">
        <v>3.3</v>
      </c>
      <c r="X1595">
        <v>5</v>
      </c>
      <c r="Y1595" t="s">
        <v>43</v>
      </c>
      <c r="Z1595">
        <v>3.83</v>
      </c>
      <c r="AA1595" t="s">
        <v>35</v>
      </c>
    </row>
    <row r="1596" spans="1:27" x14ac:dyDescent="0.3">
      <c r="A1596" t="s">
        <v>44</v>
      </c>
      <c r="B1596" t="s">
        <v>110</v>
      </c>
      <c r="C1596">
        <v>2025</v>
      </c>
      <c r="D1596" t="s">
        <v>50</v>
      </c>
      <c r="E1596">
        <v>49790.46</v>
      </c>
      <c r="F1596">
        <v>91.9</v>
      </c>
      <c r="G1596">
        <v>322</v>
      </c>
      <c r="H1596">
        <v>83.7</v>
      </c>
      <c r="I1596">
        <v>4.58</v>
      </c>
      <c r="J1596">
        <v>180</v>
      </c>
      <c r="K1596">
        <v>538</v>
      </c>
      <c r="L1596">
        <v>549</v>
      </c>
      <c r="M1596" t="s">
        <v>54</v>
      </c>
      <c r="N1596">
        <v>5</v>
      </c>
      <c r="O1596" t="s">
        <v>40</v>
      </c>
      <c r="P1596">
        <v>67.400000000000006</v>
      </c>
      <c r="Q1596">
        <v>2327</v>
      </c>
      <c r="R1596">
        <v>5</v>
      </c>
      <c r="S1596">
        <v>2</v>
      </c>
      <c r="T1596" t="s">
        <v>47</v>
      </c>
      <c r="U1596" t="s">
        <v>42</v>
      </c>
      <c r="V1596">
        <v>29595</v>
      </c>
      <c r="W1596">
        <v>3.8</v>
      </c>
      <c r="X1596">
        <v>4</v>
      </c>
      <c r="Y1596" t="s">
        <v>43</v>
      </c>
      <c r="Z1596">
        <v>3.5</v>
      </c>
      <c r="AA1596" t="s">
        <v>35</v>
      </c>
    </row>
    <row r="1597" spans="1:27" x14ac:dyDescent="0.3">
      <c r="A1597" t="s">
        <v>48</v>
      </c>
      <c r="B1597" t="s">
        <v>60</v>
      </c>
      <c r="C1597">
        <v>2024</v>
      </c>
      <c r="D1597" t="s">
        <v>50</v>
      </c>
      <c r="E1597">
        <v>82833.740000000005</v>
      </c>
      <c r="F1597">
        <v>107.6</v>
      </c>
      <c r="G1597">
        <v>375</v>
      </c>
      <c r="H1597">
        <v>81.5</v>
      </c>
      <c r="I1597">
        <v>4.71</v>
      </c>
      <c r="J1597">
        <v>173</v>
      </c>
      <c r="K1597">
        <v>1000</v>
      </c>
      <c r="L1597">
        <v>897</v>
      </c>
      <c r="M1597" t="s">
        <v>30</v>
      </c>
      <c r="N1597">
        <v>5</v>
      </c>
      <c r="O1597" t="s">
        <v>31</v>
      </c>
      <c r="P1597">
        <v>70</v>
      </c>
      <c r="Q1597">
        <v>2631</v>
      </c>
      <c r="R1597">
        <v>4</v>
      </c>
      <c r="S1597">
        <v>0</v>
      </c>
      <c r="T1597" t="s">
        <v>51</v>
      </c>
      <c r="U1597" t="s">
        <v>38</v>
      </c>
      <c r="V1597">
        <v>98307</v>
      </c>
      <c r="W1597">
        <v>3.7</v>
      </c>
      <c r="X1597">
        <v>5</v>
      </c>
      <c r="Y1597" t="s">
        <v>43</v>
      </c>
      <c r="Z1597">
        <v>3.49</v>
      </c>
      <c r="AA1597" t="s">
        <v>35</v>
      </c>
    </row>
    <row r="1598" spans="1:27" x14ac:dyDescent="0.3">
      <c r="A1598" t="s">
        <v>71</v>
      </c>
      <c r="B1598" t="s">
        <v>104</v>
      </c>
      <c r="C1598">
        <v>2024</v>
      </c>
      <c r="D1598" t="s">
        <v>38</v>
      </c>
      <c r="E1598">
        <v>104505.82</v>
      </c>
      <c r="F1598">
        <v>41.7</v>
      </c>
      <c r="G1598">
        <v>159</v>
      </c>
      <c r="H1598">
        <v>125.5</v>
      </c>
      <c r="I1598">
        <v>6.37</v>
      </c>
      <c r="J1598">
        <v>153</v>
      </c>
      <c r="K1598">
        <v>1000</v>
      </c>
      <c r="L1598">
        <v>919</v>
      </c>
      <c r="M1598" t="s">
        <v>39</v>
      </c>
      <c r="N1598">
        <v>5</v>
      </c>
      <c r="O1598" t="s">
        <v>56</v>
      </c>
      <c r="P1598">
        <v>19.899999999999999</v>
      </c>
      <c r="Q1598">
        <v>1790</v>
      </c>
      <c r="R1598">
        <v>5</v>
      </c>
      <c r="S1598">
        <v>1</v>
      </c>
      <c r="T1598" t="s">
        <v>73</v>
      </c>
      <c r="U1598" t="s">
        <v>33</v>
      </c>
      <c r="V1598">
        <v>111020</v>
      </c>
      <c r="W1598">
        <v>3.1</v>
      </c>
      <c r="X1598">
        <v>4</v>
      </c>
      <c r="Y1598" t="s">
        <v>43</v>
      </c>
      <c r="Z1598">
        <v>3.81</v>
      </c>
      <c r="AA1598" t="s">
        <v>35</v>
      </c>
    </row>
    <row r="1599" spans="1:27" x14ac:dyDescent="0.3">
      <c r="A1599" t="s">
        <v>52</v>
      </c>
      <c r="B1599" t="s">
        <v>55</v>
      </c>
      <c r="C1599">
        <v>2022</v>
      </c>
      <c r="D1599" t="s">
        <v>50</v>
      </c>
      <c r="E1599">
        <v>45169.5</v>
      </c>
      <c r="F1599">
        <v>98.8</v>
      </c>
      <c r="G1599">
        <v>340</v>
      </c>
      <c r="H1599">
        <v>234.2</v>
      </c>
      <c r="I1599">
        <v>5.08</v>
      </c>
      <c r="J1599">
        <v>170</v>
      </c>
      <c r="K1599">
        <v>274</v>
      </c>
      <c r="L1599">
        <v>233</v>
      </c>
      <c r="M1599" t="s">
        <v>54</v>
      </c>
      <c r="N1599">
        <v>5</v>
      </c>
      <c r="O1599" t="s">
        <v>46</v>
      </c>
      <c r="P1599">
        <v>71.7</v>
      </c>
      <c r="Q1599">
        <v>1563</v>
      </c>
      <c r="R1599">
        <v>4</v>
      </c>
      <c r="S1599">
        <v>2</v>
      </c>
      <c r="T1599" t="s">
        <v>47</v>
      </c>
      <c r="U1599" t="s">
        <v>42</v>
      </c>
      <c r="V1599">
        <v>416114</v>
      </c>
      <c r="W1599">
        <v>4.2</v>
      </c>
      <c r="X1599">
        <v>5</v>
      </c>
      <c r="Y1599" t="s">
        <v>43</v>
      </c>
      <c r="Z1599">
        <v>3.44</v>
      </c>
      <c r="AA1599" t="s">
        <v>35</v>
      </c>
    </row>
    <row r="1600" spans="1:27" x14ac:dyDescent="0.3">
      <c r="A1600" t="s">
        <v>52</v>
      </c>
      <c r="B1600" t="s">
        <v>64</v>
      </c>
      <c r="C1600">
        <v>2025</v>
      </c>
      <c r="D1600" t="s">
        <v>38</v>
      </c>
      <c r="E1600">
        <v>135056.97</v>
      </c>
      <c r="F1600">
        <v>63</v>
      </c>
      <c r="G1600">
        <v>231</v>
      </c>
      <c r="H1600">
        <v>263.39999999999998</v>
      </c>
      <c r="I1600">
        <v>7.57</v>
      </c>
      <c r="J1600">
        <v>135</v>
      </c>
      <c r="K1600">
        <v>1000</v>
      </c>
      <c r="L1600">
        <v>916</v>
      </c>
      <c r="M1600" t="s">
        <v>54</v>
      </c>
      <c r="N1600">
        <v>7</v>
      </c>
      <c r="O1600" t="s">
        <v>40</v>
      </c>
      <c r="P1600">
        <v>36.799999999999997</v>
      </c>
      <c r="Q1600">
        <v>2017</v>
      </c>
      <c r="R1600">
        <v>5</v>
      </c>
      <c r="S1600">
        <v>3</v>
      </c>
      <c r="T1600" t="s">
        <v>47</v>
      </c>
      <c r="U1600" t="s">
        <v>33</v>
      </c>
      <c r="V1600">
        <v>107596</v>
      </c>
      <c r="W1600">
        <v>3.9</v>
      </c>
      <c r="X1600">
        <v>5</v>
      </c>
      <c r="Y1600" t="s">
        <v>61</v>
      </c>
      <c r="Z1600">
        <v>3.67</v>
      </c>
      <c r="AA1600" t="s">
        <v>35</v>
      </c>
    </row>
    <row r="1601" spans="1:27" x14ac:dyDescent="0.3">
      <c r="A1601" t="s">
        <v>94</v>
      </c>
      <c r="B1601" t="s">
        <v>113</v>
      </c>
      <c r="C1601">
        <v>2026</v>
      </c>
      <c r="D1601" t="s">
        <v>29</v>
      </c>
      <c r="E1601">
        <v>79000.66</v>
      </c>
      <c r="F1601">
        <v>102.5</v>
      </c>
      <c r="G1601">
        <v>355</v>
      </c>
      <c r="H1601">
        <v>167.1</v>
      </c>
      <c r="I1601">
        <v>2.94</v>
      </c>
      <c r="J1601">
        <v>200</v>
      </c>
      <c r="K1601">
        <v>441</v>
      </c>
      <c r="L1601">
        <v>398</v>
      </c>
      <c r="M1601" t="s">
        <v>30</v>
      </c>
      <c r="N1601">
        <v>7</v>
      </c>
      <c r="O1601" t="s">
        <v>57</v>
      </c>
      <c r="P1601">
        <v>34.9</v>
      </c>
      <c r="Q1601">
        <v>1660</v>
      </c>
      <c r="R1601">
        <v>5</v>
      </c>
      <c r="S1601">
        <v>2</v>
      </c>
      <c r="T1601" t="s">
        <v>32</v>
      </c>
      <c r="U1601" t="s">
        <v>38</v>
      </c>
      <c r="V1601">
        <v>72672</v>
      </c>
      <c r="W1601">
        <v>4</v>
      </c>
      <c r="X1601">
        <v>7</v>
      </c>
      <c r="Y1601" t="s">
        <v>34</v>
      </c>
      <c r="Z1601">
        <v>3.46</v>
      </c>
      <c r="AA1601" t="s">
        <v>35</v>
      </c>
    </row>
    <row r="1602" spans="1:27" x14ac:dyDescent="0.3">
      <c r="A1602" t="s">
        <v>52</v>
      </c>
      <c r="B1602" t="s">
        <v>53</v>
      </c>
      <c r="C1602">
        <v>2025</v>
      </c>
      <c r="D1602" t="s">
        <v>63</v>
      </c>
      <c r="E1602">
        <v>50205.39</v>
      </c>
      <c r="F1602">
        <v>40.299999999999997</v>
      </c>
      <c r="G1602">
        <v>150</v>
      </c>
      <c r="H1602">
        <v>296.39999999999998</v>
      </c>
      <c r="I1602">
        <v>5.86</v>
      </c>
      <c r="J1602">
        <v>169</v>
      </c>
      <c r="K1602">
        <v>355</v>
      </c>
      <c r="L1602">
        <v>293</v>
      </c>
      <c r="M1602" t="s">
        <v>39</v>
      </c>
      <c r="N1602">
        <v>5</v>
      </c>
      <c r="O1602" t="s">
        <v>46</v>
      </c>
      <c r="P1602">
        <v>68.2</v>
      </c>
      <c r="Q1602">
        <v>1641</v>
      </c>
      <c r="R1602">
        <v>3</v>
      </c>
      <c r="S1602">
        <v>3</v>
      </c>
      <c r="T1602" t="s">
        <v>47</v>
      </c>
      <c r="U1602" t="s">
        <v>42</v>
      </c>
      <c r="V1602">
        <v>169041</v>
      </c>
      <c r="W1602">
        <v>3.2</v>
      </c>
      <c r="X1602">
        <v>4</v>
      </c>
      <c r="Y1602" t="s">
        <v>43</v>
      </c>
      <c r="Z1602">
        <v>3.72</v>
      </c>
      <c r="AA1602" t="s">
        <v>35</v>
      </c>
    </row>
    <row r="1603" spans="1:27" x14ac:dyDescent="0.3">
      <c r="A1603" t="s">
        <v>71</v>
      </c>
      <c r="B1603" t="s">
        <v>96</v>
      </c>
      <c r="C1603">
        <v>2025</v>
      </c>
      <c r="D1603" t="s">
        <v>63</v>
      </c>
      <c r="E1603">
        <v>24481.15</v>
      </c>
      <c r="F1603">
        <v>41.9</v>
      </c>
      <c r="G1603">
        <v>150</v>
      </c>
      <c r="H1603">
        <v>94.6</v>
      </c>
      <c r="I1603">
        <v>7.37</v>
      </c>
      <c r="J1603">
        <v>137</v>
      </c>
      <c r="K1603">
        <v>236</v>
      </c>
      <c r="L1603">
        <v>200</v>
      </c>
      <c r="M1603" t="s">
        <v>30</v>
      </c>
      <c r="N1603">
        <v>5</v>
      </c>
      <c r="O1603" t="s">
        <v>65</v>
      </c>
      <c r="P1603">
        <v>17.399999999999999</v>
      </c>
      <c r="Q1603">
        <v>1500</v>
      </c>
      <c r="R1603">
        <v>3</v>
      </c>
      <c r="S1603">
        <v>1</v>
      </c>
      <c r="T1603" t="s">
        <v>73</v>
      </c>
      <c r="U1603" t="s">
        <v>74</v>
      </c>
      <c r="V1603">
        <v>176238</v>
      </c>
      <c r="W1603">
        <v>3.1</v>
      </c>
      <c r="X1603">
        <v>3</v>
      </c>
      <c r="Y1603" t="s">
        <v>61</v>
      </c>
      <c r="Z1603">
        <v>3.58</v>
      </c>
      <c r="AA1603" t="s">
        <v>35</v>
      </c>
    </row>
    <row r="1604" spans="1:27" x14ac:dyDescent="0.3">
      <c r="A1604" t="s">
        <v>71</v>
      </c>
      <c r="B1604" t="s">
        <v>104</v>
      </c>
      <c r="C1604">
        <v>2024</v>
      </c>
      <c r="D1604" t="s">
        <v>50</v>
      </c>
      <c r="E1604">
        <v>51538.03</v>
      </c>
      <c r="F1604">
        <v>99.3</v>
      </c>
      <c r="G1604">
        <v>365</v>
      </c>
      <c r="H1604">
        <v>74.400000000000006</v>
      </c>
      <c r="I1604">
        <v>4.53</v>
      </c>
      <c r="J1604">
        <v>175</v>
      </c>
      <c r="K1604">
        <v>546</v>
      </c>
      <c r="L1604">
        <v>469</v>
      </c>
      <c r="M1604" t="s">
        <v>39</v>
      </c>
      <c r="N1604">
        <v>7</v>
      </c>
      <c r="O1604" t="s">
        <v>40</v>
      </c>
      <c r="P1604">
        <v>55.2</v>
      </c>
      <c r="Q1604">
        <v>1948</v>
      </c>
      <c r="R1604">
        <v>5</v>
      </c>
      <c r="S1604">
        <v>2</v>
      </c>
      <c r="T1604" t="s">
        <v>73</v>
      </c>
      <c r="U1604" t="s">
        <v>42</v>
      </c>
      <c r="V1604">
        <v>188274</v>
      </c>
      <c r="W1604">
        <v>3.7</v>
      </c>
      <c r="X1604">
        <v>4</v>
      </c>
      <c r="Y1604" t="s">
        <v>43</v>
      </c>
      <c r="Z1604">
        <v>3.68</v>
      </c>
      <c r="AA1604" t="s">
        <v>35</v>
      </c>
    </row>
    <row r="1605" spans="1:27" x14ac:dyDescent="0.3">
      <c r="A1605" t="s">
        <v>71</v>
      </c>
      <c r="B1605" t="s">
        <v>75</v>
      </c>
      <c r="C1605">
        <v>2024</v>
      </c>
      <c r="D1605" t="s">
        <v>63</v>
      </c>
      <c r="E1605">
        <v>19083.54</v>
      </c>
      <c r="F1605">
        <v>44.4</v>
      </c>
      <c r="G1605">
        <v>151</v>
      </c>
      <c r="H1605">
        <v>90.6</v>
      </c>
      <c r="I1605">
        <v>7.76</v>
      </c>
      <c r="J1605">
        <v>141</v>
      </c>
      <c r="K1605">
        <v>150</v>
      </c>
      <c r="L1605">
        <v>200</v>
      </c>
      <c r="M1605" t="s">
        <v>30</v>
      </c>
      <c r="N1605">
        <v>7</v>
      </c>
      <c r="O1605" t="s">
        <v>31</v>
      </c>
      <c r="P1605">
        <v>59.3</v>
      </c>
      <c r="Q1605">
        <v>2431</v>
      </c>
      <c r="R1605">
        <v>4</v>
      </c>
      <c r="S1605">
        <v>0</v>
      </c>
      <c r="T1605" t="s">
        <v>73</v>
      </c>
      <c r="U1605" t="s">
        <v>74</v>
      </c>
      <c r="V1605">
        <v>216310</v>
      </c>
      <c r="W1605">
        <v>3.3</v>
      </c>
      <c r="X1605">
        <v>3</v>
      </c>
      <c r="Y1605" t="s">
        <v>61</v>
      </c>
      <c r="Z1605">
        <v>3.4</v>
      </c>
      <c r="AA1605" t="s">
        <v>35</v>
      </c>
    </row>
    <row r="1606" spans="1:27" x14ac:dyDescent="0.3">
      <c r="A1606" t="s">
        <v>52</v>
      </c>
      <c r="B1606" t="s">
        <v>55</v>
      </c>
      <c r="C1606">
        <v>2024</v>
      </c>
      <c r="D1606" t="s">
        <v>29</v>
      </c>
      <c r="E1606">
        <v>37255.18</v>
      </c>
      <c r="F1606">
        <v>113.7</v>
      </c>
      <c r="G1606">
        <v>383</v>
      </c>
      <c r="H1606">
        <v>346.6</v>
      </c>
      <c r="I1606">
        <v>2.62</v>
      </c>
      <c r="J1606">
        <v>200</v>
      </c>
      <c r="K1606">
        <v>272</v>
      </c>
      <c r="L1606">
        <v>218</v>
      </c>
      <c r="M1606" t="s">
        <v>54</v>
      </c>
      <c r="N1606">
        <v>7</v>
      </c>
      <c r="O1606" t="s">
        <v>40</v>
      </c>
      <c r="P1606">
        <v>62.3</v>
      </c>
      <c r="Q1606">
        <v>1904</v>
      </c>
      <c r="R1606">
        <v>5</v>
      </c>
      <c r="S1606">
        <v>2</v>
      </c>
      <c r="T1606" t="s">
        <v>47</v>
      </c>
      <c r="U1606" t="s">
        <v>42</v>
      </c>
      <c r="V1606">
        <v>451073</v>
      </c>
      <c r="W1606">
        <v>4.2</v>
      </c>
      <c r="X1606">
        <v>5</v>
      </c>
      <c r="Y1606" t="s">
        <v>34</v>
      </c>
      <c r="Z1606">
        <v>3.37</v>
      </c>
      <c r="AA1606" t="s">
        <v>35</v>
      </c>
    </row>
    <row r="1607" spans="1:27" x14ac:dyDescent="0.3">
      <c r="A1607" t="s">
        <v>76</v>
      </c>
      <c r="B1607" t="s">
        <v>98</v>
      </c>
      <c r="C1607">
        <v>2022</v>
      </c>
      <c r="D1607" t="s">
        <v>63</v>
      </c>
      <c r="E1607">
        <v>28093.63</v>
      </c>
      <c r="F1607">
        <v>47.2</v>
      </c>
      <c r="G1607">
        <v>167</v>
      </c>
      <c r="H1607">
        <v>85.3</v>
      </c>
      <c r="I1607">
        <v>7.79</v>
      </c>
      <c r="J1607">
        <v>139</v>
      </c>
      <c r="K1607">
        <v>150</v>
      </c>
      <c r="L1607">
        <v>200</v>
      </c>
      <c r="M1607" t="s">
        <v>54</v>
      </c>
      <c r="N1607">
        <v>7</v>
      </c>
      <c r="O1607" t="s">
        <v>46</v>
      </c>
      <c r="P1607">
        <v>68.5</v>
      </c>
      <c r="Q1607">
        <v>1572</v>
      </c>
      <c r="R1607">
        <v>3</v>
      </c>
      <c r="S1607">
        <v>0</v>
      </c>
      <c r="T1607" t="s">
        <v>51</v>
      </c>
      <c r="U1607" t="s">
        <v>74</v>
      </c>
      <c r="V1607">
        <v>119899</v>
      </c>
      <c r="W1607">
        <v>3.3</v>
      </c>
      <c r="X1607">
        <v>4</v>
      </c>
      <c r="Y1607" t="s">
        <v>61</v>
      </c>
      <c r="Z1607">
        <v>3.54</v>
      </c>
      <c r="AA1607" t="s">
        <v>35</v>
      </c>
    </row>
    <row r="1608" spans="1:27" x14ac:dyDescent="0.3">
      <c r="A1608" t="s">
        <v>52</v>
      </c>
      <c r="B1608" t="s">
        <v>80</v>
      </c>
      <c r="C1608">
        <v>2025</v>
      </c>
      <c r="D1608" t="s">
        <v>63</v>
      </c>
      <c r="E1608">
        <v>88007.74</v>
      </c>
      <c r="F1608">
        <v>64.2</v>
      </c>
      <c r="G1608">
        <v>223</v>
      </c>
      <c r="H1608">
        <v>282.7</v>
      </c>
      <c r="I1608">
        <v>5.25</v>
      </c>
      <c r="J1608">
        <v>171</v>
      </c>
      <c r="K1608">
        <v>578</v>
      </c>
      <c r="L1608">
        <v>464</v>
      </c>
      <c r="M1608" t="s">
        <v>39</v>
      </c>
      <c r="N1608">
        <v>5</v>
      </c>
      <c r="O1608" t="s">
        <v>31</v>
      </c>
      <c r="P1608">
        <v>56.1</v>
      </c>
      <c r="Q1608">
        <v>2585</v>
      </c>
      <c r="R1608">
        <v>4</v>
      </c>
      <c r="S1608">
        <v>2</v>
      </c>
      <c r="T1608" t="s">
        <v>47</v>
      </c>
      <c r="U1608" t="s">
        <v>38</v>
      </c>
      <c r="V1608">
        <v>102752</v>
      </c>
      <c r="W1608">
        <v>3.5</v>
      </c>
      <c r="X1608">
        <v>6</v>
      </c>
      <c r="Y1608" t="s">
        <v>43</v>
      </c>
      <c r="Z1608">
        <v>3.47</v>
      </c>
      <c r="AA1608" t="s">
        <v>35</v>
      </c>
    </row>
    <row r="1609" spans="1:27" x14ac:dyDescent="0.3">
      <c r="A1609" t="s">
        <v>84</v>
      </c>
      <c r="B1609" t="s">
        <v>106</v>
      </c>
      <c r="C1609">
        <v>2025</v>
      </c>
      <c r="D1609" t="s">
        <v>29</v>
      </c>
      <c r="E1609">
        <v>75193.899999999994</v>
      </c>
      <c r="F1609">
        <v>76.099999999999994</v>
      </c>
      <c r="G1609">
        <v>227</v>
      </c>
      <c r="H1609">
        <v>192</v>
      </c>
      <c r="I1609">
        <v>3.26</v>
      </c>
      <c r="J1609">
        <v>193</v>
      </c>
      <c r="K1609">
        <v>849</v>
      </c>
      <c r="L1609">
        <v>764</v>
      </c>
      <c r="M1609" t="s">
        <v>30</v>
      </c>
      <c r="N1609">
        <v>5</v>
      </c>
      <c r="O1609" t="s">
        <v>65</v>
      </c>
      <c r="P1609">
        <v>38.200000000000003</v>
      </c>
      <c r="Q1609">
        <v>1687</v>
      </c>
      <c r="R1609">
        <v>4</v>
      </c>
      <c r="S1609">
        <v>1</v>
      </c>
      <c r="T1609" t="s">
        <v>47</v>
      </c>
      <c r="U1609" t="s">
        <v>38</v>
      </c>
      <c r="V1609">
        <v>31804</v>
      </c>
      <c r="W1609">
        <v>3.5</v>
      </c>
      <c r="X1609">
        <v>3</v>
      </c>
      <c r="Y1609" t="s">
        <v>34</v>
      </c>
      <c r="Z1609">
        <v>2.98</v>
      </c>
      <c r="AA1609" t="s">
        <v>35</v>
      </c>
    </row>
    <row r="1610" spans="1:27" x14ac:dyDescent="0.3">
      <c r="A1610" t="s">
        <v>71</v>
      </c>
      <c r="B1610" t="s">
        <v>81</v>
      </c>
      <c r="C1610">
        <v>2026</v>
      </c>
      <c r="D1610" t="s">
        <v>68</v>
      </c>
      <c r="E1610">
        <v>90374.6</v>
      </c>
      <c r="F1610">
        <v>57.6</v>
      </c>
      <c r="G1610">
        <v>191</v>
      </c>
      <c r="H1610">
        <v>101.5</v>
      </c>
      <c r="I1610">
        <v>6.82</v>
      </c>
      <c r="J1610">
        <v>145</v>
      </c>
      <c r="K1610">
        <v>944</v>
      </c>
      <c r="L1610">
        <v>832</v>
      </c>
      <c r="M1610" t="s">
        <v>30</v>
      </c>
      <c r="N1610">
        <v>5</v>
      </c>
      <c r="O1610" t="s">
        <v>56</v>
      </c>
      <c r="P1610">
        <v>19.7</v>
      </c>
      <c r="Q1610">
        <v>1540</v>
      </c>
      <c r="R1610">
        <v>5</v>
      </c>
      <c r="S1610">
        <v>0</v>
      </c>
      <c r="T1610" t="s">
        <v>73</v>
      </c>
      <c r="U1610" t="s">
        <v>38</v>
      </c>
      <c r="V1610">
        <v>232416</v>
      </c>
      <c r="W1610">
        <v>3.5</v>
      </c>
      <c r="X1610">
        <v>4</v>
      </c>
      <c r="Y1610" t="s">
        <v>43</v>
      </c>
      <c r="Z1610">
        <v>3.32</v>
      </c>
      <c r="AA1610" t="s">
        <v>35</v>
      </c>
    </row>
    <row r="1611" spans="1:27" x14ac:dyDescent="0.3">
      <c r="A1611" t="s">
        <v>48</v>
      </c>
      <c r="B1611" t="s">
        <v>60</v>
      </c>
      <c r="C1611">
        <v>2025</v>
      </c>
      <c r="D1611" t="s">
        <v>29</v>
      </c>
      <c r="E1611">
        <v>111745.56</v>
      </c>
      <c r="F1611">
        <v>82.5</v>
      </c>
      <c r="G1611">
        <v>289</v>
      </c>
      <c r="H1611">
        <v>172.9</v>
      </c>
      <c r="I1611">
        <v>4.0999999999999996</v>
      </c>
      <c r="J1611">
        <v>183</v>
      </c>
      <c r="K1611">
        <v>1000</v>
      </c>
      <c r="L1611">
        <v>855</v>
      </c>
      <c r="M1611" t="s">
        <v>39</v>
      </c>
      <c r="N1611">
        <v>7</v>
      </c>
      <c r="O1611" t="s">
        <v>31</v>
      </c>
      <c r="P1611">
        <v>72.099999999999994</v>
      </c>
      <c r="Q1611">
        <v>2484</v>
      </c>
      <c r="R1611">
        <v>4</v>
      </c>
      <c r="S1611">
        <v>0</v>
      </c>
      <c r="T1611" t="s">
        <v>51</v>
      </c>
      <c r="U1611" t="s">
        <v>33</v>
      </c>
      <c r="V1611">
        <v>96875</v>
      </c>
      <c r="W1611">
        <v>3.4</v>
      </c>
      <c r="X1611">
        <v>3</v>
      </c>
      <c r="Y1611" t="s">
        <v>43</v>
      </c>
      <c r="Z1611">
        <v>3.5</v>
      </c>
      <c r="AA1611" t="s">
        <v>35</v>
      </c>
    </row>
    <row r="1612" spans="1:27" x14ac:dyDescent="0.3">
      <c r="A1612" t="s">
        <v>94</v>
      </c>
      <c r="B1612" t="s">
        <v>125</v>
      </c>
      <c r="C1612">
        <v>2022</v>
      </c>
      <c r="D1612" t="s">
        <v>38</v>
      </c>
      <c r="E1612">
        <v>144615.75</v>
      </c>
      <c r="F1612">
        <v>49.5</v>
      </c>
      <c r="G1612">
        <v>161</v>
      </c>
      <c r="H1612">
        <v>72.5</v>
      </c>
      <c r="I1612">
        <v>6</v>
      </c>
      <c r="J1612">
        <v>152</v>
      </c>
      <c r="K1612">
        <v>1000</v>
      </c>
      <c r="L1612">
        <v>883</v>
      </c>
      <c r="M1612" t="s">
        <v>30</v>
      </c>
      <c r="N1612">
        <v>5</v>
      </c>
      <c r="O1612" t="s">
        <v>40</v>
      </c>
      <c r="P1612">
        <v>56.2</v>
      </c>
      <c r="Q1612">
        <v>2232</v>
      </c>
      <c r="R1612">
        <v>5</v>
      </c>
      <c r="S1612">
        <v>2</v>
      </c>
      <c r="T1612" t="s">
        <v>32</v>
      </c>
      <c r="U1612" t="s">
        <v>33</v>
      </c>
      <c r="V1612">
        <v>57074</v>
      </c>
      <c r="W1612">
        <v>3.1</v>
      </c>
      <c r="X1612">
        <v>6</v>
      </c>
      <c r="Y1612" t="s">
        <v>43</v>
      </c>
      <c r="Z1612">
        <v>3.25</v>
      </c>
      <c r="AA1612" t="s">
        <v>35</v>
      </c>
    </row>
    <row r="1613" spans="1:27" x14ac:dyDescent="0.3">
      <c r="A1613" t="s">
        <v>91</v>
      </c>
      <c r="B1613" t="s">
        <v>122</v>
      </c>
      <c r="C1613">
        <v>2025</v>
      </c>
      <c r="D1613" t="s">
        <v>68</v>
      </c>
      <c r="E1613">
        <v>69328.91</v>
      </c>
      <c r="F1613">
        <v>57.6</v>
      </c>
      <c r="G1613">
        <v>225</v>
      </c>
      <c r="H1613">
        <v>75.8</v>
      </c>
      <c r="I1613">
        <v>7.24</v>
      </c>
      <c r="J1613">
        <v>142</v>
      </c>
      <c r="K1613">
        <v>351</v>
      </c>
      <c r="L1613">
        <v>366</v>
      </c>
      <c r="M1613" t="s">
        <v>54</v>
      </c>
      <c r="N1613">
        <v>5</v>
      </c>
      <c r="O1613" t="s">
        <v>40</v>
      </c>
      <c r="P1613">
        <v>39</v>
      </c>
      <c r="Q1613">
        <v>2137</v>
      </c>
      <c r="R1613">
        <v>5</v>
      </c>
      <c r="S1613">
        <v>1</v>
      </c>
      <c r="T1613" t="s">
        <v>32</v>
      </c>
      <c r="U1613" t="s">
        <v>38</v>
      </c>
      <c r="V1613">
        <v>73975</v>
      </c>
      <c r="W1613">
        <v>3.3</v>
      </c>
      <c r="X1613">
        <v>8</v>
      </c>
      <c r="Y1613" t="s">
        <v>61</v>
      </c>
      <c r="Z1613">
        <v>3.91</v>
      </c>
      <c r="AA1613" t="s">
        <v>35</v>
      </c>
    </row>
    <row r="1614" spans="1:27" x14ac:dyDescent="0.3">
      <c r="A1614" t="s">
        <v>76</v>
      </c>
      <c r="B1614" t="s">
        <v>114</v>
      </c>
      <c r="C1614">
        <v>2022</v>
      </c>
      <c r="D1614" t="s">
        <v>38</v>
      </c>
      <c r="E1614">
        <v>39046.61</v>
      </c>
      <c r="F1614">
        <v>54.4</v>
      </c>
      <c r="G1614">
        <v>178</v>
      </c>
      <c r="H1614">
        <v>104.9</v>
      </c>
      <c r="I1614">
        <v>6.75</v>
      </c>
      <c r="J1614">
        <v>148</v>
      </c>
      <c r="K1614">
        <v>312</v>
      </c>
      <c r="L1614">
        <v>289</v>
      </c>
      <c r="M1614" t="s">
        <v>30</v>
      </c>
      <c r="N1614">
        <v>7</v>
      </c>
      <c r="O1614" t="s">
        <v>57</v>
      </c>
      <c r="P1614">
        <v>19.3</v>
      </c>
      <c r="Q1614">
        <v>1718</v>
      </c>
      <c r="R1614">
        <v>4</v>
      </c>
      <c r="S1614">
        <v>1</v>
      </c>
      <c r="T1614" t="s">
        <v>51</v>
      </c>
      <c r="U1614" t="s">
        <v>42</v>
      </c>
      <c r="V1614">
        <v>57836</v>
      </c>
      <c r="W1614">
        <v>3.1</v>
      </c>
      <c r="X1614">
        <v>3</v>
      </c>
      <c r="Y1614" t="s">
        <v>43</v>
      </c>
      <c r="Z1614">
        <v>3.27</v>
      </c>
      <c r="AA1614" t="s">
        <v>35</v>
      </c>
    </row>
    <row r="1615" spans="1:27" x14ac:dyDescent="0.3">
      <c r="A1615" t="s">
        <v>71</v>
      </c>
      <c r="B1615" t="s">
        <v>72</v>
      </c>
      <c r="C1615">
        <v>2025</v>
      </c>
      <c r="D1615" t="s">
        <v>50</v>
      </c>
      <c r="E1615">
        <v>79832.09</v>
      </c>
      <c r="F1615">
        <v>92</v>
      </c>
      <c r="G1615">
        <v>328</v>
      </c>
      <c r="H1615">
        <v>103.3</v>
      </c>
      <c r="I1615">
        <v>5.19</v>
      </c>
      <c r="J1615">
        <v>171</v>
      </c>
      <c r="K1615">
        <v>875</v>
      </c>
      <c r="L1615">
        <v>790</v>
      </c>
      <c r="M1615" t="s">
        <v>39</v>
      </c>
      <c r="N1615">
        <v>7</v>
      </c>
      <c r="O1615" t="s">
        <v>40</v>
      </c>
      <c r="P1615">
        <v>70</v>
      </c>
      <c r="Q1615">
        <v>2024</v>
      </c>
      <c r="R1615">
        <v>5</v>
      </c>
      <c r="S1615">
        <v>0</v>
      </c>
      <c r="T1615" t="s">
        <v>73</v>
      </c>
      <c r="U1615" t="s">
        <v>38</v>
      </c>
      <c r="V1615">
        <v>242291</v>
      </c>
      <c r="W1615">
        <v>3.6</v>
      </c>
      <c r="X1615">
        <v>4</v>
      </c>
      <c r="Y1615" t="s">
        <v>43</v>
      </c>
      <c r="Z1615">
        <v>3.57</v>
      </c>
      <c r="AA1615" t="s">
        <v>35</v>
      </c>
    </row>
    <row r="1616" spans="1:27" x14ac:dyDescent="0.3">
      <c r="A1616" t="s">
        <v>71</v>
      </c>
      <c r="B1616" t="s">
        <v>72</v>
      </c>
      <c r="C1616">
        <v>2024</v>
      </c>
      <c r="D1616" t="s">
        <v>38</v>
      </c>
      <c r="E1616">
        <v>51226.67</v>
      </c>
      <c r="F1616">
        <v>79.599999999999994</v>
      </c>
      <c r="G1616">
        <v>271</v>
      </c>
      <c r="H1616">
        <v>64.5</v>
      </c>
      <c r="I1616">
        <v>5.31</v>
      </c>
      <c r="J1616">
        <v>167</v>
      </c>
      <c r="K1616">
        <v>544</v>
      </c>
      <c r="L1616">
        <v>486</v>
      </c>
      <c r="M1616" t="s">
        <v>30</v>
      </c>
      <c r="N1616">
        <v>7</v>
      </c>
      <c r="O1616" t="s">
        <v>65</v>
      </c>
      <c r="P1616">
        <v>38.700000000000003</v>
      </c>
      <c r="Q1616">
        <v>1756</v>
      </c>
      <c r="R1616">
        <v>5</v>
      </c>
      <c r="S1616">
        <v>2</v>
      </c>
      <c r="T1616" t="s">
        <v>73</v>
      </c>
      <c r="U1616" t="s">
        <v>42</v>
      </c>
      <c r="V1616">
        <v>143773</v>
      </c>
      <c r="W1616">
        <v>3.5</v>
      </c>
      <c r="X1616">
        <v>4</v>
      </c>
      <c r="Y1616" t="s">
        <v>43</v>
      </c>
      <c r="Z1616">
        <v>3.4</v>
      </c>
      <c r="AA1616" t="s">
        <v>35</v>
      </c>
    </row>
    <row r="1617" spans="1:27" x14ac:dyDescent="0.3">
      <c r="A1617" t="s">
        <v>91</v>
      </c>
      <c r="B1617" t="s">
        <v>122</v>
      </c>
      <c r="C1617">
        <v>2024</v>
      </c>
      <c r="D1617" t="s">
        <v>68</v>
      </c>
      <c r="E1617">
        <v>70389.460000000006</v>
      </c>
      <c r="F1617">
        <v>59.8</v>
      </c>
      <c r="G1617">
        <v>217</v>
      </c>
      <c r="H1617">
        <v>138.4</v>
      </c>
      <c r="I1617">
        <v>6.79</v>
      </c>
      <c r="J1617">
        <v>142</v>
      </c>
      <c r="K1617">
        <v>464</v>
      </c>
      <c r="L1617">
        <v>410</v>
      </c>
      <c r="M1617" t="s">
        <v>54</v>
      </c>
      <c r="N1617">
        <v>5</v>
      </c>
      <c r="O1617" t="s">
        <v>57</v>
      </c>
      <c r="P1617">
        <v>19.899999999999999</v>
      </c>
      <c r="Q1617">
        <v>1815</v>
      </c>
      <c r="R1617">
        <v>5</v>
      </c>
      <c r="S1617">
        <v>2</v>
      </c>
      <c r="T1617" t="s">
        <v>32</v>
      </c>
      <c r="U1617" t="s">
        <v>38</v>
      </c>
      <c r="V1617">
        <v>76685</v>
      </c>
      <c r="W1617">
        <v>3.4</v>
      </c>
      <c r="X1617">
        <v>5</v>
      </c>
      <c r="Y1617" t="s">
        <v>43</v>
      </c>
      <c r="Z1617">
        <v>3.63</v>
      </c>
      <c r="AA1617" t="s">
        <v>35</v>
      </c>
    </row>
    <row r="1618" spans="1:27" x14ac:dyDescent="0.3">
      <c r="A1618" t="s">
        <v>129</v>
      </c>
      <c r="B1618" t="s">
        <v>130</v>
      </c>
      <c r="C1618">
        <v>2022</v>
      </c>
      <c r="D1618" t="s">
        <v>29</v>
      </c>
      <c r="E1618">
        <v>90661.21</v>
      </c>
      <c r="F1618">
        <v>108.4</v>
      </c>
      <c r="G1618">
        <v>396</v>
      </c>
      <c r="H1618">
        <v>234.5</v>
      </c>
      <c r="I1618">
        <v>2.5299999999999998</v>
      </c>
      <c r="J1618">
        <v>200</v>
      </c>
      <c r="K1618">
        <v>807</v>
      </c>
      <c r="L1618">
        <v>735</v>
      </c>
      <c r="M1618" t="s">
        <v>30</v>
      </c>
      <c r="N1618">
        <v>5</v>
      </c>
      <c r="O1618" t="s">
        <v>40</v>
      </c>
      <c r="P1618">
        <v>56.2</v>
      </c>
      <c r="Q1618">
        <v>2143</v>
      </c>
      <c r="R1618">
        <v>5</v>
      </c>
      <c r="S1618">
        <v>0</v>
      </c>
      <c r="T1618" t="s">
        <v>131</v>
      </c>
      <c r="U1618" t="s">
        <v>38</v>
      </c>
      <c r="V1618">
        <v>15699</v>
      </c>
      <c r="W1618">
        <v>3.7</v>
      </c>
      <c r="X1618">
        <v>5</v>
      </c>
      <c r="Y1618" t="s">
        <v>34</v>
      </c>
      <c r="Z1618">
        <v>3.65</v>
      </c>
      <c r="AA1618" t="s">
        <v>43</v>
      </c>
    </row>
    <row r="1619" spans="1:27" x14ac:dyDescent="0.3">
      <c r="A1619" t="s">
        <v>91</v>
      </c>
      <c r="B1619" t="s">
        <v>92</v>
      </c>
      <c r="C1619">
        <v>2022</v>
      </c>
      <c r="D1619" t="s">
        <v>29</v>
      </c>
      <c r="E1619">
        <v>154009.88</v>
      </c>
      <c r="F1619">
        <v>79</v>
      </c>
      <c r="G1619">
        <v>275</v>
      </c>
      <c r="H1619">
        <v>162.1</v>
      </c>
      <c r="I1619">
        <v>4.46</v>
      </c>
      <c r="J1619">
        <v>180</v>
      </c>
      <c r="K1619">
        <v>1000</v>
      </c>
      <c r="L1619">
        <v>888</v>
      </c>
      <c r="M1619" t="s">
        <v>30</v>
      </c>
      <c r="N1619">
        <v>5</v>
      </c>
      <c r="O1619" t="s">
        <v>57</v>
      </c>
      <c r="P1619">
        <v>33</v>
      </c>
      <c r="Q1619">
        <v>1842</v>
      </c>
      <c r="R1619">
        <v>4</v>
      </c>
      <c r="S1619">
        <v>1</v>
      </c>
      <c r="T1619" t="s">
        <v>32</v>
      </c>
      <c r="U1619" t="s">
        <v>33</v>
      </c>
      <c r="V1619">
        <v>26663</v>
      </c>
      <c r="W1619">
        <v>3.5</v>
      </c>
      <c r="X1619">
        <v>7</v>
      </c>
      <c r="Y1619" t="s">
        <v>43</v>
      </c>
      <c r="Z1619">
        <v>3.48</v>
      </c>
      <c r="AA1619" t="s">
        <v>35</v>
      </c>
    </row>
    <row r="1620" spans="1:27" x14ac:dyDescent="0.3">
      <c r="A1620" t="s">
        <v>48</v>
      </c>
      <c r="B1620" t="s">
        <v>123</v>
      </c>
      <c r="C1620">
        <v>2025</v>
      </c>
      <c r="D1620" t="s">
        <v>38</v>
      </c>
      <c r="E1620">
        <v>61993.33</v>
      </c>
      <c r="F1620">
        <v>49.9</v>
      </c>
      <c r="G1620">
        <v>183</v>
      </c>
      <c r="H1620">
        <v>110.9</v>
      </c>
      <c r="I1620">
        <v>5.72</v>
      </c>
      <c r="J1620">
        <v>168</v>
      </c>
      <c r="K1620">
        <v>677</v>
      </c>
      <c r="L1620">
        <v>582</v>
      </c>
      <c r="M1620" t="s">
        <v>30</v>
      </c>
      <c r="N1620">
        <v>5</v>
      </c>
      <c r="O1620" t="s">
        <v>65</v>
      </c>
      <c r="P1620">
        <v>34.6</v>
      </c>
      <c r="Q1620">
        <v>1566</v>
      </c>
      <c r="R1620">
        <v>4</v>
      </c>
      <c r="S1620">
        <v>2</v>
      </c>
      <c r="T1620" t="s">
        <v>51</v>
      </c>
      <c r="U1620" t="s">
        <v>42</v>
      </c>
      <c r="V1620">
        <v>65237</v>
      </c>
      <c r="W1620">
        <v>3.1</v>
      </c>
      <c r="X1620">
        <v>4</v>
      </c>
      <c r="Y1620" t="s">
        <v>43</v>
      </c>
      <c r="Z1620">
        <v>3.67</v>
      </c>
      <c r="AA1620" t="s">
        <v>35</v>
      </c>
    </row>
    <row r="1621" spans="1:27" x14ac:dyDescent="0.3">
      <c r="A1621" t="s">
        <v>44</v>
      </c>
      <c r="B1621" t="s">
        <v>62</v>
      </c>
      <c r="C1621">
        <v>2025</v>
      </c>
      <c r="D1621" t="s">
        <v>50</v>
      </c>
      <c r="E1621">
        <v>34424.61</v>
      </c>
      <c r="F1621">
        <v>103.6</v>
      </c>
      <c r="G1621">
        <v>370</v>
      </c>
      <c r="H1621">
        <v>71.7</v>
      </c>
      <c r="I1621">
        <v>5.72</v>
      </c>
      <c r="J1621">
        <v>163</v>
      </c>
      <c r="K1621">
        <v>285</v>
      </c>
      <c r="L1621">
        <v>250</v>
      </c>
      <c r="M1621" t="s">
        <v>54</v>
      </c>
      <c r="N1621">
        <v>5</v>
      </c>
      <c r="O1621" t="s">
        <v>65</v>
      </c>
      <c r="P1621">
        <v>27.9</v>
      </c>
      <c r="Q1621">
        <v>1690</v>
      </c>
      <c r="R1621">
        <v>4</v>
      </c>
      <c r="S1621">
        <v>1</v>
      </c>
      <c r="T1621" t="s">
        <v>47</v>
      </c>
      <c r="U1621" t="s">
        <v>74</v>
      </c>
      <c r="V1621">
        <v>20827</v>
      </c>
      <c r="W1621">
        <v>3.6</v>
      </c>
      <c r="X1621">
        <v>4</v>
      </c>
      <c r="Y1621" t="s">
        <v>43</v>
      </c>
      <c r="Z1621">
        <v>3.57</v>
      </c>
      <c r="AA1621" t="s">
        <v>35</v>
      </c>
    </row>
    <row r="1622" spans="1:27" x14ac:dyDescent="0.3">
      <c r="A1622" t="s">
        <v>76</v>
      </c>
      <c r="B1622" t="s">
        <v>77</v>
      </c>
      <c r="C1622">
        <v>2025</v>
      </c>
      <c r="D1622" t="s">
        <v>68</v>
      </c>
      <c r="E1622">
        <v>53515.28</v>
      </c>
      <c r="F1622">
        <v>50.9</v>
      </c>
      <c r="G1622">
        <v>176</v>
      </c>
      <c r="H1622">
        <v>58.7</v>
      </c>
      <c r="I1622">
        <v>6.74</v>
      </c>
      <c r="J1622">
        <v>147</v>
      </c>
      <c r="K1622">
        <v>628</v>
      </c>
      <c r="L1622">
        <v>566</v>
      </c>
      <c r="M1622" t="s">
        <v>30</v>
      </c>
      <c r="N1622">
        <v>5</v>
      </c>
      <c r="O1622" t="s">
        <v>56</v>
      </c>
      <c r="P1622">
        <v>39.799999999999997</v>
      </c>
      <c r="Q1622">
        <v>1607</v>
      </c>
      <c r="R1622">
        <v>5</v>
      </c>
      <c r="S1622">
        <v>1</v>
      </c>
      <c r="T1622" t="s">
        <v>51</v>
      </c>
      <c r="U1622" t="s">
        <v>42</v>
      </c>
      <c r="V1622">
        <v>93480</v>
      </c>
      <c r="W1622">
        <v>3.4</v>
      </c>
      <c r="X1622">
        <v>4</v>
      </c>
      <c r="Y1622" t="s">
        <v>43</v>
      </c>
      <c r="Z1622">
        <v>3.46</v>
      </c>
      <c r="AA1622" t="s">
        <v>35</v>
      </c>
    </row>
    <row r="1623" spans="1:27" x14ac:dyDescent="0.3">
      <c r="A1623" t="s">
        <v>52</v>
      </c>
      <c r="B1623" t="s">
        <v>64</v>
      </c>
      <c r="C1623">
        <v>2026</v>
      </c>
      <c r="D1623" t="s">
        <v>50</v>
      </c>
      <c r="E1623">
        <v>127635.34</v>
      </c>
      <c r="F1623">
        <v>105.5</v>
      </c>
      <c r="G1623">
        <v>384</v>
      </c>
      <c r="H1623">
        <v>265.10000000000002</v>
      </c>
      <c r="I1623">
        <v>4.5999999999999996</v>
      </c>
      <c r="J1623">
        <v>176</v>
      </c>
      <c r="K1623">
        <v>950</v>
      </c>
      <c r="L1623">
        <v>859</v>
      </c>
      <c r="M1623" t="s">
        <v>39</v>
      </c>
      <c r="N1623">
        <v>7</v>
      </c>
      <c r="O1623" t="s">
        <v>40</v>
      </c>
      <c r="P1623">
        <v>63.1</v>
      </c>
      <c r="Q1623">
        <v>2140</v>
      </c>
      <c r="R1623">
        <v>5</v>
      </c>
      <c r="S1623">
        <v>2</v>
      </c>
      <c r="T1623" t="s">
        <v>47</v>
      </c>
      <c r="U1623" t="s">
        <v>33</v>
      </c>
      <c r="V1623">
        <v>158325</v>
      </c>
      <c r="W1623">
        <v>4.2</v>
      </c>
      <c r="X1623">
        <v>5</v>
      </c>
      <c r="Y1623" t="s">
        <v>43</v>
      </c>
      <c r="Z1623">
        <v>3.64</v>
      </c>
      <c r="AA1623" t="s">
        <v>35</v>
      </c>
    </row>
    <row r="1624" spans="1:27" x14ac:dyDescent="0.3">
      <c r="A1624" t="s">
        <v>48</v>
      </c>
      <c r="B1624" t="s">
        <v>123</v>
      </c>
      <c r="C1624">
        <v>2024</v>
      </c>
      <c r="D1624" t="s">
        <v>68</v>
      </c>
      <c r="E1624">
        <v>31230.720000000001</v>
      </c>
      <c r="F1624">
        <v>71.7</v>
      </c>
      <c r="G1624">
        <v>250</v>
      </c>
      <c r="H1624">
        <v>103.9</v>
      </c>
      <c r="I1624">
        <v>5.73</v>
      </c>
      <c r="J1624">
        <v>164</v>
      </c>
      <c r="K1624">
        <v>204</v>
      </c>
      <c r="L1624">
        <v>200</v>
      </c>
      <c r="M1624" t="s">
        <v>54</v>
      </c>
      <c r="N1624">
        <v>5</v>
      </c>
      <c r="O1624" t="s">
        <v>65</v>
      </c>
      <c r="P1624">
        <v>25.8</v>
      </c>
      <c r="Q1624">
        <v>1615</v>
      </c>
      <c r="R1624">
        <v>5</v>
      </c>
      <c r="S1624">
        <v>0</v>
      </c>
      <c r="T1624" t="s">
        <v>51</v>
      </c>
      <c r="U1624" t="s">
        <v>74</v>
      </c>
      <c r="V1624">
        <v>74025</v>
      </c>
      <c r="W1624">
        <v>3.4</v>
      </c>
      <c r="X1624">
        <v>4</v>
      </c>
      <c r="Y1624" t="s">
        <v>43</v>
      </c>
      <c r="Z1624">
        <v>3.49</v>
      </c>
      <c r="AA1624" t="s">
        <v>35</v>
      </c>
    </row>
    <row r="1625" spans="1:27" x14ac:dyDescent="0.3">
      <c r="A1625" t="s">
        <v>36</v>
      </c>
      <c r="B1625" t="s">
        <v>120</v>
      </c>
      <c r="C1625">
        <v>2025</v>
      </c>
      <c r="D1625" t="s">
        <v>68</v>
      </c>
      <c r="E1625">
        <v>46568.71</v>
      </c>
      <c r="F1625">
        <v>69.2</v>
      </c>
      <c r="G1625">
        <v>216</v>
      </c>
      <c r="H1625">
        <v>84.7</v>
      </c>
      <c r="I1625">
        <v>5.33</v>
      </c>
      <c r="J1625">
        <v>165</v>
      </c>
      <c r="K1625">
        <v>417</v>
      </c>
      <c r="L1625">
        <v>358</v>
      </c>
      <c r="M1625" t="s">
        <v>39</v>
      </c>
      <c r="N1625">
        <v>5</v>
      </c>
      <c r="O1625" t="s">
        <v>40</v>
      </c>
      <c r="P1625">
        <v>58.3</v>
      </c>
      <c r="Q1625">
        <v>2099</v>
      </c>
      <c r="R1625">
        <v>5</v>
      </c>
      <c r="S1625">
        <v>0</v>
      </c>
      <c r="T1625" t="s">
        <v>41</v>
      </c>
      <c r="U1625" t="s">
        <v>42</v>
      </c>
      <c r="V1625">
        <v>1982</v>
      </c>
      <c r="W1625">
        <v>3.5</v>
      </c>
      <c r="X1625">
        <v>4</v>
      </c>
      <c r="Y1625" t="s">
        <v>43</v>
      </c>
      <c r="Z1625">
        <v>3.12</v>
      </c>
      <c r="AA1625" t="s">
        <v>69</v>
      </c>
    </row>
    <row r="1626" spans="1:27" x14ac:dyDescent="0.3">
      <c r="A1626" t="s">
        <v>52</v>
      </c>
      <c r="B1626" t="s">
        <v>86</v>
      </c>
      <c r="C1626">
        <v>2025</v>
      </c>
      <c r="D1626" t="s">
        <v>63</v>
      </c>
      <c r="E1626">
        <v>95625.9</v>
      </c>
      <c r="F1626">
        <v>64.099999999999994</v>
      </c>
      <c r="G1626">
        <v>229</v>
      </c>
      <c r="H1626">
        <v>299.10000000000002</v>
      </c>
      <c r="I1626">
        <v>7.66</v>
      </c>
      <c r="J1626">
        <v>138</v>
      </c>
      <c r="K1626">
        <v>681</v>
      </c>
      <c r="L1626">
        <v>637</v>
      </c>
      <c r="M1626" t="s">
        <v>54</v>
      </c>
      <c r="N1626">
        <v>5</v>
      </c>
      <c r="O1626" t="s">
        <v>57</v>
      </c>
      <c r="P1626">
        <v>21.1</v>
      </c>
      <c r="Q1626">
        <v>1896</v>
      </c>
      <c r="R1626">
        <v>5</v>
      </c>
      <c r="S1626">
        <v>2</v>
      </c>
      <c r="T1626" t="s">
        <v>47</v>
      </c>
      <c r="U1626" t="s">
        <v>38</v>
      </c>
      <c r="V1626">
        <v>233990</v>
      </c>
      <c r="W1626">
        <v>3.6</v>
      </c>
      <c r="X1626">
        <v>5</v>
      </c>
      <c r="Y1626" t="s">
        <v>61</v>
      </c>
      <c r="Z1626">
        <v>3.57</v>
      </c>
      <c r="AA1626" t="s">
        <v>35</v>
      </c>
    </row>
    <row r="1627" spans="1:27" x14ac:dyDescent="0.3">
      <c r="A1627" t="s">
        <v>91</v>
      </c>
      <c r="B1627" t="s">
        <v>92</v>
      </c>
      <c r="C1627">
        <v>2022</v>
      </c>
      <c r="D1627" t="s">
        <v>38</v>
      </c>
      <c r="E1627">
        <v>116700.28</v>
      </c>
      <c r="F1627">
        <v>62.9</v>
      </c>
      <c r="G1627">
        <v>213</v>
      </c>
      <c r="H1627">
        <v>66.7</v>
      </c>
      <c r="I1627">
        <v>7.34</v>
      </c>
      <c r="J1627">
        <v>146</v>
      </c>
      <c r="K1627">
        <v>1000</v>
      </c>
      <c r="L1627">
        <v>869</v>
      </c>
      <c r="M1627" t="s">
        <v>54</v>
      </c>
      <c r="N1627">
        <v>5</v>
      </c>
      <c r="O1627" t="s">
        <v>46</v>
      </c>
      <c r="P1627">
        <v>65</v>
      </c>
      <c r="Q1627">
        <v>1527</v>
      </c>
      <c r="R1627">
        <v>5</v>
      </c>
      <c r="S1627">
        <v>2</v>
      </c>
      <c r="T1627" t="s">
        <v>32</v>
      </c>
      <c r="U1627" t="s">
        <v>33</v>
      </c>
      <c r="V1627">
        <v>29505</v>
      </c>
      <c r="W1627">
        <v>3.8</v>
      </c>
      <c r="X1627">
        <v>5</v>
      </c>
      <c r="Y1627" t="s">
        <v>61</v>
      </c>
      <c r="Z1627">
        <v>3.39</v>
      </c>
      <c r="AA1627" t="s">
        <v>35</v>
      </c>
    </row>
    <row r="1628" spans="1:27" x14ac:dyDescent="0.3">
      <c r="A1628" t="s">
        <v>52</v>
      </c>
      <c r="B1628" t="s">
        <v>80</v>
      </c>
      <c r="C1628">
        <v>2022</v>
      </c>
      <c r="D1628" t="s">
        <v>50</v>
      </c>
      <c r="E1628">
        <v>88720.74</v>
      </c>
      <c r="F1628">
        <v>92.2</v>
      </c>
      <c r="G1628">
        <v>341</v>
      </c>
      <c r="H1628">
        <v>247.8</v>
      </c>
      <c r="I1628">
        <v>4.93</v>
      </c>
      <c r="J1628">
        <v>175</v>
      </c>
      <c r="K1628">
        <v>616</v>
      </c>
      <c r="L1628">
        <v>532</v>
      </c>
      <c r="M1628" t="s">
        <v>39</v>
      </c>
      <c r="N1628">
        <v>5</v>
      </c>
      <c r="O1628" t="s">
        <v>31</v>
      </c>
      <c r="P1628">
        <v>55.6</v>
      </c>
      <c r="Q1628">
        <v>2380</v>
      </c>
      <c r="R1628">
        <v>4</v>
      </c>
      <c r="S1628">
        <v>3</v>
      </c>
      <c r="T1628" t="s">
        <v>47</v>
      </c>
      <c r="U1628" t="s">
        <v>38</v>
      </c>
      <c r="V1628">
        <v>226922</v>
      </c>
      <c r="W1628">
        <v>4</v>
      </c>
      <c r="X1628">
        <v>5</v>
      </c>
      <c r="Y1628" t="s">
        <v>43</v>
      </c>
      <c r="Z1628">
        <v>3.7</v>
      </c>
      <c r="AA1628" t="s">
        <v>35</v>
      </c>
    </row>
    <row r="1629" spans="1:27" x14ac:dyDescent="0.3">
      <c r="A1629" t="s">
        <v>76</v>
      </c>
      <c r="B1629" t="s">
        <v>114</v>
      </c>
      <c r="C1629">
        <v>2026</v>
      </c>
      <c r="D1629" t="s">
        <v>68</v>
      </c>
      <c r="E1629">
        <v>59666.31</v>
      </c>
      <c r="F1629">
        <v>75.5</v>
      </c>
      <c r="G1629">
        <v>262</v>
      </c>
      <c r="H1629">
        <v>93.8</v>
      </c>
      <c r="I1629">
        <v>7.01</v>
      </c>
      <c r="J1629">
        <v>147</v>
      </c>
      <c r="K1629">
        <v>716</v>
      </c>
      <c r="L1629">
        <v>656</v>
      </c>
      <c r="M1629" t="s">
        <v>30</v>
      </c>
      <c r="N1629">
        <v>5</v>
      </c>
      <c r="O1629" t="s">
        <v>65</v>
      </c>
      <c r="P1629">
        <v>15.7</v>
      </c>
      <c r="Q1629">
        <v>1500</v>
      </c>
      <c r="R1629">
        <v>4</v>
      </c>
      <c r="S1629">
        <v>1</v>
      </c>
      <c r="T1629" t="s">
        <v>51</v>
      </c>
      <c r="U1629" t="s">
        <v>42</v>
      </c>
      <c r="V1629">
        <v>130091</v>
      </c>
      <c r="W1629">
        <v>3.8</v>
      </c>
      <c r="X1629">
        <v>5</v>
      </c>
      <c r="Y1629" t="s">
        <v>61</v>
      </c>
      <c r="Z1629">
        <v>3.47</v>
      </c>
      <c r="AA1629" t="s">
        <v>35</v>
      </c>
    </row>
    <row r="1630" spans="1:27" x14ac:dyDescent="0.3">
      <c r="A1630" t="s">
        <v>52</v>
      </c>
      <c r="B1630" t="s">
        <v>80</v>
      </c>
      <c r="C1630">
        <v>2024</v>
      </c>
      <c r="D1630" t="s">
        <v>38</v>
      </c>
      <c r="E1630">
        <v>148667.6</v>
      </c>
      <c r="F1630">
        <v>71.3</v>
      </c>
      <c r="G1630">
        <v>250</v>
      </c>
      <c r="H1630">
        <v>253.6</v>
      </c>
      <c r="I1630">
        <v>7.89</v>
      </c>
      <c r="J1630">
        <v>135</v>
      </c>
      <c r="K1630">
        <v>1000</v>
      </c>
      <c r="L1630">
        <v>901</v>
      </c>
      <c r="M1630" t="s">
        <v>30</v>
      </c>
      <c r="N1630">
        <v>5</v>
      </c>
      <c r="O1630" t="s">
        <v>31</v>
      </c>
      <c r="P1630">
        <v>72.099999999999994</v>
      </c>
      <c r="Q1630">
        <v>2309</v>
      </c>
      <c r="R1630">
        <v>5</v>
      </c>
      <c r="S1630">
        <v>2</v>
      </c>
      <c r="T1630" t="s">
        <v>47</v>
      </c>
      <c r="U1630" t="s">
        <v>33</v>
      </c>
      <c r="V1630">
        <v>117109</v>
      </c>
      <c r="W1630">
        <v>3.8</v>
      </c>
      <c r="X1630">
        <v>4</v>
      </c>
      <c r="Y1630" t="s">
        <v>61</v>
      </c>
      <c r="Z1630">
        <v>3.51</v>
      </c>
      <c r="AA1630" t="s">
        <v>35</v>
      </c>
    </row>
    <row r="1631" spans="1:27" x14ac:dyDescent="0.3">
      <c r="A1631" t="s">
        <v>27</v>
      </c>
      <c r="B1631" t="s">
        <v>28</v>
      </c>
      <c r="C1631">
        <v>2025</v>
      </c>
      <c r="D1631" t="s">
        <v>68</v>
      </c>
      <c r="E1631">
        <v>48208.86</v>
      </c>
      <c r="F1631">
        <v>79</v>
      </c>
      <c r="G1631">
        <v>288</v>
      </c>
      <c r="H1631">
        <v>120.9</v>
      </c>
      <c r="I1631">
        <v>6.74</v>
      </c>
      <c r="J1631">
        <v>152</v>
      </c>
      <c r="K1631">
        <v>425</v>
      </c>
      <c r="L1631">
        <v>364</v>
      </c>
      <c r="M1631" t="s">
        <v>39</v>
      </c>
      <c r="N1631">
        <v>5</v>
      </c>
      <c r="O1631" t="s">
        <v>65</v>
      </c>
      <c r="P1631">
        <v>28.2</v>
      </c>
      <c r="Q1631">
        <v>1783</v>
      </c>
      <c r="R1631">
        <v>5</v>
      </c>
      <c r="S1631">
        <v>1</v>
      </c>
      <c r="T1631" t="s">
        <v>32</v>
      </c>
      <c r="U1631" t="s">
        <v>42</v>
      </c>
      <c r="V1631">
        <v>272524</v>
      </c>
      <c r="W1631">
        <v>3.5</v>
      </c>
      <c r="X1631">
        <v>3</v>
      </c>
      <c r="Y1631" t="s">
        <v>43</v>
      </c>
      <c r="Z1631">
        <v>3.65</v>
      </c>
      <c r="AA1631" t="s">
        <v>35</v>
      </c>
    </row>
    <row r="1632" spans="1:27" x14ac:dyDescent="0.3">
      <c r="A1632" t="s">
        <v>44</v>
      </c>
      <c r="B1632" t="s">
        <v>45</v>
      </c>
      <c r="C1632">
        <v>2021</v>
      </c>
      <c r="D1632" t="s">
        <v>63</v>
      </c>
      <c r="E1632">
        <v>57965.58</v>
      </c>
      <c r="F1632">
        <v>67</v>
      </c>
      <c r="G1632">
        <v>237</v>
      </c>
      <c r="H1632">
        <v>86.4</v>
      </c>
      <c r="I1632">
        <v>6.45</v>
      </c>
      <c r="J1632">
        <v>159</v>
      </c>
      <c r="K1632">
        <v>732</v>
      </c>
      <c r="L1632">
        <v>664</v>
      </c>
      <c r="M1632" t="s">
        <v>54</v>
      </c>
      <c r="N1632">
        <v>5</v>
      </c>
      <c r="O1632" t="s">
        <v>46</v>
      </c>
      <c r="P1632">
        <v>72.8</v>
      </c>
      <c r="Q1632">
        <v>1500</v>
      </c>
      <c r="R1632">
        <v>4</v>
      </c>
      <c r="S1632">
        <v>1</v>
      </c>
      <c r="T1632" t="s">
        <v>47</v>
      </c>
      <c r="U1632" t="s">
        <v>42</v>
      </c>
      <c r="V1632">
        <v>3168</v>
      </c>
      <c r="W1632">
        <v>3.5</v>
      </c>
      <c r="X1632">
        <v>4</v>
      </c>
      <c r="Y1632" t="s">
        <v>43</v>
      </c>
      <c r="Z1632">
        <v>3.54</v>
      </c>
      <c r="AA1632" t="s">
        <v>69</v>
      </c>
    </row>
    <row r="1633" spans="1:27" x14ac:dyDescent="0.3">
      <c r="A1633" t="s">
        <v>71</v>
      </c>
      <c r="B1633" t="s">
        <v>81</v>
      </c>
      <c r="C1633">
        <v>2026</v>
      </c>
      <c r="D1633" t="s">
        <v>50</v>
      </c>
      <c r="E1633">
        <v>92189.49</v>
      </c>
      <c r="F1633">
        <v>91.2</v>
      </c>
      <c r="G1633">
        <v>317</v>
      </c>
      <c r="H1633">
        <v>118.6</v>
      </c>
      <c r="I1633">
        <v>4.09</v>
      </c>
      <c r="J1633">
        <v>188</v>
      </c>
      <c r="K1633">
        <v>1000</v>
      </c>
      <c r="L1633">
        <v>956</v>
      </c>
      <c r="M1633" t="s">
        <v>39</v>
      </c>
      <c r="N1633">
        <v>7</v>
      </c>
      <c r="O1633" t="s">
        <v>57</v>
      </c>
      <c r="P1633">
        <v>30.8</v>
      </c>
      <c r="Q1633">
        <v>1766</v>
      </c>
      <c r="R1633">
        <v>4</v>
      </c>
      <c r="S1633">
        <v>2</v>
      </c>
      <c r="T1633" t="s">
        <v>73</v>
      </c>
      <c r="U1633" t="s">
        <v>38</v>
      </c>
      <c r="V1633">
        <v>158795</v>
      </c>
      <c r="W1633">
        <v>3.9</v>
      </c>
      <c r="X1633">
        <v>3</v>
      </c>
      <c r="Y1633" t="s">
        <v>43</v>
      </c>
      <c r="Z1633">
        <v>3.48</v>
      </c>
      <c r="AA1633" t="s">
        <v>35</v>
      </c>
    </row>
    <row r="1634" spans="1:27" x14ac:dyDescent="0.3">
      <c r="A1634" t="s">
        <v>91</v>
      </c>
      <c r="B1634" t="s">
        <v>122</v>
      </c>
      <c r="C1634">
        <v>2020</v>
      </c>
      <c r="D1634" t="s">
        <v>68</v>
      </c>
      <c r="E1634">
        <v>94185.600000000006</v>
      </c>
      <c r="F1634">
        <v>41.2</v>
      </c>
      <c r="G1634">
        <v>150</v>
      </c>
      <c r="H1634">
        <v>123.8</v>
      </c>
      <c r="I1634">
        <v>5.94</v>
      </c>
      <c r="J1634">
        <v>159</v>
      </c>
      <c r="K1634">
        <v>691</v>
      </c>
      <c r="L1634">
        <v>651</v>
      </c>
      <c r="M1634" t="s">
        <v>30</v>
      </c>
      <c r="N1634">
        <v>7</v>
      </c>
      <c r="O1634" t="s">
        <v>57</v>
      </c>
      <c r="P1634">
        <v>38.9</v>
      </c>
      <c r="Q1634">
        <v>1511</v>
      </c>
      <c r="R1634">
        <v>4</v>
      </c>
      <c r="S1634">
        <v>1</v>
      </c>
      <c r="T1634" t="s">
        <v>32</v>
      </c>
      <c r="U1634" t="s">
        <v>38</v>
      </c>
      <c r="V1634">
        <v>43577</v>
      </c>
      <c r="W1634">
        <v>3.4</v>
      </c>
      <c r="X1634">
        <v>8</v>
      </c>
      <c r="Y1634" t="s">
        <v>43</v>
      </c>
      <c r="Z1634">
        <v>3.64</v>
      </c>
      <c r="AA1634" t="s">
        <v>35</v>
      </c>
    </row>
    <row r="1635" spans="1:27" x14ac:dyDescent="0.3">
      <c r="A1635" t="s">
        <v>84</v>
      </c>
      <c r="B1635" t="s">
        <v>85</v>
      </c>
      <c r="C1635">
        <v>2024</v>
      </c>
      <c r="D1635" t="s">
        <v>63</v>
      </c>
      <c r="E1635">
        <v>38196.949999999997</v>
      </c>
      <c r="F1635">
        <v>78.2</v>
      </c>
      <c r="G1635">
        <v>261</v>
      </c>
      <c r="H1635">
        <v>60</v>
      </c>
      <c r="I1635">
        <v>5.44</v>
      </c>
      <c r="J1635">
        <v>160</v>
      </c>
      <c r="K1635">
        <v>270</v>
      </c>
      <c r="L1635">
        <v>204</v>
      </c>
      <c r="M1635" t="s">
        <v>39</v>
      </c>
      <c r="N1635">
        <v>5</v>
      </c>
      <c r="O1635" t="s">
        <v>56</v>
      </c>
      <c r="P1635">
        <v>15.1</v>
      </c>
      <c r="Q1635">
        <v>1500</v>
      </c>
      <c r="R1635">
        <v>5</v>
      </c>
      <c r="S1635">
        <v>0</v>
      </c>
      <c r="T1635" t="s">
        <v>47</v>
      </c>
      <c r="U1635" t="s">
        <v>42</v>
      </c>
      <c r="V1635">
        <v>25281</v>
      </c>
      <c r="W1635">
        <v>3.6</v>
      </c>
      <c r="X1635">
        <v>4</v>
      </c>
      <c r="Y1635" t="s">
        <v>43</v>
      </c>
      <c r="Z1635">
        <v>3.34</v>
      </c>
      <c r="AA1635" t="s">
        <v>35</v>
      </c>
    </row>
    <row r="1636" spans="1:27" x14ac:dyDescent="0.3">
      <c r="A1636" t="s">
        <v>102</v>
      </c>
      <c r="B1636" t="s">
        <v>128</v>
      </c>
      <c r="C1636">
        <v>2020</v>
      </c>
      <c r="D1636" t="s">
        <v>68</v>
      </c>
      <c r="E1636">
        <v>74902.509999999995</v>
      </c>
      <c r="F1636">
        <v>63.7</v>
      </c>
      <c r="G1636">
        <v>219</v>
      </c>
      <c r="H1636">
        <v>64.2</v>
      </c>
      <c r="I1636">
        <v>7.08</v>
      </c>
      <c r="J1636">
        <v>142</v>
      </c>
      <c r="K1636">
        <v>335</v>
      </c>
      <c r="L1636">
        <v>333</v>
      </c>
      <c r="M1636" t="s">
        <v>54</v>
      </c>
      <c r="N1636">
        <v>5</v>
      </c>
      <c r="O1636" t="s">
        <v>57</v>
      </c>
      <c r="P1636">
        <v>29.5</v>
      </c>
      <c r="Q1636">
        <v>1679</v>
      </c>
      <c r="R1636">
        <v>4</v>
      </c>
      <c r="S1636">
        <v>1</v>
      </c>
      <c r="T1636" t="s">
        <v>47</v>
      </c>
      <c r="U1636" t="s">
        <v>38</v>
      </c>
      <c r="V1636">
        <v>16890</v>
      </c>
      <c r="W1636">
        <v>3.3</v>
      </c>
      <c r="X1636">
        <v>5</v>
      </c>
      <c r="Y1636" t="s">
        <v>61</v>
      </c>
      <c r="Z1636">
        <v>3.44</v>
      </c>
      <c r="AA1636" t="s">
        <v>43</v>
      </c>
    </row>
    <row r="1637" spans="1:27" x14ac:dyDescent="0.3">
      <c r="A1637" t="s">
        <v>71</v>
      </c>
      <c r="B1637" t="s">
        <v>90</v>
      </c>
      <c r="C1637">
        <v>2024</v>
      </c>
      <c r="D1637" t="s">
        <v>50</v>
      </c>
      <c r="E1637">
        <v>77872.95</v>
      </c>
      <c r="F1637">
        <v>95.8</v>
      </c>
      <c r="G1637">
        <v>343</v>
      </c>
      <c r="H1637">
        <v>83.8</v>
      </c>
      <c r="I1637">
        <v>5.67</v>
      </c>
      <c r="J1637">
        <v>164</v>
      </c>
      <c r="K1637">
        <v>907</v>
      </c>
      <c r="L1637">
        <v>801</v>
      </c>
      <c r="M1637" t="s">
        <v>54</v>
      </c>
      <c r="N1637">
        <v>5</v>
      </c>
      <c r="O1637" t="s">
        <v>40</v>
      </c>
      <c r="P1637">
        <v>46.6</v>
      </c>
      <c r="Q1637">
        <v>2029</v>
      </c>
      <c r="R1637">
        <v>4</v>
      </c>
      <c r="S1637">
        <v>0</v>
      </c>
      <c r="T1637" t="s">
        <v>73</v>
      </c>
      <c r="U1637" t="s">
        <v>38</v>
      </c>
      <c r="V1637">
        <v>152424</v>
      </c>
      <c r="W1637">
        <v>3.7</v>
      </c>
      <c r="X1637">
        <v>3</v>
      </c>
      <c r="Y1637" t="s">
        <v>43</v>
      </c>
      <c r="Z1637">
        <v>3.58</v>
      </c>
      <c r="AA1637" t="s">
        <v>35</v>
      </c>
    </row>
    <row r="1638" spans="1:27" x14ac:dyDescent="0.3">
      <c r="A1638" t="s">
        <v>27</v>
      </c>
      <c r="B1638" t="s">
        <v>78</v>
      </c>
      <c r="C1638">
        <v>2025</v>
      </c>
      <c r="D1638" t="s">
        <v>68</v>
      </c>
      <c r="E1638">
        <v>76084.88</v>
      </c>
      <c r="F1638">
        <v>51.2</v>
      </c>
      <c r="G1638">
        <v>165</v>
      </c>
      <c r="H1638">
        <v>65.3</v>
      </c>
      <c r="I1638">
        <v>6.3</v>
      </c>
      <c r="J1638">
        <v>149</v>
      </c>
      <c r="K1638">
        <v>816</v>
      </c>
      <c r="L1638">
        <v>711</v>
      </c>
      <c r="M1638" t="s">
        <v>39</v>
      </c>
      <c r="N1638">
        <v>5</v>
      </c>
      <c r="O1638" t="s">
        <v>56</v>
      </c>
      <c r="P1638">
        <v>34.200000000000003</v>
      </c>
      <c r="Q1638">
        <v>1500</v>
      </c>
      <c r="R1638">
        <v>4</v>
      </c>
      <c r="S1638">
        <v>1</v>
      </c>
      <c r="T1638" t="s">
        <v>32</v>
      </c>
      <c r="U1638" t="s">
        <v>38</v>
      </c>
      <c r="V1638">
        <v>264457</v>
      </c>
      <c r="W1638">
        <v>3.1</v>
      </c>
      <c r="X1638">
        <v>3</v>
      </c>
      <c r="Y1638" t="s">
        <v>43</v>
      </c>
      <c r="Z1638">
        <v>3.22</v>
      </c>
      <c r="AA1638" t="s">
        <v>35</v>
      </c>
    </row>
    <row r="1639" spans="1:27" x14ac:dyDescent="0.3">
      <c r="A1639" t="s">
        <v>52</v>
      </c>
      <c r="B1639" t="s">
        <v>86</v>
      </c>
      <c r="C1639">
        <v>2023</v>
      </c>
      <c r="D1639" t="s">
        <v>63</v>
      </c>
      <c r="E1639">
        <v>55932.63</v>
      </c>
      <c r="F1639">
        <v>59.8</v>
      </c>
      <c r="G1639">
        <v>209</v>
      </c>
      <c r="H1639">
        <v>224.1</v>
      </c>
      <c r="I1639">
        <v>5.74</v>
      </c>
      <c r="J1639">
        <v>155</v>
      </c>
      <c r="K1639">
        <v>364</v>
      </c>
      <c r="L1639">
        <v>340</v>
      </c>
      <c r="M1639" t="s">
        <v>54</v>
      </c>
      <c r="N1639">
        <v>5</v>
      </c>
      <c r="O1639" t="s">
        <v>40</v>
      </c>
      <c r="P1639">
        <v>46.3</v>
      </c>
      <c r="Q1639">
        <v>2166</v>
      </c>
      <c r="R1639">
        <v>3</v>
      </c>
      <c r="S1639">
        <v>3</v>
      </c>
      <c r="T1639" t="s">
        <v>47</v>
      </c>
      <c r="U1639" t="s">
        <v>42</v>
      </c>
      <c r="V1639">
        <v>183636</v>
      </c>
      <c r="W1639">
        <v>3.7</v>
      </c>
      <c r="X1639">
        <v>5</v>
      </c>
      <c r="Y1639" t="s">
        <v>43</v>
      </c>
      <c r="Z1639">
        <v>3.49</v>
      </c>
      <c r="AA1639" t="s">
        <v>35</v>
      </c>
    </row>
    <row r="1640" spans="1:27" x14ac:dyDescent="0.3">
      <c r="A1640" t="s">
        <v>129</v>
      </c>
      <c r="B1640" t="s">
        <v>143</v>
      </c>
      <c r="C1640">
        <v>2022</v>
      </c>
      <c r="D1640" t="s">
        <v>63</v>
      </c>
      <c r="E1640">
        <v>45992.59</v>
      </c>
      <c r="F1640">
        <v>83.4</v>
      </c>
      <c r="G1640">
        <v>291</v>
      </c>
      <c r="H1640">
        <v>142.4</v>
      </c>
      <c r="I1640">
        <v>5.51</v>
      </c>
      <c r="J1640">
        <v>175</v>
      </c>
      <c r="K1640">
        <v>167</v>
      </c>
      <c r="L1640">
        <v>200</v>
      </c>
      <c r="M1640" t="s">
        <v>54</v>
      </c>
      <c r="N1640">
        <v>7</v>
      </c>
      <c r="O1640" t="s">
        <v>56</v>
      </c>
      <c r="P1640">
        <v>17.8</v>
      </c>
      <c r="Q1640">
        <v>1500</v>
      </c>
      <c r="R1640">
        <v>5</v>
      </c>
      <c r="S1640">
        <v>0</v>
      </c>
      <c r="T1640" t="s">
        <v>131</v>
      </c>
      <c r="U1640" t="s">
        <v>42</v>
      </c>
      <c r="V1640">
        <v>3048</v>
      </c>
      <c r="W1640">
        <v>3.4</v>
      </c>
      <c r="X1640">
        <v>4</v>
      </c>
      <c r="Y1640" t="s">
        <v>43</v>
      </c>
      <c r="Z1640">
        <v>3.49</v>
      </c>
      <c r="AA1640" t="s">
        <v>69</v>
      </c>
    </row>
    <row r="1641" spans="1:27" x14ac:dyDescent="0.3">
      <c r="A1641" t="s">
        <v>102</v>
      </c>
      <c r="B1641" t="s">
        <v>141</v>
      </c>
      <c r="C1641">
        <v>2020</v>
      </c>
      <c r="D1641" t="s">
        <v>63</v>
      </c>
      <c r="E1641">
        <v>64055.95</v>
      </c>
      <c r="F1641">
        <v>77.900000000000006</v>
      </c>
      <c r="G1641">
        <v>280</v>
      </c>
      <c r="H1641">
        <v>141.4</v>
      </c>
      <c r="I1641">
        <v>7.73</v>
      </c>
      <c r="J1641">
        <v>136</v>
      </c>
      <c r="K1641">
        <v>150</v>
      </c>
      <c r="L1641">
        <v>200</v>
      </c>
      <c r="M1641" t="s">
        <v>39</v>
      </c>
      <c r="N1641">
        <v>2</v>
      </c>
      <c r="O1641" t="s">
        <v>31</v>
      </c>
      <c r="P1641">
        <v>67.599999999999994</v>
      </c>
      <c r="Q1641">
        <v>2714</v>
      </c>
      <c r="R1641">
        <v>5</v>
      </c>
      <c r="S1641">
        <v>0</v>
      </c>
      <c r="T1641" t="s">
        <v>47</v>
      </c>
      <c r="U1641" t="s">
        <v>42</v>
      </c>
      <c r="V1641">
        <v>12678</v>
      </c>
      <c r="W1641">
        <v>3.7</v>
      </c>
      <c r="X1641">
        <v>4</v>
      </c>
      <c r="Y1641" t="s">
        <v>61</v>
      </c>
      <c r="Z1641">
        <v>3.59</v>
      </c>
      <c r="AA1641" t="s">
        <v>43</v>
      </c>
    </row>
    <row r="1642" spans="1:27" x14ac:dyDescent="0.3">
      <c r="A1642" t="s">
        <v>48</v>
      </c>
      <c r="B1642" t="s">
        <v>88</v>
      </c>
      <c r="C1642">
        <v>2025</v>
      </c>
      <c r="D1642" t="s">
        <v>50</v>
      </c>
      <c r="E1642">
        <v>39329.81</v>
      </c>
      <c r="F1642">
        <v>94</v>
      </c>
      <c r="G1642">
        <v>300</v>
      </c>
      <c r="H1642">
        <v>148.69999999999999</v>
      </c>
      <c r="I1642">
        <v>4.1399999999999997</v>
      </c>
      <c r="J1642">
        <v>189</v>
      </c>
      <c r="K1642">
        <v>276</v>
      </c>
      <c r="L1642">
        <v>263</v>
      </c>
      <c r="M1642" t="s">
        <v>30</v>
      </c>
      <c r="N1642">
        <v>7</v>
      </c>
      <c r="O1642" t="s">
        <v>40</v>
      </c>
      <c r="P1642">
        <v>51.9</v>
      </c>
      <c r="Q1642">
        <v>2029</v>
      </c>
      <c r="R1642">
        <v>5</v>
      </c>
      <c r="S1642">
        <v>0</v>
      </c>
      <c r="T1642" t="s">
        <v>51</v>
      </c>
      <c r="U1642" t="s">
        <v>42</v>
      </c>
      <c r="V1642">
        <v>139592</v>
      </c>
      <c r="W1642">
        <v>3.6</v>
      </c>
      <c r="X1642">
        <v>4</v>
      </c>
      <c r="Y1642" t="s">
        <v>43</v>
      </c>
      <c r="Z1642">
        <v>3.19</v>
      </c>
      <c r="AA1642" t="s">
        <v>35</v>
      </c>
    </row>
    <row r="1643" spans="1:27" x14ac:dyDescent="0.3">
      <c r="A1643" t="s">
        <v>58</v>
      </c>
      <c r="B1643" t="s">
        <v>59</v>
      </c>
      <c r="C1643">
        <v>2024</v>
      </c>
      <c r="D1643" t="s">
        <v>38</v>
      </c>
      <c r="E1643">
        <v>200859.77</v>
      </c>
      <c r="F1643">
        <v>65.8</v>
      </c>
      <c r="G1643">
        <v>222</v>
      </c>
      <c r="H1643">
        <v>145.6</v>
      </c>
      <c r="I1643">
        <v>5.04</v>
      </c>
      <c r="J1643">
        <v>178</v>
      </c>
      <c r="K1643">
        <v>1000</v>
      </c>
      <c r="L1643">
        <v>880</v>
      </c>
      <c r="M1643" t="s">
        <v>54</v>
      </c>
      <c r="N1643">
        <v>5</v>
      </c>
      <c r="O1643" t="s">
        <v>56</v>
      </c>
      <c r="P1643">
        <v>39.6</v>
      </c>
      <c r="Q1643">
        <v>1543</v>
      </c>
      <c r="R1643">
        <v>5</v>
      </c>
      <c r="S1643">
        <v>1</v>
      </c>
      <c r="T1643" t="s">
        <v>32</v>
      </c>
      <c r="U1643" t="s">
        <v>33</v>
      </c>
      <c r="V1643">
        <v>50870</v>
      </c>
      <c r="W1643">
        <v>3.8</v>
      </c>
      <c r="X1643">
        <v>7</v>
      </c>
      <c r="Y1643" t="s">
        <v>43</v>
      </c>
      <c r="Z1643">
        <v>3.37</v>
      </c>
      <c r="AA1643" t="s">
        <v>35</v>
      </c>
    </row>
    <row r="1644" spans="1:27" x14ac:dyDescent="0.3">
      <c r="A1644" t="s">
        <v>76</v>
      </c>
      <c r="B1644" t="s">
        <v>77</v>
      </c>
      <c r="C1644">
        <v>2025</v>
      </c>
      <c r="D1644" t="s">
        <v>29</v>
      </c>
      <c r="E1644">
        <v>83020.490000000005</v>
      </c>
      <c r="F1644">
        <v>119.5</v>
      </c>
      <c r="G1644">
        <v>412</v>
      </c>
      <c r="H1644">
        <v>183.5</v>
      </c>
      <c r="I1644">
        <v>4.2699999999999996</v>
      </c>
      <c r="J1644">
        <v>188</v>
      </c>
      <c r="K1644">
        <v>1000</v>
      </c>
      <c r="L1644">
        <v>914</v>
      </c>
      <c r="M1644" t="s">
        <v>54</v>
      </c>
      <c r="N1644">
        <v>5</v>
      </c>
      <c r="O1644" t="s">
        <v>65</v>
      </c>
      <c r="P1644">
        <v>39.700000000000003</v>
      </c>
      <c r="Q1644">
        <v>1500</v>
      </c>
      <c r="R1644">
        <v>4</v>
      </c>
      <c r="S1644">
        <v>0</v>
      </c>
      <c r="T1644" t="s">
        <v>51</v>
      </c>
      <c r="U1644" t="s">
        <v>38</v>
      </c>
      <c r="V1644">
        <v>65013</v>
      </c>
      <c r="W1644">
        <v>3.7</v>
      </c>
      <c r="X1644">
        <v>4</v>
      </c>
      <c r="Y1644" t="s">
        <v>43</v>
      </c>
      <c r="Z1644">
        <v>3.45</v>
      </c>
      <c r="AA1644" t="s">
        <v>35</v>
      </c>
    </row>
    <row r="1645" spans="1:27" x14ac:dyDescent="0.3">
      <c r="A1645" t="s">
        <v>91</v>
      </c>
      <c r="B1645" t="s">
        <v>92</v>
      </c>
      <c r="C1645">
        <v>2023</v>
      </c>
      <c r="D1645" t="s">
        <v>50</v>
      </c>
      <c r="E1645">
        <v>131127.44</v>
      </c>
      <c r="F1645">
        <v>88.4</v>
      </c>
      <c r="G1645">
        <v>275</v>
      </c>
      <c r="H1645">
        <v>70.5</v>
      </c>
      <c r="I1645">
        <v>4.88</v>
      </c>
      <c r="J1645">
        <v>175</v>
      </c>
      <c r="K1645">
        <v>1000</v>
      </c>
      <c r="L1645">
        <v>893</v>
      </c>
      <c r="M1645" t="s">
        <v>54</v>
      </c>
      <c r="N1645">
        <v>7</v>
      </c>
      <c r="O1645" t="s">
        <v>46</v>
      </c>
      <c r="P1645">
        <v>68.7</v>
      </c>
      <c r="Q1645">
        <v>1543</v>
      </c>
      <c r="R1645">
        <v>4</v>
      </c>
      <c r="S1645">
        <v>2</v>
      </c>
      <c r="T1645" t="s">
        <v>32</v>
      </c>
      <c r="U1645" t="s">
        <v>33</v>
      </c>
      <c r="V1645">
        <v>49932</v>
      </c>
      <c r="W1645">
        <v>3.3</v>
      </c>
      <c r="X1645">
        <v>7</v>
      </c>
      <c r="Y1645" t="s">
        <v>43</v>
      </c>
      <c r="Z1645">
        <v>3.11</v>
      </c>
      <c r="AA1645" t="s">
        <v>35</v>
      </c>
    </row>
    <row r="1646" spans="1:27" x14ac:dyDescent="0.3">
      <c r="A1646" t="s">
        <v>52</v>
      </c>
      <c r="B1646" t="s">
        <v>55</v>
      </c>
      <c r="C1646">
        <v>2023</v>
      </c>
      <c r="D1646" t="s">
        <v>50</v>
      </c>
      <c r="E1646">
        <v>63692.69</v>
      </c>
      <c r="F1646">
        <v>107.7</v>
      </c>
      <c r="G1646">
        <v>357</v>
      </c>
      <c r="H1646">
        <v>240.9</v>
      </c>
      <c r="I1646">
        <v>4.17</v>
      </c>
      <c r="J1646">
        <v>188</v>
      </c>
      <c r="K1646">
        <v>446</v>
      </c>
      <c r="L1646">
        <v>387</v>
      </c>
      <c r="M1646" t="s">
        <v>39</v>
      </c>
      <c r="N1646">
        <v>7</v>
      </c>
      <c r="O1646" t="s">
        <v>46</v>
      </c>
      <c r="P1646">
        <v>75.099999999999994</v>
      </c>
      <c r="Q1646">
        <v>1500</v>
      </c>
      <c r="R1646">
        <v>3</v>
      </c>
      <c r="S1646">
        <v>3</v>
      </c>
      <c r="T1646" t="s">
        <v>47</v>
      </c>
      <c r="U1646" t="s">
        <v>42</v>
      </c>
      <c r="V1646">
        <v>462962</v>
      </c>
      <c r="W1646">
        <v>4.0999999999999996</v>
      </c>
      <c r="X1646">
        <v>4</v>
      </c>
      <c r="Y1646" t="s">
        <v>43</v>
      </c>
      <c r="Z1646">
        <v>3.31</v>
      </c>
      <c r="AA1646" t="s">
        <v>35</v>
      </c>
    </row>
    <row r="1647" spans="1:27" x14ac:dyDescent="0.3">
      <c r="A1647" t="s">
        <v>44</v>
      </c>
      <c r="B1647" t="s">
        <v>45</v>
      </c>
      <c r="C1647">
        <v>2025</v>
      </c>
      <c r="D1647" t="s">
        <v>50</v>
      </c>
      <c r="E1647">
        <v>37683.39</v>
      </c>
      <c r="F1647">
        <v>98.3</v>
      </c>
      <c r="G1647">
        <v>363</v>
      </c>
      <c r="H1647">
        <v>60.9</v>
      </c>
      <c r="I1647">
        <v>5.89</v>
      </c>
      <c r="J1647">
        <v>166</v>
      </c>
      <c r="K1647">
        <v>410</v>
      </c>
      <c r="L1647">
        <v>390</v>
      </c>
      <c r="M1647" t="s">
        <v>30</v>
      </c>
      <c r="N1647">
        <v>7</v>
      </c>
      <c r="O1647" t="s">
        <v>31</v>
      </c>
      <c r="P1647">
        <v>71.900000000000006</v>
      </c>
      <c r="Q1647">
        <v>2310</v>
      </c>
      <c r="R1647">
        <v>4</v>
      </c>
      <c r="S1647">
        <v>2</v>
      </c>
      <c r="T1647" t="s">
        <v>47</v>
      </c>
      <c r="U1647" t="s">
        <v>42</v>
      </c>
      <c r="V1647">
        <v>20559</v>
      </c>
      <c r="W1647">
        <v>3.4</v>
      </c>
      <c r="X1647">
        <v>4</v>
      </c>
      <c r="Y1647" t="s">
        <v>43</v>
      </c>
      <c r="Z1647">
        <v>3.69</v>
      </c>
      <c r="AA1647" t="s">
        <v>35</v>
      </c>
    </row>
    <row r="1648" spans="1:27" x14ac:dyDescent="0.3">
      <c r="A1648" t="s">
        <v>52</v>
      </c>
      <c r="B1648" t="s">
        <v>55</v>
      </c>
      <c r="C1648">
        <v>2025</v>
      </c>
      <c r="D1648" t="s">
        <v>38</v>
      </c>
      <c r="E1648">
        <v>40474.28</v>
      </c>
      <c r="F1648">
        <v>53.8</v>
      </c>
      <c r="G1648">
        <v>163</v>
      </c>
      <c r="H1648">
        <v>301.5</v>
      </c>
      <c r="I1648">
        <v>6.49</v>
      </c>
      <c r="J1648">
        <v>148</v>
      </c>
      <c r="K1648">
        <v>226</v>
      </c>
      <c r="L1648">
        <v>200</v>
      </c>
      <c r="M1648" t="s">
        <v>54</v>
      </c>
      <c r="N1648">
        <v>5</v>
      </c>
      <c r="O1648" t="s">
        <v>40</v>
      </c>
      <c r="P1648">
        <v>53.5</v>
      </c>
      <c r="Q1648">
        <v>2239</v>
      </c>
      <c r="R1648">
        <v>4</v>
      </c>
      <c r="S1648">
        <v>2</v>
      </c>
      <c r="T1648" t="s">
        <v>47</v>
      </c>
      <c r="U1648" t="s">
        <v>42</v>
      </c>
      <c r="V1648">
        <v>484636</v>
      </c>
      <c r="W1648">
        <v>3.7</v>
      </c>
      <c r="X1648">
        <v>5</v>
      </c>
      <c r="Y1648" t="s">
        <v>43</v>
      </c>
      <c r="Z1648">
        <v>3.03</v>
      </c>
      <c r="AA1648" t="s">
        <v>35</v>
      </c>
    </row>
    <row r="1649" spans="1:27" x14ac:dyDescent="0.3">
      <c r="A1649" t="s">
        <v>58</v>
      </c>
      <c r="B1649" t="s">
        <v>59</v>
      </c>
      <c r="C1649">
        <v>2024</v>
      </c>
      <c r="D1649" t="s">
        <v>63</v>
      </c>
      <c r="E1649">
        <v>111876</v>
      </c>
      <c r="F1649">
        <v>48.8</v>
      </c>
      <c r="G1649">
        <v>150</v>
      </c>
      <c r="H1649">
        <v>52.4</v>
      </c>
      <c r="I1649">
        <v>6.45</v>
      </c>
      <c r="J1649">
        <v>153</v>
      </c>
      <c r="K1649">
        <v>558</v>
      </c>
      <c r="L1649">
        <v>450</v>
      </c>
      <c r="M1649" t="s">
        <v>30</v>
      </c>
      <c r="N1649">
        <v>7</v>
      </c>
      <c r="O1649" t="s">
        <v>65</v>
      </c>
      <c r="P1649">
        <v>38.700000000000003</v>
      </c>
      <c r="Q1649">
        <v>1698</v>
      </c>
      <c r="R1649">
        <v>4</v>
      </c>
      <c r="S1649">
        <v>1</v>
      </c>
      <c r="T1649" t="s">
        <v>32</v>
      </c>
      <c r="U1649" t="s">
        <v>33</v>
      </c>
      <c r="V1649">
        <v>36359</v>
      </c>
      <c r="W1649">
        <v>3.6</v>
      </c>
      <c r="X1649">
        <v>8</v>
      </c>
      <c r="Y1649" t="s">
        <v>43</v>
      </c>
      <c r="Z1649">
        <v>3.07</v>
      </c>
      <c r="AA1649" t="s">
        <v>35</v>
      </c>
    </row>
    <row r="1650" spans="1:27" x14ac:dyDescent="0.3">
      <c r="A1650" t="s">
        <v>84</v>
      </c>
      <c r="B1650" t="s">
        <v>99</v>
      </c>
      <c r="C1650">
        <v>2024</v>
      </c>
      <c r="D1650" t="s">
        <v>29</v>
      </c>
      <c r="E1650">
        <v>106766.97</v>
      </c>
      <c r="F1650">
        <v>109.9</v>
      </c>
      <c r="G1650">
        <v>376</v>
      </c>
      <c r="H1650">
        <v>166.2</v>
      </c>
      <c r="I1650">
        <v>3.18</v>
      </c>
      <c r="J1650">
        <v>200</v>
      </c>
      <c r="K1650">
        <v>1000</v>
      </c>
      <c r="L1650">
        <v>895</v>
      </c>
      <c r="M1650" t="s">
        <v>30</v>
      </c>
      <c r="N1650">
        <v>2</v>
      </c>
      <c r="O1650" t="s">
        <v>31</v>
      </c>
      <c r="P1650">
        <v>77.400000000000006</v>
      </c>
      <c r="Q1650">
        <v>2776</v>
      </c>
      <c r="R1650">
        <v>4</v>
      </c>
      <c r="S1650">
        <v>1</v>
      </c>
      <c r="T1650" t="s">
        <v>47</v>
      </c>
      <c r="U1650" t="s">
        <v>33</v>
      </c>
      <c r="V1650">
        <v>44309</v>
      </c>
      <c r="W1650">
        <v>3.8</v>
      </c>
      <c r="X1650">
        <v>3</v>
      </c>
      <c r="Y1650" t="s">
        <v>34</v>
      </c>
      <c r="Z1650">
        <v>3.42</v>
      </c>
      <c r="AA1650" t="s">
        <v>35</v>
      </c>
    </row>
    <row r="1651" spans="1:27" x14ac:dyDescent="0.3">
      <c r="A1651" t="s">
        <v>44</v>
      </c>
      <c r="B1651" t="s">
        <v>109</v>
      </c>
      <c r="C1651">
        <v>2025</v>
      </c>
      <c r="D1651" t="s">
        <v>38</v>
      </c>
      <c r="E1651">
        <v>47998.86</v>
      </c>
      <c r="F1651">
        <v>60.9</v>
      </c>
      <c r="G1651">
        <v>202</v>
      </c>
      <c r="H1651">
        <v>96.1</v>
      </c>
      <c r="I1651">
        <v>5.42</v>
      </c>
      <c r="J1651">
        <v>159</v>
      </c>
      <c r="K1651">
        <v>551</v>
      </c>
      <c r="L1651">
        <v>486</v>
      </c>
      <c r="M1651" t="s">
        <v>30</v>
      </c>
      <c r="N1651">
        <v>7</v>
      </c>
      <c r="O1651" t="s">
        <v>46</v>
      </c>
      <c r="P1651">
        <v>70.8</v>
      </c>
      <c r="Q1651">
        <v>1527</v>
      </c>
      <c r="R1651">
        <v>5</v>
      </c>
      <c r="S1651">
        <v>0</v>
      </c>
      <c r="T1651" t="s">
        <v>47</v>
      </c>
      <c r="U1651" t="s">
        <v>42</v>
      </c>
      <c r="V1651">
        <v>2175</v>
      </c>
      <c r="W1651">
        <v>3.2</v>
      </c>
      <c r="X1651">
        <v>4</v>
      </c>
      <c r="Y1651" t="s">
        <v>43</v>
      </c>
      <c r="Z1651">
        <v>3.32</v>
      </c>
      <c r="AA1651" t="s">
        <v>69</v>
      </c>
    </row>
    <row r="1652" spans="1:27" x14ac:dyDescent="0.3">
      <c r="A1652" t="s">
        <v>52</v>
      </c>
      <c r="B1652" t="s">
        <v>86</v>
      </c>
      <c r="C1652">
        <v>2024</v>
      </c>
      <c r="D1652" t="s">
        <v>63</v>
      </c>
      <c r="E1652">
        <v>78351.88</v>
      </c>
      <c r="F1652">
        <v>83.5</v>
      </c>
      <c r="G1652">
        <v>303</v>
      </c>
      <c r="H1652">
        <v>324.60000000000002</v>
      </c>
      <c r="I1652">
        <v>6.81</v>
      </c>
      <c r="J1652">
        <v>152</v>
      </c>
      <c r="K1652">
        <v>546</v>
      </c>
      <c r="L1652">
        <v>448</v>
      </c>
      <c r="M1652" t="s">
        <v>39</v>
      </c>
      <c r="N1652">
        <v>5</v>
      </c>
      <c r="O1652" t="s">
        <v>31</v>
      </c>
      <c r="P1652">
        <v>54.1</v>
      </c>
      <c r="Q1652">
        <v>2584</v>
      </c>
      <c r="R1652">
        <v>5</v>
      </c>
      <c r="S1652">
        <v>2</v>
      </c>
      <c r="T1652" t="s">
        <v>47</v>
      </c>
      <c r="U1652" t="s">
        <v>38</v>
      </c>
      <c r="V1652">
        <v>135414</v>
      </c>
      <c r="W1652">
        <v>4</v>
      </c>
      <c r="X1652">
        <v>4</v>
      </c>
      <c r="Y1652" t="s">
        <v>43</v>
      </c>
      <c r="Z1652">
        <v>3.63</v>
      </c>
      <c r="AA1652" t="s">
        <v>35</v>
      </c>
    </row>
    <row r="1653" spans="1:27" x14ac:dyDescent="0.3">
      <c r="A1653" t="s">
        <v>71</v>
      </c>
      <c r="B1653" t="s">
        <v>115</v>
      </c>
      <c r="C1653">
        <v>2025</v>
      </c>
      <c r="D1653" t="s">
        <v>38</v>
      </c>
      <c r="E1653">
        <v>101756.01</v>
      </c>
      <c r="F1653">
        <v>70.7</v>
      </c>
      <c r="G1653">
        <v>259</v>
      </c>
      <c r="H1653">
        <v>71.7</v>
      </c>
      <c r="I1653">
        <v>7.72</v>
      </c>
      <c r="J1653">
        <v>139</v>
      </c>
      <c r="K1653">
        <v>1000</v>
      </c>
      <c r="L1653">
        <v>893</v>
      </c>
      <c r="M1653" t="s">
        <v>54</v>
      </c>
      <c r="N1653">
        <v>5</v>
      </c>
      <c r="O1653" t="s">
        <v>57</v>
      </c>
      <c r="P1653">
        <v>39.200000000000003</v>
      </c>
      <c r="Q1653">
        <v>1710</v>
      </c>
      <c r="R1653">
        <v>5</v>
      </c>
      <c r="S1653">
        <v>0</v>
      </c>
      <c r="T1653" t="s">
        <v>73</v>
      </c>
      <c r="U1653" t="s">
        <v>33</v>
      </c>
      <c r="V1653">
        <v>207780</v>
      </c>
      <c r="W1653">
        <v>3.6</v>
      </c>
      <c r="X1653">
        <v>3</v>
      </c>
      <c r="Y1653" t="s">
        <v>61</v>
      </c>
      <c r="Z1653">
        <v>3.66</v>
      </c>
      <c r="AA1653" t="s">
        <v>35</v>
      </c>
    </row>
    <row r="1654" spans="1:27" x14ac:dyDescent="0.3">
      <c r="A1654" t="s">
        <v>71</v>
      </c>
      <c r="B1654" t="s">
        <v>81</v>
      </c>
      <c r="C1654">
        <v>2021</v>
      </c>
      <c r="D1654" t="s">
        <v>29</v>
      </c>
      <c r="E1654">
        <v>36438.81</v>
      </c>
      <c r="F1654">
        <v>91.3</v>
      </c>
      <c r="G1654">
        <v>319</v>
      </c>
      <c r="H1654">
        <v>202.3</v>
      </c>
      <c r="I1654">
        <v>3.74</v>
      </c>
      <c r="J1654">
        <v>192</v>
      </c>
      <c r="K1654">
        <v>418</v>
      </c>
      <c r="L1654">
        <v>410</v>
      </c>
      <c r="M1654" t="s">
        <v>30</v>
      </c>
      <c r="N1654">
        <v>5</v>
      </c>
      <c r="O1654" t="s">
        <v>57</v>
      </c>
      <c r="P1654">
        <v>29.8</v>
      </c>
      <c r="Q1654">
        <v>1516</v>
      </c>
      <c r="R1654">
        <v>4</v>
      </c>
      <c r="S1654">
        <v>0</v>
      </c>
      <c r="T1654" t="s">
        <v>73</v>
      </c>
      <c r="U1654" t="s">
        <v>42</v>
      </c>
      <c r="V1654">
        <v>110969</v>
      </c>
      <c r="W1654">
        <v>3.8</v>
      </c>
      <c r="X1654">
        <v>4</v>
      </c>
      <c r="Y1654" t="s">
        <v>34</v>
      </c>
      <c r="Z1654">
        <v>3.49</v>
      </c>
      <c r="AA1654" t="s">
        <v>35</v>
      </c>
    </row>
    <row r="1655" spans="1:27" x14ac:dyDescent="0.3">
      <c r="A1655" t="s">
        <v>27</v>
      </c>
      <c r="B1655" t="s">
        <v>78</v>
      </c>
      <c r="C1655">
        <v>2024</v>
      </c>
      <c r="D1655" t="s">
        <v>68</v>
      </c>
      <c r="E1655">
        <v>45113.98</v>
      </c>
      <c r="F1655">
        <v>80.8</v>
      </c>
      <c r="G1655">
        <v>294</v>
      </c>
      <c r="H1655">
        <v>94.5</v>
      </c>
      <c r="I1655">
        <v>7.15</v>
      </c>
      <c r="J1655">
        <v>140</v>
      </c>
      <c r="K1655">
        <v>373</v>
      </c>
      <c r="L1655">
        <v>306</v>
      </c>
      <c r="M1655" t="s">
        <v>54</v>
      </c>
      <c r="N1655">
        <v>7</v>
      </c>
      <c r="O1655" t="s">
        <v>65</v>
      </c>
      <c r="P1655">
        <v>21.5</v>
      </c>
      <c r="Q1655">
        <v>1516</v>
      </c>
      <c r="R1655">
        <v>4</v>
      </c>
      <c r="S1655">
        <v>0</v>
      </c>
      <c r="T1655" t="s">
        <v>32</v>
      </c>
      <c r="U1655" t="s">
        <v>42</v>
      </c>
      <c r="V1655">
        <v>248569</v>
      </c>
      <c r="W1655">
        <v>3.8</v>
      </c>
      <c r="X1655">
        <v>4</v>
      </c>
      <c r="Y1655" t="s">
        <v>61</v>
      </c>
      <c r="Z1655">
        <v>3.64</v>
      </c>
      <c r="AA1655" t="s">
        <v>35</v>
      </c>
    </row>
    <row r="1656" spans="1:27" x14ac:dyDescent="0.3">
      <c r="A1656" t="s">
        <v>52</v>
      </c>
      <c r="B1656" t="s">
        <v>55</v>
      </c>
      <c r="C1656">
        <v>2024</v>
      </c>
      <c r="D1656" t="s">
        <v>63</v>
      </c>
      <c r="E1656">
        <v>117810.94</v>
      </c>
      <c r="F1656">
        <v>78.099999999999994</v>
      </c>
      <c r="G1656">
        <v>253</v>
      </c>
      <c r="H1656">
        <v>210.7</v>
      </c>
      <c r="I1656">
        <v>5.7</v>
      </c>
      <c r="J1656">
        <v>162</v>
      </c>
      <c r="K1656">
        <v>847</v>
      </c>
      <c r="L1656">
        <v>781</v>
      </c>
      <c r="M1656" t="s">
        <v>30</v>
      </c>
      <c r="N1656">
        <v>5</v>
      </c>
      <c r="O1656" t="s">
        <v>57</v>
      </c>
      <c r="P1656">
        <v>25</v>
      </c>
      <c r="Q1656">
        <v>1774</v>
      </c>
      <c r="R1656">
        <v>4</v>
      </c>
      <c r="S1656">
        <v>2</v>
      </c>
      <c r="T1656" t="s">
        <v>47</v>
      </c>
      <c r="U1656" t="s">
        <v>33</v>
      </c>
      <c r="V1656">
        <v>402141</v>
      </c>
      <c r="W1656">
        <v>4</v>
      </c>
      <c r="X1656">
        <v>5</v>
      </c>
      <c r="Y1656" t="s">
        <v>43</v>
      </c>
      <c r="Z1656">
        <v>3.24</v>
      </c>
      <c r="AA1656" t="s">
        <v>35</v>
      </c>
    </row>
    <row r="1657" spans="1:27" x14ac:dyDescent="0.3">
      <c r="A1657" t="s">
        <v>100</v>
      </c>
      <c r="B1657" t="s">
        <v>135</v>
      </c>
      <c r="C1657">
        <v>2022</v>
      </c>
      <c r="D1657" t="s">
        <v>68</v>
      </c>
      <c r="E1657">
        <v>64086.32</v>
      </c>
      <c r="F1657">
        <v>52.7</v>
      </c>
      <c r="G1657">
        <v>161</v>
      </c>
      <c r="H1657">
        <v>59.1</v>
      </c>
      <c r="I1657">
        <v>5.34</v>
      </c>
      <c r="J1657">
        <v>169</v>
      </c>
      <c r="K1657">
        <v>491</v>
      </c>
      <c r="L1657">
        <v>423</v>
      </c>
      <c r="M1657" t="s">
        <v>30</v>
      </c>
      <c r="N1657">
        <v>5</v>
      </c>
      <c r="O1657" t="s">
        <v>40</v>
      </c>
      <c r="P1657">
        <v>50.8</v>
      </c>
      <c r="Q1657">
        <v>2057</v>
      </c>
      <c r="R1657">
        <v>5</v>
      </c>
      <c r="S1657">
        <v>2</v>
      </c>
      <c r="T1657" t="s">
        <v>73</v>
      </c>
      <c r="U1657" t="s">
        <v>42</v>
      </c>
      <c r="V1657">
        <v>19395</v>
      </c>
      <c r="W1657">
        <v>3.5</v>
      </c>
      <c r="X1657">
        <v>4</v>
      </c>
      <c r="Y1657" t="s">
        <v>43</v>
      </c>
      <c r="Z1657">
        <v>3.06</v>
      </c>
      <c r="AA1657" t="s">
        <v>43</v>
      </c>
    </row>
    <row r="1658" spans="1:27" x14ac:dyDescent="0.3">
      <c r="A1658" t="s">
        <v>48</v>
      </c>
      <c r="B1658" t="s">
        <v>60</v>
      </c>
      <c r="C1658">
        <v>2026</v>
      </c>
      <c r="D1658" t="s">
        <v>29</v>
      </c>
      <c r="E1658">
        <v>71757.16</v>
      </c>
      <c r="F1658">
        <v>96</v>
      </c>
      <c r="G1658">
        <v>336</v>
      </c>
      <c r="H1658">
        <v>236.2</v>
      </c>
      <c r="I1658">
        <v>4.45</v>
      </c>
      <c r="J1658">
        <v>181</v>
      </c>
      <c r="K1658">
        <v>816</v>
      </c>
      <c r="L1658">
        <v>742</v>
      </c>
      <c r="M1658" t="s">
        <v>30</v>
      </c>
      <c r="N1658">
        <v>5</v>
      </c>
      <c r="O1658" t="s">
        <v>31</v>
      </c>
      <c r="P1658">
        <v>67.5</v>
      </c>
      <c r="Q1658">
        <v>2916</v>
      </c>
      <c r="R1658">
        <v>5</v>
      </c>
      <c r="S1658">
        <v>0</v>
      </c>
      <c r="T1658" t="s">
        <v>51</v>
      </c>
      <c r="U1658" t="s">
        <v>38</v>
      </c>
      <c r="V1658">
        <v>123775</v>
      </c>
      <c r="W1658">
        <v>3.7</v>
      </c>
      <c r="X1658">
        <v>3</v>
      </c>
      <c r="Y1658" t="s">
        <v>43</v>
      </c>
      <c r="Z1658">
        <v>3.5</v>
      </c>
      <c r="AA1658" t="s">
        <v>35</v>
      </c>
    </row>
    <row r="1659" spans="1:27" x14ac:dyDescent="0.3">
      <c r="A1659" t="s">
        <v>71</v>
      </c>
      <c r="B1659" t="s">
        <v>96</v>
      </c>
      <c r="C1659">
        <v>2026</v>
      </c>
      <c r="D1659" t="s">
        <v>29</v>
      </c>
      <c r="E1659">
        <v>71385.39</v>
      </c>
      <c r="F1659">
        <v>109.6</v>
      </c>
      <c r="G1659">
        <v>380</v>
      </c>
      <c r="H1659">
        <v>150.6</v>
      </c>
      <c r="I1659">
        <v>4.08</v>
      </c>
      <c r="J1659">
        <v>193</v>
      </c>
      <c r="K1659">
        <v>830</v>
      </c>
      <c r="L1659">
        <v>743</v>
      </c>
      <c r="M1659" t="s">
        <v>30</v>
      </c>
      <c r="N1659">
        <v>5</v>
      </c>
      <c r="O1659" t="s">
        <v>57</v>
      </c>
      <c r="P1659">
        <v>20.6</v>
      </c>
      <c r="Q1659">
        <v>1527</v>
      </c>
      <c r="R1659">
        <v>4</v>
      </c>
      <c r="S1659">
        <v>0</v>
      </c>
      <c r="T1659" t="s">
        <v>73</v>
      </c>
      <c r="U1659" t="s">
        <v>38</v>
      </c>
      <c r="V1659">
        <v>234079</v>
      </c>
      <c r="W1659">
        <v>3.8</v>
      </c>
      <c r="X1659">
        <v>4</v>
      </c>
      <c r="Y1659" t="s">
        <v>43</v>
      </c>
      <c r="Z1659">
        <v>3.47</v>
      </c>
      <c r="AA1659" t="s">
        <v>35</v>
      </c>
    </row>
    <row r="1660" spans="1:27" x14ac:dyDescent="0.3">
      <c r="A1660" t="s">
        <v>27</v>
      </c>
      <c r="B1660" t="s">
        <v>83</v>
      </c>
      <c r="C1660">
        <v>2023</v>
      </c>
      <c r="D1660" t="s">
        <v>29</v>
      </c>
      <c r="E1660">
        <v>82345.289999999994</v>
      </c>
      <c r="F1660">
        <v>78.400000000000006</v>
      </c>
      <c r="G1660">
        <v>276</v>
      </c>
      <c r="H1660">
        <v>162.1</v>
      </c>
      <c r="I1660">
        <v>2.61</v>
      </c>
      <c r="J1660">
        <v>200</v>
      </c>
      <c r="K1660">
        <v>961</v>
      </c>
      <c r="L1660">
        <v>853</v>
      </c>
      <c r="M1660" t="s">
        <v>54</v>
      </c>
      <c r="N1660">
        <v>7</v>
      </c>
      <c r="O1660" t="s">
        <v>56</v>
      </c>
      <c r="P1660">
        <v>27.1</v>
      </c>
      <c r="Q1660">
        <v>1677</v>
      </c>
      <c r="R1660">
        <v>4</v>
      </c>
      <c r="S1660">
        <v>2</v>
      </c>
      <c r="T1660" t="s">
        <v>32</v>
      </c>
      <c r="U1660" t="s">
        <v>38</v>
      </c>
      <c r="V1660">
        <v>291745</v>
      </c>
      <c r="W1660">
        <v>3.7</v>
      </c>
      <c r="X1660">
        <v>4</v>
      </c>
      <c r="Y1660" t="s">
        <v>34</v>
      </c>
      <c r="Z1660">
        <v>3.52</v>
      </c>
      <c r="AA1660" t="s">
        <v>35</v>
      </c>
    </row>
    <row r="1661" spans="1:27" x14ac:dyDescent="0.3">
      <c r="A1661" t="s">
        <v>27</v>
      </c>
      <c r="B1661" t="s">
        <v>78</v>
      </c>
      <c r="C1661">
        <v>2024</v>
      </c>
      <c r="D1661" t="s">
        <v>50</v>
      </c>
      <c r="E1661">
        <v>69646.080000000002</v>
      </c>
      <c r="F1661">
        <v>82.9</v>
      </c>
      <c r="G1661">
        <v>303</v>
      </c>
      <c r="H1661">
        <v>106.8</v>
      </c>
      <c r="I1661">
        <v>5.0199999999999996</v>
      </c>
      <c r="J1661">
        <v>175</v>
      </c>
      <c r="K1661">
        <v>708</v>
      </c>
      <c r="L1661">
        <v>650</v>
      </c>
      <c r="M1661" t="s">
        <v>54</v>
      </c>
      <c r="N1661">
        <v>5</v>
      </c>
      <c r="O1661" t="s">
        <v>57</v>
      </c>
      <c r="P1661">
        <v>25.2</v>
      </c>
      <c r="Q1661">
        <v>1500</v>
      </c>
      <c r="R1661">
        <v>4</v>
      </c>
      <c r="S1661">
        <v>0</v>
      </c>
      <c r="T1661" t="s">
        <v>32</v>
      </c>
      <c r="U1661" t="s">
        <v>38</v>
      </c>
      <c r="V1661">
        <v>292447</v>
      </c>
      <c r="W1661">
        <v>3.9</v>
      </c>
      <c r="X1661">
        <v>3</v>
      </c>
      <c r="Y1661" t="s">
        <v>43</v>
      </c>
      <c r="Z1661">
        <v>3.66</v>
      </c>
      <c r="AA1661" t="s">
        <v>35</v>
      </c>
    </row>
    <row r="1662" spans="1:27" x14ac:dyDescent="0.3">
      <c r="A1662" t="s">
        <v>48</v>
      </c>
      <c r="B1662" t="s">
        <v>60</v>
      </c>
      <c r="C1662">
        <v>2023</v>
      </c>
      <c r="D1662" t="s">
        <v>29</v>
      </c>
      <c r="E1662">
        <v>59632.87</v>
      </c>
      <c r="F1662">
        <v>90.3</v>
      </c>
      <c r="G1662">
        <v>325</v>
      </c>
      <c r="H1662">
        <v>160.4</v>
      </c>
      <c r="I1662">
        <v>3.84</v>
      </c>
      <c r="J1662">
        <v>196</v>
      </c>
      <c r="K1662">
        <v>682</v>
      </c>
      <c r="L1662">
        <v>638</v>
      </c>
      <c r="M1662" t="s">
        <v>30</v>
      </c>
      <c r="N1662">
        <v>5</v>
      </c>
      <c r="O1662" t="s">
        <v>57</v>
      </c>
      <c r="P1662">
        <v>20.8</v>
      </c>
      <c r="Q1662">
        <v>1529</v>
      </c>
      <c r="R1662">
        <v>5</v>
      </c>
      <c r="S1662">
        <v>0</v>
      </c>
      <c r="T1662" t="s">
        <v>51</v>
      </c>
      <c r="U1662" t="s">
        <v>42</v>
      </c>
      <c r="V1662">
        <v>97616</v>
      </c>
      <c r="W1662">
        <v>3.7</v>
      </c>
      <c r="X1662">
        <v>4</v>
      </c>
      <c r="Y1662" t="s">
        <v>34</v>
      </c>
      <c r="Z1662">
        <v>3.6</v>
      </c>
      <c r="AA1662" t="s">
        <v>35</v>
      </c>
    </row>
    <row r="1663" spans="1:27" x14ac:dyDescent="0.3">
      <c r="A1663" t="s">
        <v>76</v>
      </c>
      <c r="B1663" t="s">
        <v>98</v>
      </c>
      <c r="C1663">
        <v>2024</v>
      </c>
      <c r="D1663" t="s">
        <v>29</v>
      </c>
      <c r="E1663">
        <v>44796.76</v>
      </c>
      <c r="F1663">
        <v>104.6</v>
      </c>
      <c r="G1663">
        <v>359</v>
      </c>
      <c r="H1663">
        <v>167.5</v>
      </c>
      <c r="I1663">
        <v>2.56</v>
      </c>
      <c r="J1663">
        <v>200</v>
      </c>
      <c r="K1663">
        <v>395</v>
      </c>
      <c r="L1663">
        <v>380</v>
      </c>
      <c r="M1663" t="s">
        <v>30</v>
      </c>
      <c r="N1663">
        <v>5</v>
      </c>
      <c r="O1663" t="s">
        <v>65</v>
      </c>
      <c r="P1663">
        <v>39.299999999999997</v>
      </c>
      <c r="Q1663">
        <v>1500</v>
      </c>
      <c r="R1663">
        <v>5</v>
      </c>
      <c r="S1663">
        <v>1</v>
      </c>
      <c r="T1663" t="s">
        <v>51</v>
      </c>
      <c r="U1663" t="s">
        <v>42</v>
      </c>
      <c r="V1663">
        <v>113793</v>
      </c>
      <c r="W1663">
        <v>4</v>
      </c>
      <c r="X1663">
        <v>4</v>
      </c>
      <c r="Y1663" t="s">
        <v>34</v>
      </c>
      <c r="Z1663">
        <v>3.43</v>
      </c>
      <c r="AA1663" t="s">
        <v>35</v>
      </c>
    </row>
    <row r="1664" spans="1:27" x14ac:dyDescent="0.3">
      <c r="A1664" t="s">
        <v>102</v>
      </c>
      <c r="B1664" t="s">
        <v>103</v>
      </c>
      <c r="C1664">
        <v>2025</v>
      </c>
      <c r="D1664" t="s">
        <v>68</v>
      </c>
      <c r="E1664">
        <v>79722.649999999994</v>
      </c>
      <c r="F1664">
        <v>80.900000000000006</v>
      </c>
      <c r="G1664">
        <v>261</v>
      </c>
      <c r="H1664">
        <v>102.2</v>
      </c>
      <c r="I1664">
        <v>5.0999999999999996</v>
      </c>
      <c r="J1664">
        <v>173</v>
      </c>
      <c r="K1664">
        <v>649</v>
      </c>
      <c r="L1664">
        <v>596</v>
      </c>
      <c r="M1664" t="s">
        <v>30</v>
      </c>
      <c r="N1664">
        <v>7</v>
      </c>
      <c r="O1664" t="s">
        <v>40</v>
      </c>
      <c r="P1664">
        <v>53.8</v>
      </c>
      <c r="Q1664">
        <v>2018</v>
      </c>
      <c r="R1664">
        <v>5</v>
      </c>
      <c r="S1664">
        <v>2</v>
      </c>
      <c r="T1664" t="s">
        <v>47</v>
      </c>
      <c r="U1664" t="s">
        <v>38</v>
      </c>
      <c r="V1664">
        <v>28225</v>
      </c>
      <c r="W1664">
        <v>3.3</v>
      </c>
      <c r="X1664">
        <v>5</v>
      </c>
      <c r="Y1664" t="s">
        <v>43</v>
      </c>
      <c r="Z1664">
        <v>3.23</v>
      </c>
      <c r="AA1664" t="s">
        <v>35</v>
      </c>
    </row>
    <row r="1665" spans="1:27" x14ac:dyDescent="0.3">
      <c r="A1665" t="s">
        <v>76</v>
      </c>
      <c r="B1665" t="s">
        <v>114</v>
      </c>
      <c r="C1665">
        <v>2025</v>
      </c>
      <c r="D1665" t="s">
        <v>38</v>
      </c>
      <c r="E1665">
        <v>65433.15</v>
      </c>
      <c r="F1665">
        <v>41.9</v>
      </c>
      <c r="G1665">
        <v>150</v>
      </c>
      <c r="H1665">
        <v>54.9</v>
      </c>
      <c r="I1665">
        <v>5.0599999999999996</v>
      </c>
      <c r="J1665">
        <v>179</v>
      </c>
      <c r="K1665">
        <v>785</v>
      </c>
      <c r="L1665">
        <v>710</v>
      </c>
      <c r="M1665" t="s">
        <v>30</v>
      </c>
      <c r="N1665">
        <v>7</v>
      </c>
      <c r="O1665" t="s">
        <v>65</v>
      </c>
      <c r="P1665">
        <v>32.299999999999997</v>
      </c>
      <c r="Q1665">
        <v>1506</v>
      </c>
      <c r="R1665">
        <v>5</v>
      </c>
      <c r="S1665">
        <v>2</v>
      </c>
      <c r="T1665" t="s">
        <v>51</v>
      </c>
      <c r="U1665" t="s">
        <v>38</v>
      </c>
      <c r="V1665">
        <v>78985</v>
      </c>
      <c r="W1665">
        <v>3.3</v>
      </c>
      <c r="X1665">
        <v>5</v>
      </c>
      <c r="Y1665" t="s">
        <v>43</v>
      </c>
      <c r="Z1665">
        <v>3.58</v>
      </c>
      <c r="AA1665" t="s">
        <v>35</v>
      </c>
    </row>
    <row r="1666" spans="1:27" x14ac:dyDescent="0.3">
      <c r="A1666" t="s">
        <v>129</v>
      </c>
      <c r="B1666" t="s">
        <v>130</v>
      </c>
      <c r="C1666">
        <v>2024</v>
      </c>
      <c r="D1666" t="s">
        <v>68</v>
      </c>
      <c r="E1666">
        <v>75390.600000000006</v>
      </c>
      <c r="F1666">
        <v>43.1</v>
      </c>
      <c r="G1666">
        <v>156</v>
      </c>
      <c r="H1666">
        <v>72.8</v>
      </c>
      <c r="I1666">
        <v>6.98</v>
      </c>
      <c r="J1666">
        <v>135</v>
      </c>
      <c r="K1666">
        <v>591</v>
      </c>
      <c r="L1666">
        <v>512</v>
      </c>
      <c r="M1666" t="s">
        <v>54</v>
      </c>
      <c r="N1666">
        <v>5</v>
      </c>
      <c r="O1666" t="s">
        <v>46</v>
      </c>
      <c r="P1666">
        <v>72.599999999999994</v>
      </c>
      <c r="Q1666">
        <v>1623</v>
      </c>
      <c r="R1666">
        <v>5</v>
      </c>
      <c r="S1666">
        <v>2</v>
      </c>
      <c r="T1666" t="s">
        <v>131</v>
      </c>
      <c r="U1666" t="s">
        <v>38</v>
      </c>
      <c r="V1666">
        <v>16760</v>
      </c>
      <c r="W1666">
        <v>3.3</v>
      </c>
      <c r="X1666">
        <v>5</v>
      </c>
      <c r="Y1666" t="s">
        <v>43</v>
      </c>
      <c r="Z1666">
        <v>3.62</v>
      </c>
      <c r="AA1666" t="s">
        <v>43</v>
      </c>
    </row>
    <row r="1667" spans="1:27" x14ac:dyDescent="0.3">
      <c r="A1667" t="s">
        <v>58</v>
      </c>
      <c r="B1667" t="s">
        <v>70</v>
      </c>
      <c r="C1667">
        <v>2024</v>
      </c>
      <c r="D1667" t="s">
        <v>50</v>
      </c>
      <c r="E1667">
        <v>95795.03</v>
      </c>
      <c r="F1667">
        <v>93.8</v>
      </c>
      <c r="G1667">
        <v>354</v>
      </c>
      <c r="H1667">
        <v>136.1</v>
      </c>
      <c r="I1667">
        <v>4.6100000000000003</v>
      </c>
      <c r="J1667">
        <v>177</v>
      </c>
      <c r="K1667">
        <v>477</v>
      </c>
      <c r="L1667">
        <v>445</v>
      </c>
      <c r="M1667" t="s">
        <v>30</v>
      </c>
      <c r="N1667">
        <v>7</v>
      </c>
      <c r="O1667" t="s">
        <v>31</v>
      </c>
      <c r="P1667">
        <v>70.2</v>
      </c>
      <c r="Q1667">
        <v>2380</v>
      </c>
      <c r="R1667">
        <v>3</v>
      </c>
      <c r="S1667">
        <v>1</v>
      </c>
      <c r="T1667" t="s">
        <v>32</v>
      </c>
      <c r="U1667" t="s">
        <v>38</v>
      </c>
      <c r="V1667">
        <v>37523</v>
      </c>
      <c r="W1667">
        <v>4.2</v>
      </c>
      <c r="X1667">
        <v>6</v>
      </c>
      <c r="Y1667" t="s">
        <v>43</v>
      </c>
      <c r="Z1667">
        <v>3.77</v>
      </c>
      <c r="AA1667" t="s">
        <v>35</v>
      </c>
    </row>
    <row r="1668" spans="1:27" x14ac:dyDescent="0.3">
      <c r="A1668" t="s">
        <v>71</v>
      </c>
      <c r="B1668" t="s">
        <v>81</v>
      </c>
      <c r="C1668">
        <v>2024</v>
      </c>
      <c r="D1668" t="s">
        <v>50</v>
      </c>
      <c r="E1668">
        <v>65610.36</v>
      </c>
      <c r="F1668">
        <v>86.2</v>
      </c>
      <c r="G1668">
        <v>270</v>
      </c>
      <c r="H1668">
        <v>67.599999999999994</v>
      </c>
      <c r="I1668">
        <v>5.1100000000000003</v>
      </c>
      <c r="J1668">
        <v>176</v>
      </c>
      <c r="K1668">
        <v>724</v>
      </c>
      <c r="L1668">
        <v>637</v>
      </c>
      <c r="M1668" t="s">
        <v>39</v>
      </c>
      <c r="N1668">
        <v>5</v>
      </c>
      <c r="O1668" t="s">
        <v>56</v>
      </c>
      <c r="P1668">
        <v>18.899999999999999</v>
      </c>
      <c r="Q1668">
        <v>1677</v>
      </c>
      <c r="R1668">
        <v>5</v>
      </c>
      <c r="S1668">
        <v>0</v>
      </c>
      <c r="T1668" t="s">
        <v>73</v>
      </c>
      <c r="U1668" t="s">
        <v>38</v>
      </c>
      <c r="V1668">
        <v>239905</v>
      </c>
      <c r="W1668">
        <v>3.6</v>
      </c>
      <c r="X1668">
        <v>4</v>
      </c>
      <c r="Y1668" t="s">
        <v>43</v>
      </c>
      <c r="Z1668">
        <v>3.13</v>
      </c>
      <c r="AA1668" t="s">
        <v>35</v>
      </c>
    </row>
    <row r="1669" spans="1:27" x14ac:dyDescent="0.3">
      <c r="A1669" t="s">
        <v>102</v>
      </c>
      <c r="B1669" t="s">
        <v>136</v>
      </c>
      <c r="C1669">
        <v>2024</v>
      </c>
      <c r="D1669" t="s">
        <v>68</v>
      </c>
      <c r="E1669">
        <v>85223.91</v>
      </c>
      <c r="F1669">
        <v>55.2</v>
      </c>
      <c r="G1669">
        <v>206</v>
      </c>
      <c r="H1669">
        <v>65.2</v>
      </c>
      <c r="I1669">
        <v>7.32</v>
      </c>
      <c r="J1669">
        <v>146</v>
      </c>
      <c r="K1669">
        <v>972</v>
      </c>
      <c r="L1669">
        <v>858</v>
      </c>
      <c r="M1669" t="s">
        <v>54</v>
      </c>
      <c r="N1669">
        <v>7</v>
      </c>
      <c r="O1669" t="s">
        <v>57</v>
      </c>
      <c r="P1669">
        <v>30.1</v>
      </c>
      <c r="Q1669">
        <v>1500</v>
      </c>
      <c r="R1669">
        <v>5</v>
      </c>
      <c r="S1669">
        <v>1</v>
      </c>
      <c r="T1669" t="s">
        <v>47</v>
      </c>
      <c r="U1669" t="s">
        <v>38</v>
      </c>
      <c r="V1669">
        <v>18207</v>
      </c>
      <c r="W1669">
        <v>3.2</v>
      </c>
      <c r="X1669">
        <v>4</v>
      </c>
      <c r="Y1669" t="s">
        <v>61</v>
      </c>
      <c r="Z1669">
        <v>3.73</v>
      </c>
      <c r="AA1669" t="s">
        <v>43</v>
      </c>
    </row>
    <row r="1670" spans="1:27" x14ac:dyDescent="0.3">
      <c r="A1670" t="s">
        <v>52</v>
      </c>
      <c r="B1670" t="s">
        <v>64</v>
      </c>
      <c r="C1670">
        <v>2026</v>
      </c>
      <c r="D1670" t="s">
        <v>29</v>
      </c>
      <c r="E1670">
        <v>173601</v>
      </c>
      <c r="F1670">
        <v>82</v>
      </c>
      <c r="G1670">
        <v>301</v>
      </c>
      <c r="H1670">
        <v>340.2</v>
      </c>
      <c r="I1670">
        <v>4.49</v>
      </c>
      <c r="J1670">
        <v>184</v>
      </c>
      <c r="K1670">
        <v>1000</v>
      </c>
      <c r="L1670">
        <v>901</v>
      </c>
      <c r="M1670" t="s">
        <v>54</v>
      </c>
      <c r="N1670">
        <v>7</v>
      </c>
      <c r="O1670" t="s">
        <v>31</v>
      </c>
      <c r="P1670">
        <v>65.900000000000006</v>
      </c>
      <c r="Q1670">
        <v>2374</v>
      </c>
      <c r="R1670">
        <v>4</v>
      </c>
      <c r="S1670">
        <v>2</v>
      </c>
      <c r="T1670" t="s">
        <v>47</v>
      </c>
      <c r="U1670" t="s">
        <v>33</v>
      </c>
      <c r="V1670">
        <v>192234</v>
      </c>
      <c r="W1670">
        <v>3.9</v>
      </c>
      <c r="X1670">
        <v>4</v>
      </c>
      <c r="Y1670" t="s">
        <v>43</v>
      </c>
      <c r="Z1670">
        <v>3.67</v>
      </c>
      <c r="AA1670" t="s">
        <v>35</v>
      </c>
    </row>
    <row r="1671" spans="1:27" x14ac:dyDescent="0.3">
      <c r="A1671" t="s">
        <v>84</v>
      </c>
      <c r="B1671" t="s">
        <v>106</v>
      </c>
      <c r="C1671">
        <v>2024</v>
      </c>
      <c r="D1671" t="s">
        <v>50</v>
      </c>
      <c r="E1671">
        <v>93391.97</v>
      </c>
      <c r="F1671">
        <v>96.9</v>
      </c>
      <c r="G1671">
        <v>328</v>
      </c>
      <c r="H1671">
        <v>111.1</v>
      </c>
      <c r="I1671">
        <v>4.62</v>
      </c>
      <c r="J1671">
        <v>188</v>
      </c>
      <c r="K1671">
        <v>1000</v>
      </c>
      <c r="L1671">
        <v>877</v>
      </c>
      <c r="M1671" t="s">
        <v>54</v>
      </c>
      <c r="N1671">
        <v>5</v>
      </c>
      <c r="O1671" t="s">
        <v>46</v>
      </c>
      <c r="P1671">
        <v>79.7</v>
      </c>
      <c r="Q1671">
        <v>1566</v>
      </c>
      <c r="R1671">
        <v>4</v>
      </c>
      <c r="S1671">
        <v>2</v>
      </c>
      <c r="T1671" t="s">
        <v>47</v>
      </c>
      <c r="U1671" t="s">
        <v>38</v>
      </c>
      <c r="V1671">
        <v>53055</v>
      </c>
      <c r="W1671">
        <v>3.5</v>
      </c>
      <c r="X1671">
        <v>4</v>
      </c>
      <c r="Y1671" t="s">
        <v>43</v>
      </c>
      <c r="Z1671">
        <v>3.38</v>
      </c>
      <c r="AA1671" t="s">
        <v>35</v>
      </c>
    </row>
    <row r="1672" spans="1:27" x14ac:dyDescent="0.3">
      <c r="A1672" t="s">
        <v>27</v>
      </c>
      <c r="B1672" t="s">
        <v>82</v>
      </c>
      <c r="C1672">
        <v>2025</v>
      </c>
      <c r="D1672" t="s">
        <v>68</v>
      </c>
      <c r="E1672">
        <v>60858.6</v>
      </c>
      <c r="F1672">
        <v>63.9</v>
      </c>
      <c r="G1672">
        <v>242</v>
      </c>
      <c r="H1672">
        <v>79.900000000000006</v>
      </c>
      <c r="I1672">
        <v>5.77</v>
      </c>
      <c r="J1672">
        <v>165</v>
      </c>
      <c r="K1672">
        <v>619</v>
      </c>
      <c r="L1672">
        <v>583</v>
      </c>
      <c r="M1672" t="s">
        <v>30</v>
      </c>
      <c r="N1672">
        <v>5</v>
      </c>
      <c r="O1672" t="s">
        <v>65</v>
      </c>
      <c r="P1672">
        <v>29</v>
      </c>
      <c r="Q1672">
        <v>1783</v>
      </c>
      <c r="R1672">
        <v>4</v>
      </c>
      <c r="S1672">
        <v>0</v>
      </c>
      <c r="T1672" t="s">
        <v>32</v>
      </c>
      <c r="U1672" t="s">
        <v>42</v>
      </c>
      <c r="V1672">
        <v>280770</v>
      </c>
      <c r="W1672">
        <v>3.7</v>
      </c>
      <c r="X1672">
        <v>3</v>
      </c>
      <c r="Y1672" t="s">
        <v>43</v>
      </c>
      <c r="Z1672">
        <v>3.79</v>
      </c>
      <c r="AA1672" t="s">
        <v>35</v>
      </c>
    </row>
    <row r="1673" spans="1:27" x14ac:dyDescent="0.3">
      <c r="A1673" t="s">
        <v>94</v>
      </c>
      <c r="B1673" t="s">
        <v>113</v>
      </c>
      <c r="C1673">
        <v>2024</v>
      </c>
      <c r="D1673" t="s">
        <v>63</v>
      </c>
      <c r="E1673">
        <v>68629.02</v>
      </c>
      <c r="F1673">
        <v>66.7</v>
      </c>
      <c r="G1673">
        <v>254</v>
      </c>
      <c r="H1673">
        <v>132.19999999999999</v>
      </c>
      <c r="I1673">
        <v>5.48</v>
      </c>
      <c r="J1673">
        <v>173</v>
      </c>
      <c r="K1673">
        <v>359</v>
      </c>
      <c r="L1673">
        <v>342</v>
      </c>
      <c r="M1673" t="s">
        <v>54</v>
      </c>
      <c r="N1673">
        <v>5</v>
      </c>
      <c r="O1673" t="s">
        <v>65</v>
      </c>
      <c r="P1673">
        <v>32.4</v>
      </c>
      <c r="Q1673">
        <v>1555</v>
      </c>
      <c r="R1673">
        <v>5</v>
      </c>
      <c r="S1673">
        <v>1</v>
      </c>
      <c r="T1673" t="s">
        <v>32</v>
      </c>
      <c r="U1673" t="s">
        <v>38</v>
      </c>
      <c r="V1673">
        <v>32172</v>
      </c>
      <c r="W1673">
        <v>3.6</v>
      </c>
      <c r="X1673">
        <v>6</v>
      </c>
      <c r="Y1673" t="s">
        <v>43</v>
      </c>
      <c r="Z1673">
        <v>3.81</v>
      </c>
      <c r="AA1673" t="s">
        <v>35</v>
      </c>
    </row>
    <row r="1674" spans="1:27" x14ac:dyDescent="0.3">
      <c r="A1674" t="s">
        <v>58</v>
      </c>
      <c r="B1674" t="s">
        <v>70</v>
      </c>
      <c r="C1674">
        <v>2025</v>
      </c>
      <c r="D1674" t="s">
        <v>38</v>
      </c>
      <c r="E1674">
        <v>128362.44</v>
      </c>
      <c r="F1674">
        <v>46.9</v>
      </c>
      <c r="G1674">
        <v>168</v>
      </c>
      <c r="H1674">
        <v>115.3</v>
      </c>
      <c r="I1674">
        <v>7.18</v>
      </c>
      <c r="J1674">
        <v>141</v>
      </c>
      <c r="K1674">
        <v>668</v>
      </c>
      <c r="L1674">
        <v>576</v>
      </c>
      <c r="M1674" t="s">
        <v>30</v>
      </c>
      <c r="N1674">
        <v>5</v>
      </c>
      <c r="O1674" t="s">
        <v>57</v>
      </c>
      <c r="P1674">
        <v>25.4</v>
      </c>
      <c r="Q1674">
        <v>1630</v>
      </c>
      <c r="R1674">
        <v>4</v>
      </c>
      <c r="S1674">
        <v>1</v>
      </c>
      <c r="T1674" t="s">
        <v>32</v>
      </c>
      <c r="U1674" t="s">
        <v>33</v>
      </c>
      <c r="V1674">
        <v>79528</v>
      </c>
      <c r="W1674">
        <v>3.7</v>
      </c>
      <c r="X1674">
        <v>8</v>
      </c>
      <c r="Y1674" t="s">
        <v>61</v>
      </c>
      <c r="Z1674">
        <v>3.58</v>
      </c>
      <c r="AA1674" t="s">
        <v>35</v>
      </c>
    </row>
    <row r="1675" spans="1:27" x14ac:dyDescent="0.3">
      <c r="A1675" t="s">
        <v>84</v>
      </c>
      <c r="B1675" t="s">
        <v>89</v>
      </c>
      <c r="C1675">
        <v>2024</v>
      </c>
      <c r="D1675" t="s">
        <v>29</v>
      </c>
      <c r="E1675">
        <v>115288.59</v>
      </c>
      <c r="F1675">
        <v>81.599999999999994</v>
      </c>
      <c r="G1675">
        <v>287</v>
      </c>
      <c r="H1675">
        <v>180.5</v>
      </c>
      <c r="I1675">
        <v>3.85</v>
      </c>
      <c r="J1675">
        <v>191</v>
      </c>
      <c r="K1675">
        <v>1000</v>
      </c>
      <c r="L1675">
        <v>926</v>
      </c>
      <c r="M1675" t="s">
        <v>30</v>
      </c>
      <c r="N1675">
        <v>7</v>
      </c>
      <c r="O1675" t="s">
        <v>56</v>
      </c>
      <c r="P1675">
        <v>16.7</v>
      </c>
      <c r="Q1675">
        <v>1500</v>
      </c>
      <c r="R1675">
        <v>5</v>
      </c>
      <c r="S1675">
        <v>0</v>
      </c>
      <c r="T1675" t="s">
        <v>47</v>
      </c>
      <c r="U1675" t="s">
        <v>33</v>
      </c>
      <c r="V1675">
        <v>28651</v>
      </c>
      <c r="W1675">
        <v>3.6</v>
      </c>
      <c r="X1675">
        <v>3</v>
      </c>
      <c r="Y1675" t="s">
        <v>34</v>
      </c>
      <c r="Z1675">
        <v>3.52</v>
      </c>
      <c r="AA1675" t="s">
        <v>35</v>
      </c>
    </row>
    <row r="1676" spans="1:27" x14ac:dyDescent="0.3">
      <c r="A1676" t="s">
        <v>84</v>
      </c>
      <c r="B1676" t="s">
        <v>106</v>
      </c>
      <c r="C1676">
        <v>2021</v>
      </c>
      <c r="D1676" t="s">
        <v>38</v>
      </c>
      <c r="E1676">
        <v>97933.8</v>
      </c>
      <c r="F1676">
        <v>43.7</v>
      </c>
      <c r="G1676">
        <v>150</v>
      </c>
      <c r="H1676">
        <v>66.599999999999994</v>
      </c>
      <c r="I1676">
        <v>7.65</v>
      </c>
      <c r="J1676">
        <v>142</v>
      </c>
      <c r="K1676">
        <v>1000</v>
      </c>
      <c r="L1676">
        <v>911</v>
      </c>
      <c r="M1676" t="s">
        <v>54</v>
      </c>
      <c r="N1676">
        <v>5</v>
      </c>
      <c r="O1676" t="s">
        <v>40</v>
      </c>
      <c r="P1676">
        <v>54.5</v>
      </c>
      <c r="Q1676">
        <v>1826</v>
      </c>
      <c r="R1676">
        <v>4</v>
      </c>
      <c r="S1676">
        <v>0</v>
      </c>
      <c r="T1676" t="s">
        <v>47</v>
      </c>
      <c r="U1676" t="s">
        <v>38</v>
      </c>
      <c r="V1676">
        <v>45842</v>
      </c>
      <c r="W1676">
        <v>3.1</v>
      </c>
      <c r="X1676">
        <v>4</v>
      </c>
      <c r="Y1676" t="s">
        <v>61</v>
      </c>
      <c r="Z1676">
        <v>3.43</v>
      </c>
      <c r="AA1676" t="s">
        <v>35</v>
      </c>
    </row>
    <row r="1677" spans="1:27" x14ac:dyDescent="0.3">
      <c r="A1677" t="s">
        <v>71</v>
      </c>
      <c r="B1677" t="s">
        <v>81</v>
      </c>
      <c r="C1677">
        <v>2024</v>
      </c>
      <c r="D1677" t="s">
        <v>68</v>
      </c>
      <c r="E1677">
        <v>42922.38</v>
      </c>
      <c r="F1677">
        <v>65.7</v>
      </c>
      <c r="G1677">
        <v>235</v>
      </c>
      <c r="H1677">
        <v>137.19999999999999</v>
      </c>
      <c r="I1677">
        <v>6.4</v>
      </c>
      <c r="J1677">
        <v>155</v>
      </c>
      <c r="K1677">
        <v>444</v>
      </c>
      <c r="L1677">
        <v>426</v>
      </c>
      <c r="M1677" t="s">
        <v>54</v>
      </c>
      <c r="N1677">
        <v>7</v>
      </c>
      <c r="O1677" t="s">
        <v>46</v>
      </c>
      <c r="P1677">
        <v>64.8</v>
      </c>
      <c r="Q1677">
        <v>1633</v>
      </c>
      <c r="R1677">
        <v>5</v>
      </c>
      <c r="S1677">
        <v>0</v>
      </c>
      <c r="T1677" t="s">
        <v>73</v>
      </c>
      <c r="U1677" t="s">
        <v>42</v>
      </c>
      <c r="V1677">
        <v>109861</v>
      </c>
      <c r="W1677">
        <v>3.5</v>
      </c>
      <c r="X1677">
        <v>5</v>
      </c>
      <c r="Y1677" t="s">
        <v>43</v>
      </c>
      <c r="Z1677">
        <v>3.58</v>
      </c>
      <c r="AA1677" t="s">
        <v>35</v>
      </c>
    </row>
    <row r="1678" spans="1:27" x14ac:dyDescent="0.3">
      <c r="A1678" t="s">
        <v>52</v>
      </c>
      <c r="B1678" t="s">
        <v>53</v>
      </c>
      <c r="C1678">
        <v>2025</v>
      </c>
      <c r="D1678" t="s">
        <v>68</v>
      </c>
      <c r="E1678">
        <v>103423.57</v>
      </c>
      <c r="F1678">
        <v>67.2</v>
      </c>
      <c r="G1678">
        <v>226</v>
      </c>
      <c r="H1678">
        <v>261.89999999999998</v>
      </c>
      <c r="I1678">
        <v>6.82</v>
      </c>
      <c r="J1678">
        <v>149</v>
      </c>
      <c r="K1678">
        <v>760</v>
      </c>
      <c r="L1678">
        <v>704</v>
      </c>
      <c r="M1678" t="s">
        <v>30</v>
      </c>
      <c r="N1678">
        <v>7</v>
      </c>
      <c r="O1678" t="s">
        <v>56</v>
      </c>
      <c r="P1678">
        <v>21</v>
      </c>
      <c r="Q1678">
        <v>1500</v>
      </c>
      <c r="R1678">
        <v>5</v>
      </c>
      <c r="S1678">
        <v>2</v>
      </c>
      <c r="T1678" t="s">
        <v>47</v>
      </c>
      <c r="U1678" t="s">
        <v>33</v>
      </c>
      <c r="V1678">
        <v>136780</v>
      </c>
      <c r="W1678">
        <v>3.7</v>
      </c>
      <c r="X1678">
        <v>4</v>
      </c>
      <c r="Y1678" t="s">
        <v>43</v>
      </c>
      <c r="Z1678">
        <v>3.36</v>
      </c>
      <c r="AA1678" t="s">
        <v>35</v>
      </c>
    </row>
    <row r="1679" spans="1:27" x14ac:dyDescent="0.3">
      <c r="A1679" t="s">
        <v>27</v>
      </c>
      <c r="B1679" t="s">
        <v>93</v>
      </c>
      <c r="C1679">
        <v>2025</v>
      </c>
      <c r="D1679" t="s">
        <v>50</v>
      </c>
      <c r="E1679">
        <v>46681.91</v>
      </c>
      <c r="F1679">
        <v>83.1</v>
      </c>
      <c r="G1679">
        <v>285</v>
      </c>
      <c r="H1679">
        <v>117.4</v>
      </c>
      <c r="I1679">
        <v>5</v>
      </c>
      <c r="J1679">
        <v>181</v>
      </c>
      <c r="K1679">
        <v>391</v>
      </c>
      <c r="L1679">
        <v>288</v>
      </c>
      <c r="M1679" t="s">
        <v>54</v>
      </c>
      <c r="N1679">
        <v>5</v>
      </c>
      <c r="O1679" t="s">
        <v>57</v>
      </c>
      <c r="P1679">
        <v>16.8</v>
      </c>
      <c r="Q1679">
        <v>1552</v>
      </c>
      <c r="R1679">
        <v>5</v>
      </c>
      <c r="S1679">
        <v>0</v>
      </c>
      <c r="T1679" t="s">
        <v>32</v>
      </c>
      <c r="U1679" t="s">
        <v>42</v>
      </c>
      <c r="V1679">
        <v>243592</v>
      </c>
      <c r="W1679">
        <v>3.4</v>
      </c>
      <c r="X1679">
        <v>5</v>
      </c>
      <c r="Y1679" t="s">
        <v>43</v>
      </c>
      <c r="Z1679">
        <v>3.43</v>
      </c>
      <c r="AA1679" t="s">
        <v>35</v>
      </c>
    </row>
    <row r="1680" spans="1:27" x14ac:dyDescent="0.3">
      <c r="A1680" t="s">
        <v>52</v>
      </c>
      <c r="B1680" t="s">
        <v>55</v>
      </c>
      <c r="C1680">
        <v>2025</v>
      </c>
      <c r="D1680" t="s">
        <v>63</v>
      </c>
      <c r="E1680">
        <v>38868.67</v>
      </c>
      <c r="F1680">
        <v>48</v>
      </c>
      <c r="G1680">
        <v>150</v>
      </c>
      <c r="H1680">
        <v>335.5</v>
      </c>
      <c r="I1680">
        <v>5.15</v>
      </c>
      <c r="J1680">
        <v>171</v>
      </c>
      <c r="K1680">
        <v>305</v>
      </c>
      <c r="L1680">
        <v>320</v>
      </c>
      <c r="M1680" t="s">
        <v>30</v>
      </c>
      <c r="N1680">
        <v>7</v>
      </c>
      <c r="O1680" t="s">
        <v>57</v>
      </c>
      <c r="P1680">
        <v>33.1</v>
      </c>
      <c r="Q1680">
        <v>1522</v>
      </c>
      <c r="R1680">
        <v>4</v>
      </c>
      <c r="S1680">
        <v>2</v>
      </c>
      <c r="T1680" t="s">
        <v>47</v>
      </c>
      <c r="U1680" t="s">
        <v>42</v>
      </c>
      <c r="V1680">
        <v>420151</v>
      </c>
      <c r="W1680">
        <v>3.6</v>
      </c>
      <c r="X1680">
        <v>4</v>
      </c>
      <c r="Y1680" t="s">
        <v>43</v>
      </c>
      <c r="Z1680">
        <v>3.13</v>
      </c>
      <c r="AA1680" t="s">
        <v>35</v>
      </c>
    </row>
    <row r="1681" spans="1:27" x14ac:dyDescent="0.3">
      <c r="A1681" t="s">
        <v>44</v>
      </c>
      <c r="B1681" t="s">
        <v>45</v>
      </c>
      <c r="C1681">
        <v>2023</v>
      </c>
      <c r="D1681" t="s">
        <v>29</v>
      </c>
      <c r="E1681">
        <v>39441.22</v>
      </c>
      <c r="F1681">
        <v>70.400000000000006</v>
      </c>
      <c r="G1681">
        <v>238</v>
      </c>
      <c r="H1681">
        <v>153.9</v>
      </c>
      <c r="I1681">
        <v>3.84</v>
      </c>
      <c r="J1681">
        <v>192</v>
      </c>
      <c r="K1681">
        <v>376</v>
      </c>
      <c r="L1681">
        <v>363</v>
      </c>
      <c r="M1681" t="s">
        <v>54</v>
      </c>
      <c r="N1681">
        <v>5</v>
      </c>
      <c r="O1681" t="s">
        <v>57</v>
      </c>
      <c r="P1681">
        <v>25</v>
      </c>
      <c r="Q1681">
        <v>1534</v>
      </c>
      <c r="R1681">
        <v>3</v>
      </c>
      <c r="S1681">
        <v>0</v>
      </c>
      <c r="T1681" t="s">
        <v>47</v>
      </c>
      <c r="U1681" t="s">
        <v>42</v>
      </c>
      <c r="V1681">
        <v>9783</v>
      </c>
      <c r="W1681">
        <v>3.2</v>
      </c>
      <c r="X1681">
        <v>5</v>
      </c>
      <c r="Y1681" t="s">
        <v>34</v>
      </c>
      <c r="Z1681">
        <v>3.38</v>
      </c>
      <c r="AA1681" t="s">
        <v>43</v>
      </c>
    </row>
    <row r="1682" spans="1:27" x14ac:dyDescent="0.3">
      <c r="A1682" t="s">
        <v>71</v>
      </c>
      <c r="B1682" t="s">
        <v>72</v>
      </c>
      <c r="C1682">
        <v>2025</v>
      </c>
      <c r="D1682" t="s">
        <v>68</v>
      </c>
      <c r="E1682">
        <v>53845.68</v>
      </c>
      <c r="F1682">
        <v>43.7</v>
      </c>
      <c r="G1682">
        <v>161</v>
      </c>
      <c r="H1682">
        <v>140</v>
      </c>
      <c r="I1682">
        <v>7.79</v>
      </c>
      <c r="J1682">
        <v>125</v>
      </c>
      <c r="K1682">
        <v>606</v>
      </c>
      <c r="L1682">
        <v>573</v>
      </c>
      <c r="M1682" t="s">
        <v>30</v>
      </c>
      <c r="N1682">
        <v>7</v>
      </c>
      <c r="O1682" t="s">
        <v>56</v>
      </c>
      <c r="P1682">
        <v>18.100000000000001</v>
      </c>
      <c r="Q1682">
        <v>1522</v>
      </c>
      <c r="R1682">
        <v>4</v>
      </c>
      <c r="S1682">
        <v>1</v>
      </c>
      <c r="T1682" t="s">
        <v>73</v>
      </c>
      <c r="U1682" t="s">
        <v>42</v>
      </c>
      <c r="V1682">
        <v>196975</v>
      </c>
      <c r="W1682">
        <v>3.4</v>
      </c>
      <c r="X1682">
        <v>4</v>
      </c>
      <c r="Y1682" t="s">
        <v>61</v>
      </c>
      <c r="Z1682">
        <v>3.68</v>
      </c>
      <c r="AA1682" t="s">
        <v>35</v>
      </c>
    </row>
    <row r="1683" spans="1:27" x14ac:dyDescent="0.3">
      <c r="A1683" t="s">
        <v>132</v>
      </c>
      <c r="B1683" t="s">
        <v>133</v>
      </c>
      <c r="C1683">
        <v>2024</v>
      </c>
      <c r="D1683" t="s">
        <v>29</v>
      </c>
      <c r="E1683">
        <v>156097.01999999999</v>
      </c>
      <c r="F1683">
        <v>97.8</v>
      </c>
      <c r="G1683">
        <v>351</v>
      </c>
      <c r="H1683">
        <v>293.5</v>
      </c>
      <c r="I1683">
        <v>3.51</v>
      </c>
      <c r="J1683">
        <v>196</v>
      </c>
      <c r="K1683">
        <v>687</v>
      </c>
      <c r="L1683">
        <v>578</v>
      </c>
      <c r="M1683" t="s">
        <v>54</v>
      </c>
      <c r="N1683">
        <v>5</v>
      </c>
      <c r="O1683" t="s">
        <v>40</v>
      </c>
      <c r="P1683">
        <v>54.5</v>
      </c>
      <c r="Q1683">
        <v>2233</v>
      </c>
      <c r="R1683">
        <v>4</v>
      </c>
      <c r="S1683">
        <v>1</v>
      </c>
      <c r="T1683" t="s">
        <v>47</v>
      </c>
      <c r="U1683" t="s">
        <v>33</v>
      </c>
      <c r="V1683">
        <v>13230</v>
      </c>
      <c r="W1683">
        <v>3.5</v>
      </c>
      <c r="X1683">
        <v>5</v>
      </c>
      <c r="Y1683" t="s">
        <v>34</v>
      </c>
      <c r="Z1683">
        <v>3.59</v>
      </c>
      <c r="AA1683" t="s">
        <v>43</v>
      </c>
    </row>
    <row r="1684" spans="1:27" x14ac:dyDescent="0.3">
      <c r="A1684" t="s">
        <v>91</v>
      </c>
      <c r="B1684" t="s">
        <v>97</v>
      </c>
      <c r="C1684">
        <v>2024</v>
      </c>
      <c r="D1684" t="s">
        <v>29</v>
      </c>
      <c r="E1684">
        <v>130176.15</v>
      </c>
      <c r="F1684">
        <v>89.9</v>
      </c>
      <c r="G1684">
        <v>326</v>
      </c>
      <c r="H1684">
        <v>244.3</v>
      </c>
      <c r="I1684">
        <v>2.77</v>
      </c>
      <c r="J1684">
        <v>200</v>
      </c>
      <c r="K1684">
        <v>1000</v>
      </c>
      <c r="L1684">
        <v>942</v>
      </c>
      <c r="M1684" t="s">
        <v>39</v>
      </c>
      <c r="N1684">
        <v>7</v>
      </c>
      <c r="O1684" t="s">
        <v>46</v>
      </c>
      <c r="P1684">
        <v>75.599999999999994</v>
      </c>
      <c r="Q1684">
        <v>1584</v>
      </c>
      <c r="R1684">
        <v>4</v>
      </c>
      <c r="S1684">
        <v>1</v>
      </c>
      <c r="T1684" t="s">
        <v>32</v>
      </c>
      <c r="U1684" t="s">
        <v>33</v>
      </c>
      <c r="V1684">
        <v>59392</v>
      </c>
      <c r="W1684">
        <v>3.8</v>
      </c>
      <c r="X1684">
        <v>5</v>
      </c>
      <c r="Y1684" t="s">
        <v>34</v>
      </c>
      <c r="Z1684">
        <v>3.63</v>
      </c>
      <c r="AA1684" t="s">
        <v>35</v>
      </c>
    </row>
    <row r="1685" spans="1:27" x14ac:dyDescent="0.3">
      <c r="A1685" t="s">
        <v>58</v>
      </c>
      <c r="B1685" t="s">
        <v>70</v>
      </c>
      <c r="C1685">
        <v>2025</v>
      </c>
      <c r="D1685" t="s">
        <v>38</v>
      </c>
      <c r="E1685">
        <v>153235.91</v>
      </c>
      <c r="F1685">
        <v>48.7</v>
      </c>
      <c r="G1685">
        <v>182</v>
      </c>
      <c r="H1685">
        <v>123</v>
      </c>
      <c r="I1685">
        <v>7.52</v>
      </c>
      <c r="J1685">
        <v>133</v>
      </c>
      <c r="K1685">
        <v>973</v>
      </c>
      <c r="L1685">
        <v>889</v>
      </c>
      <c r="M1685" t="s">
        <v>54</v>
      </c>
      <c r="N1685">
        <v>7</v>
      </c>
      <c r="O1685" t="s">
        <v>65</v>
      </c>
      <c r="P1685">
        <v>21</v>
      </c>
      <c r="Q1685">
        <v>1585</v>
      </c>
      <c r="R1685">
        <v>5</v>
      </c>
      <c r="S1685">
        <v>2</v>
      </c>
      <c r="T1685" t="s">
        <v>32</v>
      </c>
      <c r="U1685" t="s">
        <v>33</v>
      </c>
      <c r="V1685">
        <v>44720</v>
      </c>
      <c r="W1685">
        <v>3.6</v>
      </c>
      <c r="X1685">
        <v>7</v>
      </c>
      <c r="Y1685" t="s">
        <v>61</v>
      </c>
      <c r="Z1685">
        <v>3.74</v>
      </c>
      <c r="AA1685" t="s">
        <v>35</v>
      </c>
    </row>
    <row r="1686" spans="1:27" x14ac:dyDescent="0.3">
      <c r="A1686" t="s">
        <v>52</v>
      </c>
      <c r="B1686" t="s">
        <v>86</v>
      </c>
      <c r="C1686">
        <v>2025</v>
      </c>
      <c r="D1686" t="s">
        <v>38</v>
      </c>
      <c r="E1686">
        <v>60275.05</v>
      </c>
      <c r="F1686">
        <v>61.4</v>
      </c>
      <c r="G1686">
        <v>220</v>
      </c>
      <c r="H1686">
        <v>267.60000000000002</v>
      </c>
      <c r="I1686">
        <v>7.92</v>
      </c>
      <c r="J1686">
        <v>143</v>
      </c>
      <c r="K1686">
        <v>423</v>
      </c>
      <c r="L1686">
        <v>399</v>
      </c>
      <c r="M1686" t="s">
        <v>30</v>
      </c>
      <c r="N1686">
        <v>7</v>
      </c>
      <c r="O1686" t="s">
        <v>40</v>
      </c>
      <c r="P1686">
        <v>69.8</v>
      </c>
      <c r="Q1686">
        <v>1918</v>
      </c>
      <c r="R1686">
        <v>4</v>
      </c>
      <c r="S1686">
        <v>3</v>
      </c>
      <c r="T1686" t="s">
        <v>47</v>
      </c>
      <c r="U1686" t="s">
        <v>42</v>
      </c>
      <c r="V1686">
        <v>226355</v>
      </c>
      <c r="W1686">
        <v>3.7</v>
      </c>
      <c r="X1686">
        <v>6</v>
      </c>
      <c r="Y1686" t="s">
        <v>61</v>
      </c>
      <c r="Z1686">
        <v>3.58</v>
      </c>
      <c r="AA1686" t="s">
        <v>35</v>
      </c>
    </row>
    <row r="1687" spans="1:27" x14ac:dyDescent="0.3">
      <c r="A1687" t="s">
        <v>58</v>
      </c>
      <c r="B1687" t="s">
        <v>105</v>
      </c>
      <c r="C1687">
        <v>2025</v>
      </c>
      <c r="D1687" t="s">
        <v>38</v>
      </c>
      <c r="E1687">
        <v>202973.51</v>
      </c>
      <c r="F1687">
        <v>74.099999999999994</v>
      </c>
      <c r="G1687">
        <v>259</v>
      </c>
      <c r="H1687">
        <v>51.6</v>
      </c>
      <c r="I1687">
        <v>6.56</v>
      </c>
      <c r="J1687">
        <v>152</v>
      </c>
      <c r="K1687">
        <v>1000</v>
      </c>
      <c r="L1687">
        <v>877</v>
      </c>
      <c r="M1687" t="s">
        <v>30</v>
      </c>
      <c r="N1687">
        <v>7</v>
      </c>
      <c r="O1687" t="s">
        <v>65</v>
      </c>
      <c r="P1687">
        <v>16.899999999999999</v>
      </c>
      <c r="Q1687">
        <v>1500</v>
      </c>
      <c r="R1687">
        <v>5</v>
      </c>
      <c r="S1687">
        <v>1</v>
      </c>
      <c r="T1687" t="s">
        <v>32</v>
      </c>
      <c r="U1687" t="s">
        <v>33</v>
      </c>
      <c r="V1687">
        <v>22987</v>
      </c>
      <c r="W1687">
        <v>3.8</v>
      </c>
      <c r="X1687">
        <v>8</v>
      </c>
      <c r="Y1687" t="s">
        <v>43</v>
      </c>
      <c r="Z1687">
        <v>3.5</v>
      </c>
      <c r="AA1687" t="s">
        <v>35</v>
      </c>
    </row>
    <row r="1688" spans="1:27" x14ac:dyDescent="0.3">
      <c r="A1688" t="s">
        <v>102</v>
      </c>
      <c r="B1688" t="s">
        <v>128</v>
      </c>
      <c r="C1688">
        <v>2021</v>
      </c>
      <c r="D1688" t="s">
        <v>29</v>
      </c>
      <c r="E1688">
        <v>113614.29</v>
      </c>
      <c r="F1688">
        <v>108.1</v>
      </c>
      <c r="G1688">
        <v>387</v>
      </c>
      <c r="H1688">
        <v>198.9</v>
      </c>
      <c r="I1688">
        <v>2.76</v>
      </c>
      <c r="J1688">
        <v>200</v>
      </c>
      <c r="K1688">
        <v>1000</v>
      </c>
      <c r="L1688">
        <v>887</v>
      </c>
      <c r="M1688" t="s">
        <v>30</v>
      </c>
      <c r="N1688">
        <v>5</v>
      </c>
      <c r="O1688" t="s">
        <v>56</v>
      </c>
      <c r="P1688">
        <v>17.5</v>
      </c>
      <c r="Q1688">
        <v>1500</v>
      </c>
      <c r="R1688">
        <v>5</v>
      </c>
      <c r="S1688">
        <v>2</v>
      </c>
      <c r="T1688" t="s">
        <v>47</v>
      </c>
      <c r="U1688" t="s">
        <v>33</v>
      </c>
      <c r="V1688">
        <v>4505</v>
      </c>
      <c r="W1688">
        <v>3.9</v>
      </c>
      <c r="X1688">
        <v>5</v>
      </c>
      <c r="Y1688" t="s">
        <v>34</v>
      </c>
      <c r="Z1688">
        <v>3.58</v>
      </c>
      <c r="AA1688" t="s">
        <v>69</v>
      </c>
    </row>
    <row r="1689" spans="1:27" x14ac:dyDescent="0.3">
      <c r="A1689" t="s">
        <v>76</v>
      </c>
      <c r="B1689" t="s">
        <v>87</v>
      </c>
      <c r="C1689">
        <v>2024</v>
      </c>
      <c r="D1689" t="s">
        <v>29</v>
      </c>
      <c r="E1689">
        <v>77513.919999999998</v>
      </c>
      <c r="F1689">
        <v>107.4</v>
      </c>
      <c r="G1689">
        <v>368</v>
      </c>
      <c r="H1689">
        <v>161.1</v>
      </c>
      <c r="I1689">
        <v>4.37</v>
      </c>
      <c r="J1689">
        <v>187</v>
      </c>
      <c r="K1689">
        <v>989</v>
      </c>
      <c r="L1689">
        <v>891</v>
      </c>
      <c r="M1689" t="s">
        <v>30</v>
      </c>
      <c r="N1689">
        <v>5</v>
      </c>
      <c r="O1689" t="s">
        <v>56</v>
      </c>
      <c r="P1689">
        <v>28</v>
      </c>
      <c r="Q1689">
        <v>1500</v>
      </c>
      <c r="R1689">
        <v>4</v>
      </c>
      <c r="S1689">
        <v>1</v>
      </c>
      <c r="T1689" t="s">
        <v>51</v>
      </c>
      <c r="U1689" t="s">
        <v>38</v>
      </c>
      <c r="V1689">
        <v>71992</v>
      </c>
      <c r="W1689">
        <v>4.0999999999999996</v>
      </c>
      <c r="X1689">
        <v>4</v>
      </c>
      <c r="Y1689" t="s">
        <v>43</v>
      </c>
      <c r="Z1689">
        <v>3.43</v>
      </c>
      <c r="AA1689" t="s">
        <v>35</v>
      </c>
    </row>
    <row r="1690" spans="1:27" x14ac:dyDescent="0.3">
      <c r="A1690" t="s">
        <v>48</v>
      </c>
      <c r="B1690" t="s">
        <v>49</v>
      </c>
      <c r="C1690">
        <v>2023</v>
      </c>
      <c r="D1690" t="s">
        <v>63</v>
      </c>
      <c r="E1690">
        <v>47384.85</v>
      </c>
      <c r="F1690">
        <v>55.2</v>
      </c>
      <c r="G1690">
        <v>193</v>
      </c>
      <c r="H1690">
        <v>52.3</v>
      </c>
      <c r="I1690">
        <v>5.67</v>
      </c>
      <c r="J1690">
        <v>168</v>
      </c>
      <c r="K1690">
        <v>503</v>
      </c>
      <c r="L1690">
        <v>431</v>
      </c>
      <c r="M1690" t="s">
        <v>39</v>
      </c>
      <c r="N1690">
        <v>7</v>
      </c>
      <c r="O1690" t="s">
        <v>40</v>
      </c>
      <c r="P1690">
        <v>64</v>
      </c>
      <c r="Q1690">
        <v>2270</v>
      </c>
      <c r="R1690">
        <v>4</v>
      </c>
      <c r="S1690">
        <v>2</v>
      </c>
      <c r="T1690" t="s">
        <v>51</v>
      </c>
      <c r="U1690" t="s">
        <v>42</v>
      </c>
      <c r="V1690">
        <v>57685</v>
      </c>
      <c r="W1690">
        <v>3.6</v>
      </c>
      <c r="X1690">
        <v>4</v>
      </c>
      <c r="Y1690" t="s">
        <v>43</v>
      </c>
      <c r="Z1690">
        <v>3.5</v>
      </c>
      <c r="AA1690" t="s">
        <v>35</v>
      </c>
    </row>
    <row r="1691" spans="1:27" x14ac:dyDescent="0.3">
      <c r="A1691" t="s">
        <v>84</v>
      </c>
      <c r="B1691" t="s">
        <v>106</v>
      </c>
      <c r="C1691">
        <v>2025</v>
      </c>
      <c r="D1691" t="s">
        <v>50</v>
      </c>
      <c r="E1691">
        <v>69671.759999999995</v>
      </c>
      <c r="F1691">
        <v>106.4</v>
      </c>
      <c r="G1691">
        <v>373</v>
      </c>
      <c r="H1691">
        <v>81.599999999999994</v>
      </c>
      <c r="I1691">
        <v>5.59</v>
      </c>
      <c r="J1691">
        <v>161</v>
      </c>
      <c r="K1691">
        <v>749</v>
      </c>
      <c r="L1691">
        <v>594</v>
      </c>
      <c r="M1691" t="s">
        <v>30</v>
      </c>
      <c r="N1691">
        <v>5</v>
      </c>
      <c r="O1691" t="s">
        <v>57</v>
      </c>
      <c r="P1691">
        <v>16.5</v>
      </c>
      <c r="Q1691">
        <v>1592</v>
      </c>
      <c r="R1691">
        <v>5</v>
      </c>
      <c r="S1691">
        <v>0</v>
      </c>
      <c r="T1691" t="s">
        <v>47</v>
      </c>
      <c r="U1691" t="s">
        <v>38</v>
      </c>
      <c r="V1691">
        <v>49288</v>
      </c>
      <c r="W1691">
        <v>4</v>
      </c>
      <c r="X1691">
        <v>4</v>
      </c>
      <c r="Y1691" t="s">
        <v>43</v>
      </c>
      <c r="Z1691">
        <v>3.51</v>
      </c>
      <c r="AA1691" t="s">
        <v>35</v>
      </c>
    </row>
    <row r="1692" spans="1:27" x14ac:dyDescent="0.3">
      <c r="A1692" t="s">
        <v>52</v>
      </c>
      <c r="B1692" t="s">
        <v>80</v>
      </c>
      <c r="C1692">
        <v>2024</v>
      </c>
      <c r="D1692" t="s">
        <v>38</v>
      </c>
      <c r="E1692">
        <v>110128.5</v>
      </c>
      <c r="F1692">
        <v>50.3</v>
      </c>
      <c r="G1692">
        <v>163</v>
      </c>
      <c r="H1692">
        <v>313.5</v>
      </c>
      <c r="I1692">
        <v>6.16</v>
      </c>
      <c r="J1692">
        <v>163</v>
      </c>
      <c r="K1692">
        <v>829</v>
      </c>
      <c r="L1692">
        <v>855</v>
      </c>
      <c r="M1692" t="s">
        <v>54</v>
      </c>
      <c r="N1692">
        <v>5</v>
      </c>
      <c r="O1692" t="s">
        <v>31</v>
      </c>
      <c r="P1692">
        <v>78.2</v>
      </c>
      <c r="Q1692">
        <v>2528</v>
      </c>
      <c r="R1692">
        <v>5</v>
      </c>
      <c r="S1692">
        <v>2</v>
      </c>
      <c r="T1692" t="s">
        <v>47</v>
      </c>
      <c r="U1692" t="s">
        <v>33</v>
      </c>
      <c r="V1692">
        <v>212436</v>
      </c>
      <c r="W1692">
        <v>3.5</v>
      </c>
      <c r="X1692">
        <v>6</v>
      </c>
      <c r="Y1692" t="s">
        <v>43</v>
      </c>
      <c r="Z1692">
        <v>3.24</v>
      </c>
      <c r="AA1692" t="s">
        <v>35</v>
      </c>
    </row>
    <row r="1693" spans="1:27" x14ac:dyDescent="0.3">
      <c r="A1693" t="s">
        <v>76</v>
      </c>
      <c r="B1693" t="s">
        <v>114</v>
      </c>
      <c r="C1693">
        <v>2025</v>
      </c>
      <c r="D1693" t="s">
        <v>68</v>
      </c>
      <c r="E1693">
        <v>63434.69</v>
      </c>
      <c r="F1693">
        <v>78</v>
      </c>
      <c r="G1693">
        <v>279</v>
      </c>
      <c r="H1693">
        <v>86</v>
      </c>
      <c r="I1693">
        <v>7.89</v>
      </c>
      <c r="J1693">
        <v>124</v>
      </c>
      <c r="K1693">
        <v>770</v>
      </c>
      <c r="L1693">
        <v>690</v>
      </c>
      <c r="M1693" t="s">
        <v>54</v>
      </c>
      <c r="N1693">
        <v>7</v>
      </c>
      <c r="O1693" t="s">
        <v>31</v>
      </c>
      <c r="P1693">
        <v>67.400000000000006</v>
      </c>
      <c r="Q1693">
        <v>2434</v>
      </c>
      <c r="R1693">
        <v>5</v>
      </c>
      <c r="S1693">
        <v>0</v>
      </c>
      <c r="T1693" t="s">
        <v>51</v>
      </c>
      <c r="U1693" t="s">
        <v>42</v>
      </c>
      <c r="V1693">
        <v>133046</v>
      </c>
      <c r="W1693">
        <v>3.7</v>
      </c>
      <c r="X1693">
        <v>4</v>
      </c>
      <c r="Y1693" t="s">
        <v>61</v>
      </c>
      <c r="Z1693">
        <v>3.58</v>
      </c>
      <c r="AA1693" t="s">
        <v>35</v>
      </c>
    </row>
    <row r="1694" spans="1:27" x14ac:dyDescent="0.3">
      <c r="A1694" t="s">
        <v>27</v>
      </c>
      <c r="B1694" t="s">
        <v>83</v>
      </c>
      <c r="C1694">
        <v>2022</v>
      </c>
      <c r="D1694" t="s">
        <v>50</v>
      </c>
      <c r="E1694">
        <v>60508.93</v>
      </c>
      <c r="F1694">
        <v>105.5</v>
      </c>
      <c r="G1694">
        <v>362</v>
      </c>
      <c r="H1694">
        <v>110.2</v>
      </c>
      <c r="I1694">
        <v>5.38</v>
      </c>
      <c r="J1694">
        <v>171</v>
      </c>
      <c r="K1694">
        <v>611</v>
      </c>
      <c r="L1694">
        <v>632</v>
      </c>
      <c r="M1694" t="s">
        <v>30</v>
      </c>
      <c r="N1694">
        <v>5</v>
      </c>
      <c r="O1694" t="s">
        <v>57</v>
      </c>
      <c r="P1694">
        <v>26.4</v>
      </c>
      <c r="Q1694">
        <v>1710</v>
      </c>
      <c r="R1694">
        <v>5</v>
      </c>
      <c r="S1694">
        <v>0</v>
      </c>
      <c r="T1694" t="s">
        <v>32</v>
      </c>
      <c r="U1694" t="s">
        <v>42</v>
      </c>
      <c r="V1694">
        <v>222081</v>
      </c>
      <c r="W1694">
        <v>3.8</v>
      </c>
      <c r="X1694">
        <v>5</v>
      </c>
      <c r="Y1694" t="s">
        <v>43</v>
      </c>
      <c r="Z1694">
        <v>3.43</v>
      </c>
      <c r="AA1694" t="s">
        <v>35</v>
      </c>
    </row>
    <row r="1695" spans="1:27" x14ac:dyDescent="0.3">
      <c r="A1695" t="s">
        <v>52</v>
      </c>
      <c r="B1695" t="s">
        <v>86</v>
      </c>
      <c r="C1695">
        <v>2023</v>
      </c>
      <c r="D1695" t="s">
        <v>29</v>
      </c>
      <c r="E1695">
        <v>111766.84</v>
      </c>
      <c r="F1695">
        <v>104.9</v>
      </c>
      <c r="G1695">
        <v>361</v>
      </c>
      <c r="H1695">
        <v>297.89999999999998</v>
      </c>
      <c r="I1695">
        <v>3.31</v>
      </c>
      <c r="J1695">
        <v>200</v>
      </c>
      <c r="K1695">
        <v>782</v>
      </c>
      <c r="L1695">
        <v>741</v>
      </c>
      <c r="M1695" t="s">
        <v>30</v>
      </c>
      <c r="N1695">
        <v>7</v>
      </c>
      <c r="O1695" t="s">
        <v>56</v>
      </c>
      <c r="P1695">
        <v>24.6</v>
      </c>
      <c r="Q1695">
        <v>1774</v>
      </c>
      <c r="R1695">
        <v>4</v>
      </c>
      <c r="S1695">
        <v>2</v>
      </c>
      <c r="T1695" t="s">
        <v>47</v>
      </c>
      <c r="U1695" t="s">
        <v>33</v>
      </c>
      <c r="V1695">
        <v>176852</v>
      </c>
      <c r="W1695">
        <v>4.0999999999999996</v>
      </c>
      <c r="X1695">
        <v>5</v>
      </c>
      <c r="Y1695" t="s">
        <v>34</v>
      </c>
      <c r="Z1695">
        <v>3.44</v>
      </c>
      <c r="AA1695" t="s">
        <v>35</v>
      </c>
    </row>
    <row r="1696" spans="1:27" x14ac:dyDescent="0.3">
      <c r="A1696" t="s">
        <v>27</v>
      </c>
      <c r="B1696" t="s">
        <v>82</v>
      </c>
      <c r="C1696">
        <v>2025</v>
      </c>
      <c r="D1696" t="s">
        <v>50</v>
      </c>
      <c r="E1696">
        <v>101757.37</v>
      </c>
      <c r="F1696">
        <v>83.1</v>
      </c>
      <c r="G1696">
        <v>278</v>
      </c>
      <c r="H1696">
        <v>142.80000000000001</v>
      </c>
      <c r="I1696">
        <v>4.8</v>
      </c>
      <c r="J1696">
        <v>176</v>
      </c>
      <c r="K1696">
        <v>1000</v>
      </c>
      <c r="L1696">
        <v>893</v>
      </c>
      <c r="M1696" t="s">
        <v>39</v>
      </c>
      <c r="N1696">
        <v>5</v>
      </c>
      <c r="O1696" t="s">
        <v>65</v>
      </c>
      <c r="P1696">
        <v>39.700000000000003</v>
      </c>
      <c r="Q1696">
        <v>1868</v>
      </c>
      <c r="R1696">
        <v>4</v>
      </c>
      <c r="S1696">
        <v>0</v>
      </c>
      <c r="T1696" t="s">
        <v>32</v>
      </c>
      <c r="U1696" t="s">
        <v>33</v>
      </c>
      <c r="V1696">
        <v>269645</v>
      </c>
      <c r="W1696">
        <v>3.6</v>
      </c>
      <c r="X1696">
        <v>5</v>
      </c>
      <c r="Y1696" t="s">
        <v>43</v>
      </c>
      <c r="Z1696">
        <v>3.35</v>
      </c>
      <c r="AA1696" t="s">
        <v>35</v>
      </c>
    </row>
    <row r="1697" spans="1:27" x14ac:dyDescent="0.3">
      <c r="A1697" t="s">
        <v>52</v>
      </c>
      <c r="B1697" t="s">
        <v>86</v>
      </c>
      <c r="C1697">
        <v>2021</v>
      </c>
      <c r="D1697" t="s">
        <v>38</v>
      </c>
      <c r="E1697">
        <v>118010.78</v>
      </c>
      <c r="F1697">
        <v>64.7</v>
      </c>
      <c r="G1697">
        <v>229</v>
      </c>
      <c r="H1697">
        <v>346.2</v>
      </c>
      <c r="I1697">
        <v>6.89</v>
      </c>
      <c r="J1697">
        <v>141</v>
      </c>
      <c r="K1697">
        <v>897</v>
      </c>
      <c r="L1697">
        <v>801</v>
      </c>
      <c r="M1697" t="s">
        <v>30</v>
      </c>
      <c r="N1697">
        <v>5</v>
      </c>
      <c r="O1697" t="s">
        <v>56</v>
      </c>
      <c r="P1697">
        <v>23.8</v>
      </c>
      <c r="Q1697">
        <v>1554</v>
      </c>
      <c r="R1697">
        <v>4</v>
      </c>
      <c r="S1697">
        <v>3</v>
      </c>
      <c r="T1697" t="s">
        <v>47</v>
      </c>
      <c r="U1697" t="s">
        <v>33</v>
      </c>
      <c r="V1697">
        <v>177339</v>
      </c>
      <c r="W1697">
        <v>3.7</v>
      </c>
      <c r="X1697">
        <v>5</v>
      </c>
      <c r="Y1697" t="s">
        <v>43</v>
      </c>
      <c r="Z1697">
        <v>3.54</v>
      </c>
      <c r="AA1697" t="s">
        <v>35</v>
      </c>
    </row>
    <row r="1698" spans="1:27" x14ac:dyDescent="0.3">
      <c r="A1698" t="s">
        <v>52</v>
      </c>
      <c r="B1698" t="s">
        <v>86</v>
      </c>
      <c r="C1698">
        <v>2024</v>
      </c>
      <c r="D1698" t="s">
        <v>38</v>
      </c>
      <c r="E1698">
        <v>80831.47</v>
      </c>
      <c r="F1698">
        <v>71.2</v>
      </c>
      <c r="G1698">
        <v>278</v>
      </c>
      <c r="H1698">
        <v>254</v>
      </c>
      <c r="I1698">
        <v>5.58</v>
      </c>
      <c r="J1698">
        <v>169</v>
      </c>
      <c r="K1698">
        <v>563</v>
      </c>
      <c r="L1698">
        <v>540</v>
      </c>
      <c r="M1698" t="s">
        <v>54</v>
      </c>
      <c r="N1698">
        <v>5</v>
      </c>
      <c r="O1698" t="s">
        <v>56</v>
      </c>
      <c r="P1698">
        <v>33.4</v>
      </c>
      <c r="Q1698">
        <v>1546</v>
      </c>
      <c r="R1698">
        <v>4</v>
      </c>
      <c r="S1698">
        <v>3</v>
      </c>
      <c r="T1698" t="s">
        <v>47</v>
      </c>
      <c r="U1698" t="s">
        <v>38</v>
      </c>
      <c r="V1698">
        <v>202000</v>
      </c>
      <c r="W1698">
        <v>3.8</v>
      </c>
      <c r="X1698">
        <v>5</v>
      </c>
      <c r="Y1698" t="s">
        <v>43</v>
      </c>
      <c r="Z1698">
        <v>3.9</v>
      </c>
      <c r="AA1698" t="s">
        <v>35</v>
      </c>
    </row>
    <row r="1699" spans="1:27" x14ac:dyDescent="0.3">
      <c r="A1699" t="s">
        <v>52</v>
      </c>
      <c r="B1699" t="s">
        <v>86</v>
      </c>
      <c r="C1699">
        <v>2021</v>
      </c>
      <c r="D1699" t="s">
        <v>50</v>
      </c>
      <c r="E1699">
        <v>118192.05</v>
      </c>
      <c r="F1699">
        <v>92.9</v>
      </c>
      <c r="G1699">
        <v>329</v>
      </c>
      <c r="H1699">
        <v>280.7</v>
      </c>
      <c r="I1699">
        <v>5.55</v>
      </c>
      <c r="J1699">
        <v>162</v>
      </c>
      <c r="K1699">
        <v>844</v>
      </c>
      <c r="L1699">
        <v>742</v>
      </c>
      <c r="M1699" t="s">
        <v>30</v>
      </c>
      <c r="N1699">
        <v>5</v>
      </c>
      <c r="O1699" t="s">
        <v>57</v>
      </c>
      <c r="P1699">
        <v>18.7</v>
      </c>
      <c r="Q1699">
        <v>1733</v>
      </c>
      <c r="R1699">
        <v>5</v>
      </c>
      <c r="S1699">
        <v>2</v>
      </c>
      <c r="T1699" t="s">
        <v>47</v>
      </c>
      <c r="U1699" t="s">
        <v>33</v>
      </c>
      <c r="V1699">
        <v>123098</v>
      </c>
      <c r="W1699">
        <v>4</v>
      </c>
      <c r="X1699">
        <v>5</v>
      </c>
      <c r="Y1699" t="s">
        <v>43</v>
      </c>
      <c r="Z1699">
        <v>3.54</v>
      </c>
      <c r="AA1699" t="s">
        <v>35</v>
      </c>
    </row>
    <row r="1700" spans="1:27" x14ac:dyDescent="0.3">
      <c r="A1700" t="s">
        <v>36</v>
      </c>
      <c r="B1700" t="s">
        <v>120</v>
      </c>
      <c r="C1700">
        <v>2025</v>
      </c>
      <c r="D1700" t="s">
        <v>68</v>
      </c>
      <c r="E1700">
        <v>48846.720000000001</v>
      </c>
      <c r="F1700">
        <v>75.400000000000006</v>
      </c>
      <c r="G1700">
        <v>274</v>
      </c>
      <c r="H1700">
        <v>136.80000000000001</v>
      </c>
      <c r="I1700">
        <v>6.03</v>
      </c>
      <c r="J1700">
        <v>159</v>
      </c>
      <c r="K1700">
        <v>399</v>
      </c>
      <c r="L1700">
        <v>387</v>
      </c>
      <c r="M1700" t="s">
        <v>30</v>
      </c>
      <c r="N1700">
        <v>7</v>
      </c>
      <c r="O1700" t="s">
        <v>57</v>
      </c>
      <c r="P1700">
        <v>20.100000000000001</v>
      </c>
      <c r="Q1700">
        <v>1542</v>
      </c>
      <c r="R1700">
        <v>5</v>
      </c>
      <c r="S1700">
        <v>0</v>
      </c>
      <c r="T1700" t="s">
        <v>41</v>
      </c>
      <c r="U1700" t="s">
        <v>42</v>
      </c>
      <c r="V1700">
        <v>21759</v>
      </c>
      <c r="W1700">
        <v>3.5</v>
      </c>
      <c r="X1700">
        <v>5</v>
      </c>
      <c r="Y1700" t="s">
        <v>43</v>
      </c>
      <c r="Z1700">
        <v>3.63</v>
      </c>
      <c r="AA1700" t="s">
        <v>35</v>
      </c>
    </row>
    <row r="1701" spans="1:27" x14ac:dyDescent="0.3">
      <c r="A1701" t="s">
        <v>48</v>
      </c>
      <c r="B1701" t="s">
        <v>123</v>
      </c>
      <c r="C1701">
        <v>2023</v>
      </c>
      <c r="D1701" t="s">
        <v>38</v>
      </c>
      <c r="E1701">
        <v>82403.5</v>
      </c>
      <c r="F1701">
        <v>78.599999999999994</v>
      </c>
      <c r="G1701">
        <v>288</v>
      </c>
      <c r="H1701">
        <v>121.4</v>
      </c>
      <c r="I1701">
        <v>6.15</v>
      </c>
      <c r="J1701">
        <v>151</v>
      </c>
      <c r="K1701">
        <v>1000</v>
      </c>
      <c r="L1701">
        <v>942</v>
      </c>
      <c r="M1701" t="s">
        <v>39</v>
      </c>
      <c r="N1701">
        <v>7</v>
      </c>
      <c r="O1701" t="s">
        <v>46</v>
      </c>
      <c r="P1701">
        <v>76.2</v>
      </c>
      <c r="Q1701">
        <v>1788</v>
      </c>
      <c r="R1701">
        <v>4</v>
      </c>
      <c r="S1701">
        <v>0</v>
      </c>
      <c r="T1701" t="s">
        <v>51</v>
      </c>
      <c r="U1701" t="s">
        <v>38</v>
      </c>
      <c r="V1701">
        <v>95064</v>
      </c>
      <c r="W1701">
        <v>3.7</v>
      </c>
      <c r="X1701">
        <v>4</v>
      </c>
      <c r="Y1701" t="s">
        <v>43</v>
      </c>
      <c r="Z1701">
        <v>3.66</v>
      </c>
      <c r="AA1701" t="s">
        <v>35</v>
      </c>
    </row>
    <row r="1702" spans="1:27" x14ac:dyDescent="0.3">
      <c r="A1702" t="s">
        <v>66</v>
      </c>
      <c r="B1702" t="s">
        <v>67</v>
      </c>
      <c r="C1702">
        <v>2024</v>
      </c>
      <c r="D1702" t="s">
        <v>63</v>
      </c>
      <c r="E1702">
        <v>85586.47</v>
      </c>
      <c r="F1702">
        <v>57.3</v>
      </c>
      <c r="G1702">
        <v>200</v>
      </c>
      <c r="H1702">
        <v>132.1</v>
      </c>
      <c r="I1702">
        <v>6.4</v>
      </c>
      <c r="J1702">
        <v>160</v>
      </c>
      <c r="K1702">
        <v>703</v>
      </c>
      <c r="L1702">
        <v>630</v>
      </c>
      <c r="M1702" t="s">
        <v>39</v>
      </c>
      <c r="N1702">
        <v>7</v>
      </c>
      <c r="O1702" t="s">
        <v>40</v>
      </c>
      <c r="P1702">
        <v>55.4</v>
      </c>
      <c r="Q1702">
        <v>1923</v>
      </c>
      <c r="R1702">
        <v>4</v>
      </c>
      <c r="S1702">
        <v>1</v>
      </c>
      <c r="T1702" t="s">
        <v>47</v>
      </c>
      <c r="U1702" t="s">
        <v>38</v>
      </c>
      <c r="V1702">
        <v>25585</v>
      </c>
      <c r="W1702">
        <v>3.2</v>
      </c>
      <c r="X1702">
        <v>4</v>
      </c>
      <c r="Y1702" t="s">
        <v>43</v>
      </c>
      <c r="Z1702">
        <v>3.49</v>
      </c>
      <c r="AA1702" t="s">
        <v>35</v>
      </c>
    </row>
    <row r="1703" spans="1:27" x14ac:dyDescent="0.3">
      <c r="A1703" t="s">
        <v>27</v>
      </c>
      <c r="B1703" t="s">
        <v>93</v>
      </c>
      <c r="C1703">
        <v>2024</v>
      </c>
      <c r="D1703" t="s">
        <v>29</v>
      </c>
      <c r="E1703">
        <v>53590.91</v>
      </c>
      <c r="F1703">
        <v>74.7</v>
      </c>
      <c r="G1703">
        <v>258</v>
      </c>
      <c r="H1703">
        <v>203.2</v>
      </c>
      <c r="I1703">
        <v>2.73</v>
      </c>
      <c r="J1703">
        <v>200</v>
      </c>
      <c r="K1703">
        <v>504</v>
      </c>
      <c r="L1703">
        <v>466</v>
      </c>
      <c r="M1703" t="s">
        <v>54</v>
      </c>
      <c r="N1703">
        <v>5</v>
      </c>
      <c r="O1703" t="s">
        <v>57</v>
      </c>
      <c r="P1703">
        <v>39.9</v>
      </c>
      <c r="Q1703">
        <v>1653</v>
      </c>
      <c r="R1703">
        <v>3</v>
      </c>
      <c r="S1703">
        <v>1</v>
      </c>
      <c r="T1703" t="s">
        <v>32</v>
      </c>
      <c r="U1703" t="s">
        <v>42</v>
      </c>
      <c r="V1703">
        <v>209815</v>
      </c>
      <c r="W1703">
        <v>3.1</v>
      </c>
      <c r="X1703">
        <v>5</v>
      </c>
      <c r="Y1703" t="s">
        <v>34</v>
      </c>
      <c r="Z1703">
        <v>3.45</v>
      </c>
      <c r="AA1703" t="s">
        <v>35</v>
      </c>
    </row>
    <row r="1704" spans="1:27" x14ac:dyDescent="0.3">
      <c r="A1704" t="s">
        <v>71</v>
      </c>
      <c r="B1704" t="s">
        <v>115</v>
      </c>
      <c r="C1704">
        <v>2022</v>
      </c>
      <c r="D1704" t="s">
        <v>68</v>
      </c>
      <c r="E1704">
        <v>70030.570000000007</v>
      </c>
      <c r="F1704">
        <v>41.8</v>
      </c>
      <c r="G1704">
        <v>150</v>
      </c>
      <c r="H1704">
        <v>149.69999999999999</v>
      </c>
      <c r="I1704">
        <v>7.64</v>
      </c>
      <c r="J1704">
        <v>133</v>
      </c>
      <c r="K1704">
        <v>743</v>
      </c>
      <c r="L1704">
        <v>623</v>
      </c>
      <c r="M1704" t="s">
        <v>39</v>
      </c>
      <c r="N1704">
        <v>7</v>
      </c>
      <c r="O1704" t="s">
        <v>56</v>
      </c>
      <c r="P1704">
        <v>18.7</v>
      </c>
      <c r="Q1704">
        <v>1558</v>
      </c>
      <c r="R1704">
        <v>3</v>
      </c>
      <c r="S1704">
        <v>1</v>
      </c>
      <c r="T1704" t="s">
        <v>73</v>
      </c>
      <c r="U1704" t="s">
        <v>38</v>
      </c>
      <c r="V1704">
        <v>187796</v>
      </c>
      <c r="W1704">
        <v>3.5</v>
      </c>
      <c r="X1704">
        <v>4</v>
      </c>
      <c r="Y1704" t="s">
        <v>61</v>
      </c>
      <c r="Z1704">
        <v>3.59</v>
      </c>
      <c r="AA1704" t="s">
        <v>35</v>
      </c>
    </row>
    <row r="1705" spans="1:27" x14ac:dyDescent="0.3">
      <c r="A1705" t="s">
        <v>76</v>
      </c>
      <c r="B1705" t="s">
        <v>117</v>
      </c>
      <c r="C1705">
        <v>2024</v>
      </c>
      <c r="D1705" t="s">
        <v>68</v>
      </c>
      <c r="E1705">
        <v>31256.77</v>
      </c>
      <c r="F1705">
        <v>68.099999999999994</v>
      </c>
      <c r="G1705">
        <v>218</v>
      </c>
      <c r="H1705">
        <v>145.69999999999999</v>
      </c>
      <c r="I1705">
        <v>7.74</v>
      </c>
      <c r="J1705">
        <v>136</v>
      </c>
      <c r="K1705">
        <v>233</v>
      </c>
      <c r="L1705">
        <v>200</v>
      </c>
      <c r="M1705" t="s">
        <v>54</v>
      </c>
      <c r="N1705">
        <v>5</v>
      </c>
      <c r="O1705" t="s">
        <v>31</v>
      </c>
      <c r="P1705">
        <v>72.8</v>
      </c>
      <c r="Q1705">
        <v>2029</v>
      </c>
      <c r="R1705">
        <v>4</v>
      </c>
      <c r="S1705">
        <v>0</v>
      </c>
      <c r="T1705" t="s">
        <v>51</v>
      </c>
      <c r="U1705" t="s">
        <v>74</v>
      </c>
      <c r="V1705">
        <v>83425</v>
      </c>
      <c r="W1705">
        <v>3.4</v>
      </c>
      <c r="X1705">
        <v>4</v>
      </c>
      <c r="Y1705" t="s">
        <v>61</v>
      </c>
      <c r="Z1705">
        <v>3.2</v>
      </c>
      <c r="AA1705" t="s">
        <v>35</v>
      </c>
    </row>
    <row r="1706" spans="1:27" x14ac:dyDescent="0.3">
      <c r="A1706" t="s">
        <v>27</v>
      </c>
      <c r="B1706" t="s">
        <v>83</v>
      </c>
      <c r="C1706">
        <v>2022</v>
      </c>
      <c r="D1706" t="s">
        <v>29</v>
      </c>
      <c r="E1706">
        <v>77144.75</v>
      </c>
      <c r="F1706">
        <v>109.8</v>
      </c>
      <c r="G1706">
        <v>367</v>
      </c>
      <c r="H1706">
        <v>177.7</v>
      </c>
      <c r="I1706">
        <v>2.66</v>
      </c>
      <c r="J1706">
        <v>200</v>
      </c>
      <c r="K1706">
        <v>840</v>
      </c>
      <c r="L1706">
        <v>732</v>
      </c>
      <c r="M1706" t="s">
        <v>54</v>
      </c>
      <c r="N1706">
        <v>7</v>
      </c>
      <c r="O1706" t="s">
        <v>57</v>
      </c>
      <c r="P1706">
        <v>21.9</v>
      </c>
      <c r="Q1706">
        <v>1500</v>
      </c>
      <c r="R1706">
        <v>5</v>
      </c>
      <c r="S1706">
        <v>1</v>
      </c>
      <c r="T1706" t="s">
        <v>32</v>
      </c>
      <c r="U1706" t="s">
        <v>38</v>
      </c>
      <c r="V1706">
        <v>280321</v>
      </c>
      <c r="W1706">
        <v>3.7</v>
      </c>
      <c r="X1706">
        <v>5</v>
      </c>
      <c r="Y1706" t="s">
        <v>34</v>
      </c>
      <c r="Z1706">
        <v>3.34</v>
      </c>
      <c r="AA1706" t="s">
        <v>35</v>
      </c>
    </row>
    <row r="1707" spans="1:27" x14ac:dyDescent="0.3">
      <c r="A1707" t="s">
        <v>52</v>
      </c>
      <c r="B1707" t="s">
        <v>53</v>
      </c>
      <c r="C1707">
        <v>2025</v>
      </c>
      <c r="D1707" t="s">
        <v>29</v>
      </c>
      <c r="E1707">
        <v>133323.67000000001</v>
      </c>
      <c r="F1707">
        <v>89.5</v>
      </c>
      <c r="G1707">
        <v>316</v>
      </c>
      <c r="H1707">
        <v>268.10000000000002</v>
      </c>
      <c r="I1707">
        <v>2.52</v>
      </c>
      <c r="J1707">
        <v>200</v>
      </c>
      <c r="K1707">
        <v>963</v>
      </c>
      <c r="L1707">
        <v>873</v>
      </c>
      <c r="M1707" t="s">
        <v>30</v>
      </c>
      <c r="N1707">
        <v>7</v>
      </c>
      <c r="O1707" t="s">
        <v>56</v>
      </c>
      <c r="P1707">
        <v>22.8</v>
      </c>
      <c r="Q1707">
        <v>1570</v>
      </c>
      <c r="R1707">
        <v>4</v>
      </c>
      <c r="S1707">
        <v>2</v>
      </c>
      <c r="T1707" t="s">
        <v>47</v>
      </c>
      <c r="U1707" t="s">
        <v>33</v>
      </c>
      <c r="V1707">
        <v>119703</v>
      </c>
      <c r="W1707">
        <v>4</v>
      </c>
      <c r="X1707">
        <v>6</v>
      </c>
      <c r="Y1707" t="s">
        <v>34</v>
      </c>
      <c r="Z1707">
        <v>3.53</v>
      </c>
      <c r="AA1707" t="s">
        <v>35</v>
      </c>
    </row>
    <row r="1708" spans="1:27" x14ac:dyDescent="0.3">
      <c r="A1708" t="s">
        <v>91</v>
      </c>
      <c r="B1708" t="s">
        <v>97</v>
      </c>
      <c r="C1708">
        <v>2025</v>
      </c>
      <c r="D1708" t="s">
        <v>68</v>
      </c>
      <c r="E1708">
        <v>61490.61</v>
      </c>
      <c r="F1708">
        <v>40.299999999999997</v>
      </c>
      <c r="G1708">
        <v>150</v>
      </c>
      <c r="H1708">
        <v>81.5</v>
      </c>
      <c r="I1708">
        <v>7.4</v>
      </c>
      <c r="J1708">
        <v>144</v>
      </c>
      <c r="K1708">
        <v>292</v>
      </c>
      <c r="L1708">
        <v>228</v>
      </c>
      <c r="M1708" t="s">
        <v>54</v>
      </c>
      <c r="N1708">
        <v>7</v>
      </c>
      <c r="O1708" t="s">
        <v>57</v>
      </c>
      <c r="P1708">
        <v>34.1</v>
      </c>
      <c r="Q1708">
        <v>1500</v>
      </c>
      <c r="R1708">
        <v>4</v>
      </c>
      <c r="S1708">
        <v>1</v>
      </c>
      <c r="T1708" t="s">
        <v>32</v>
      </c>
      <c r="U1708" t="s">
        <v>42</v>
      </c>
      <c r="V1708">
        <v>75130</v>
      </c>
      <c r="W1708">
        <v>3.4</v>
      </c>
      <c r="X1708">
        <v>5</v>
      </c>
      <c r="Y1708" t="s">
        <v>61</v>
      </c>
      <c r="Z1708">
        <v>3.72</v>
      </c>
      <c r="AA1708" t="s">
        <v>35</v>
      </c>
    </row>
    <row r="1709" spans="1:27" x14ac:dyDescent="0.3">
      <c r="A1709" t="s">
        <v>71</v>
      </c>
      <c r="B1709" t="s">
        <v>90</v>
      </c>
      <c r="C1709">
        <v>2024</v>
      </c>
      <c r="D1709" t="s">
        <v>29</v>
      </c>
      <c r="E1709">
        <v>56202.17</v>
      </c>
      <c r="F1709">
        <v>81.3</v>
      </c>
      <c r="G1709">
        <v>298</v>
      </c>
      <c r="H1709">
        <v>197.2</v>
      </c>
      <c r="I1709">
        <v>4.3899999999999997</v>
      </c>
      <c r="J1709">
        <v>188</v>
      </c>
      <c r="K1709">
        <v>586</v>
      </c>
      <c r="L1709">
        <v>567</v>
      </c>
      <c r="M1709" t="s">
        <v>54</v>
      </c>
      <c r="N1709">
        <v>5</v>
      </c>
      <c r="O1709" t="s">
        <v>57</v>
      </c>
      <c r="P1709">
        <v>31.1</v>
      </c>
      <c r="Q1709">
        <v>1500</v>
      </c>
      <c r="R1709">
        <v>5</v>
      </c>
      <c r="S1709">
        <v>1</v>
      </c>
      <c r="T1709" t="s">
        <v>73</v>
      </c>
      <c r="U1709" t="s">
        <v>42</v>
      </c>
      <c r="V1709">
        <v>225829</v>
      </c>
      <c r="W1709">
        <v>3.9</v>
      </c>
      <c r="X1709">
        <v>4</v>
      </c>
      <c r="Y1709" t="s">
        <v>43</v>
      </c>
      <c r="Z1709">
        <v>3.67</v>
      </c>
      <c r="AA1709" t="s">
        <v>35</v>
      </c>
    </row>
    <row r="1710" spans="1:27" x14ac:dyDescent="0.3">
      <c r="A1710" t="s">
        <v>91</v>
      </c>
      <c r="B1710" t="s">
        <v>97</v>
      </c>
      <c r="C1710">
        <v>2025</v>
      </c>
      <c r="D1710" t="s">
        <v>38</v>
      </c>
      <c r="E1710">
        <v>113220.74</v>
      </c>
      <c r="F1710">
        <v>50.2</v>
      </c>
      <c r="G1710">
        <v>167</v>
      </c>
      <c r="H1710">
        <v>94.6</v>
      </c>
      <c r="I1710">
        <v>6.84</v>
      </c>
      <c r="J1710">
        <v>146</v>
      </c>
      <c r="K1710">
        <v>997</v>
      </c>
      <c r="L1710">
        <v>904</v>
      </c>
      <c r="M1710" t="s">
        <v>54</v>
      </c>
      <c r="N1710">
        <v>5</v>
      </c>
      <c r="O1710" t="s">
        <v>31</v>
      </c>
      <c r="P1710">
        <v>55.7</v>
      </c>
      <c r="Q1710">
        <v>2431</v>
      </c>
      <c r="R1710">
        <v>3</v>
      </c>
      <c r="S1710">
        <v>1</v>
      </c>
      <c r="T1710" t="s">
        <v>32</v>
      </c>
      <c r="U1710" t="s">
        <v>33</v>
      </c>
      <c r="V1710">
        <v>36980</v>
      </c>
      <c r="W1710">
        <v>3.2</v>
      </c>
      <c r="X1710">
        <v>6</v>
      </c>
      <c r="Y1710" t="s">
        <v>43</v>
      </c>
      <c r="Z1710">
        <v>3.33</v>
      </c>
      <c r="AA1710" t="s">
        <v>35</v>
      </c>
    </row>
    <row r="1711" spans="1:27" x14ac:dyDescent="0.3">
      <c r="A1711" t="s">
        <v>91</v>
      </c>
      <c r="B1711" t="s">
        <v>122</v>
      </c>
      <c r="C1711">
        <v>2023</v>
      </c>
      <c r="D1711" t="s">
        <v>38</v>
      </c>
      <c r="E1711">
        <v>104739.58</v>
      </c>
      <c r="F1711">
        <v>54.5</v>
      </c>
      <c r="G1711">
        <v>189</v>
      </c>
      <c r="H1711">
        <v>91</v>
      </c>
      <c r="I1711">
        <v>6.88</v>
      </c>
      <c r="J1711">
        <v>151</v>
      </c>
      <c r="K1711">
        <v>884</v>
      </c>
      <c r="L1711">
        <v>789</v>
      </c>
      <c r="M1711" t="s">
        <v>54</v>
      </c>
      <c r="N1711">
        <v>5</v>
      </c>
      <c r="O1711" t="s">
        <v>57</v>
      </c>
      <c r="P1711">
        <v>22.4</v>
      </c>
      <c r="Q1711">
        <v>1510</v>
      </c>
      <c r="R1711">
        <v>5</v>
      </c>
      <c r="S1711">
        <v>1</v>
      </c>
      <c r="T1711" t="s">
        <v>32</v>
      </c>
      <c r="U1711" t="s">
        <v>33</v>
      </c>
      <c r="V1711">
        <v>58894</v>
      </c>
      <c r="W1711">
        <v>3.2</v>
      </c>
      <c r="X1711">
        <v>8</v>
      </c>
      <c r="Y1711" t="s">
        <v>43</v>
      </c>
      <c r="Z1711">
        <v>3.47</v>
      </c>
      <c r="AA1711" t="s">
        <v>35</v>
      </c>
    </row>
    <row r="1712" spans="1:27" x14ac:dyDescent="0.3">
      <c r="A1712" t="s">
        <v>52</v>
      </c>
      <c r="B1712" t="s">
        <v>64</v>
      </c>
      <c r="C1712">
        <v>2026</v>
      </c>
      <c r="D1712" t="s">
        <v>29</v>
      </c>
      <c r="E1712">
        <v>120237.63</v>
      </c>
      <c r="F1712">
        <v>106.4</v>
      </c>
      <c r="G1712">
        <v>374</v>
      </c>
      <c r="H1712">
        <v>218.4</v>
      </c>
      <c r="I1712">
        <v>3.84</v>
      </c>
      <c r="J1712">
        <v>197</v>
      </c>
      <c r="K1712">
        <v>876</v>
      </c>
      <c r="L1712">
        <v>755</v>
      </c>
      <c r="M1712" t="s">
        <v>30</v>
      </c>
      <c r="N1712">
        <v>5</v>
      </c>
      <c r="O1712" t="s">
        <v>46</v>
      </c>
      <c r="P1712">
        <v>63.3</v>
      </c>
      <c r="Q1712">
        <v>1725</v>
      </c>
      <c r="R1712">
        <v>3</v>
      </c>
      <c r="S1712">
        <v>2</v>
      </c>
      <c r="T1712" t="s">
        <v>47</v>
      </c>
      <c r="U1712" t="s">
        <v>33</v>
      </c>
      <c r="V1712">
        <v>139118</v>
      </c>
      <c r="W1712">
        <v>4.4000000000000004</v>
      </c>
      <c r="X1712">
        <v>5</v>
      </c>
      <c r="Y1712" t="s">
        <v>34</v>
      </c>
      <c r="Z1712">
        <v>3.52</v>
      </c>
      <c r="AA1712" t="s">
        <v>35</v>
      </c>
    </row>
    <row r="1713" spans="1:27" x14ac:dyDescent="0.3">
      <c r="A1713" t="s">
        <v>52</v>
      </c>
      <c r="B1713" t="s">
        <v>86</v>
      </c>
      <c r="C1713">
        <v>2025</v>
      </c>
      <c r="D1713" t="s">
        <v>68</v>
      </c>
      <c r="E1713">
        <v>86049.94</v>
      </c>
      <c r="F1713">
        <v>67.900000000000006</v>
      </c>
      <c r="G1713">
        <v>210</v>
      </c>
      <c r="H1713">
        <v>237.4</v>
      </c>
      <c r="I1713">
        <v>6.77</v>
      </c>
      <c r="J1713">
        <v>146</v>
      </c>
      <c r="K1713">
        <v>542</v>
      </c>
      <c r="L1713">
        <v>467</v>
      </c>
      <c r="M1713" t="s">
        <v>39</v>
      </c>
      <c r="N1713">
        <v>5</v>
      </c>
      <c r="O1713" t="s">
        <v>56</v>
      </c>
      <c r="P1713">
        <v>36</v>
      </c>
      <c r="Q1713">
        <v>1653</v>
      </c>
      <c r="R1713">
        <v>5</v>
      </c>
      <c r="S1713">
        <v>2</v>
      </c>
      <c r="T1713" t="s">
        <v>47</v>
      </c>
      <c r="U1713" t="s">
        <v>38</v>
      </c>
      <c r="V1713">
        <v>244820</v>
      </c>
      <c r="W1713">
        <v>3.6</v>
      </c>
      <c r="X1713">
        <v>6</v>
      </c>
      <c r="Y1713" t="s">
        <v>43</v>
      </c>
      <c r="Z1713">
        <v>3.09</v>
      </c>
      <c r="AA1713" t="s">
        <v>35</v>
      </c>
    </row>
    <row r="1714" spans="1:27" x14ac:dyDescent="0.3">
      <c r="A1714" t="s">
        <v>84</v>
      </c>
      <c r="B1714" t="s">
        <v>99</v>
      </c>
      <c r="C1714">
        <v>2024</v>
      </c>
      <c r="D1714" t="s">
        <v>29</v>
      </c>
      <c r="E1714">
        <v>113010.15</v>
      </c>
      <c r="F1714">
        <v>74.7</v>
      </c>
      <c r="G1714">
        <v>251</v>
      </c>
      <c r="H1714">
        <v>188</v>
      </c>
      <c r="I1714">
        <v>4.25</v>
      </c>
      <c r="J1714">
        <v>189</v>
      </c>
      <c r="K1714">
        <v>1000</v>
      </c>
      <c r="L1714">
        <v>902</v>
      </c>
      <c r="M1714" t="s">
        <v>39</v>
      </c>
      <c r="N1714">
        <v>2</v>
      </c>
      <c r="O1714" t="s">
        <v>31</v>
      </c>
      <c r="P1714">
        <v>79.2</v>
      </c>
      <c r="Q1714">
        <v>2490</v>
      </c>
      <c r="R1714">
        <v>5</v>
      </c>
      <c r="S1714">
        <v>0</v>
      </c>
      <c r="T1714" t="s">
        <v>47</v>
      </c>
      <c r="U1714" t="s">
        <v>33</v>
      </c>
      <c r="V1714">
        <v>26657</v>
      </c>
      <c r="W1714">
        <v>3.6</v>
      </c>
      <c r="X1714">
        <v>4</v>
      </c>
      <c r="Y1714" t="s">
        <v>43</v>
      </c>
      <c r="Z1714">
        <v>3.36</v>
      </c>
      <c r="AA1714" t="s">
        <v>35</v>
      </c>
    </row>
    <row r="1715" spans="1:27" x14ac:dyDescent="0.3">
      <c r="A1715" t="s">
        <v>76</v>
      </c>
      <c r="B1715" t="s">
        <v>114</v>
      </c>
      <c r="C1715">
        <v>2022</v>
      </c>
      <c r="D1715" t="s">
        <v>29</v>
      </c>
      <c r="E1715">
        <v>87757.22</v>
      </c>
      <c r="F1715">
        <v>77.5</v>
      </c>
      <c r="G1715">
        <v>262</v>
      </c>
      <c r="H1715">
        <v>248.7</v>
      </c>
      <c r="I1715">
        <v>4.12</v>
      </c>
      <c r="J1715">
        <v>194</v>
      </c>
      <c r="K1715">
        <v>1000</v>
      </c>
      <c r="L1715">
        <v>920</v>
      </c>
      <c r="M1715" t="s">
        <v>54</v>
      </c>
      <c r="N1715">
        <v>5</v>
      </c>
      <c r="O1715" t="s">
        <v>31</v>
      </c>
      <c r="P1715">
        <v>50.7</v>
      </c>
      <c r="Q1715">
        <v>2567</v>
      </c>
      <c r="R1715">
        <v>5</v>
      </c>
      <c r="S1715">
        <v>1</v>
      </c>
      <c r="T1715" t="s">
        <v>51</v>
      </c>
      <c r="U1715" t="s">
        <v>38</v>
      </c>
      <c r="V1715">
        <v>73010</v>
      </c>
      <c r="W1715">
        <v>3.4</v>
      </c>
      <c r="X1715">
        <v>5</v>
      </c>
      <c r="Y1715" t="s">
        <v>43</v>
      </c>
      <c r="Z1715">
        <v>3.38</v>
      </c>
      <c r="AA1715" t="s">
        <v>35</v>
      </c>
    </row>
    <row r="1716" spans="1:27" x14ac:dyDescent="0.3">
      <c r="A1716" t="s">
        <v>52</v>
      </c>
      <c r="B1716" t="s">
        <v>86</v>
      </c>
      <c r="C1716">
        <v>2022</v>
      </c>
      <c r="D1716" t="s">
        <v>29</v>
      </c>
      <c r="E1716">
        <v>77379.740000000005</v>
      </c>
      <c r="F1716">
        <v>110</v>
      </c>
      <c r="G1716">
        <v>373</v>
      </c>
      <c r="H1716">
        <v>304.7</v>
      </c>
      <c r="I1716">
        <v>3.07</v>
      </c>
      <c r="J1716">
        <v>200</v>
      </c>
      <c r="K1716">
        <v>581</v>
      </c>
      <c r="L1716">
        <v>500</v>
      </c>
      <c r="M1716" t="s">
        <v>30</v>
      </c>
      <c r="N1716">
        <v>5</v>
      </c>
      <c r="O1716" t="s">
        <v>65</v>
      </c>
      <c r="P1716">
        <v>20.8</v>
      </c>
      <c r="Q1716">
        <v>1602</v>
      </c>
      <c r="R1716">
        <v>3</v>
      </c>
      <c r="S1716">
        <v>2</v>
      </c>
      <c r="T1716" t="s">
        <v>47</v>
      </c>
      <c r="U1716" t="s">
        <v>38</v>
      </c>
      <c r="V1716">
        <v>238571</v>
      </c>
      <c r="W1716">
        <v>4</v>
      </c>
      <c r="X1716">
        <v>4</v>
      </c>
      <c r="Y1716" t="s">
        <v>34</v>
      </c>
      <c r="Z1716">
        <v>3.39</v>
      </c>
      <c r="AA1716" t="s">
        <v>35</v>
      </c>
    </row>
    <row r="1717" spans="1:27" x14ac:dyDescent="0.3">
      <c r="A1717" t="s">
        <v>129</v>
      </c>
      <c r="B1717" t="s">
        <v>143</v>
      </c>
      <c r="C1717">
        <v>2025</v>
      </c>
      <c r="D1717" t="s">
        <v>63</v>
      </c>
      <c r="E1717">
        <v>87551.42</v>
      </c>
      <c r="F1717">
        <v>42.1</v>
      </c>
      <c r="G1717">
        <v>150</v>
      </c>
      <c r="H1717">
        <v>86.1</v>
      </c>
      <c r="I1717">
        <v>5.87</v>
      </c>
      <c r="J1717">
        <v>156</v>
      </c>
      <c r="K1717">
        <v>745</v>
      </c>
      <c r="L1717">
        <v>643</v>
      </c>
      <c r="M1717" t="s">
        <v>30</v>
      </c>
      <c r="N1717">
        <v>5</v>
      </c>
      <c r="O1717" t="s">
        <v>31</v>
      </c>
      <c r="P1717">
        <v>58.8</v>
      </c>
      <c r="Q1717">
        <v>2197</v>
      </c>
      <c r="R1717">
        <v>4</v>
      </c>
      <c r="S1717">
        <v>1</v>
      </c>
      <c r="T1717" t="s">
        <v>131</v>
      </c>
      <c r="U1717" t="s">
        <v>38</v>
      </c>
      <c r="V1717">
        <v>28712</v>
      </c>
      <c r="W1717">
        <v>3</v>
      </c>
      <c r="X1717">
        <v>3</v>
      </c>
      <c r="Y1717" t="s">
        <v>43</v>
      </c>
      <c r="Z1717">
        <v>3.56</v>
      </c>
      <c r="AA1717" t="s">
        <v>35</v>
      </c>
    </row>
    <row r="1718" spans="1:27" x14ac:dyDescent="0.3">
      <c r="A1718" t="s">
        <v>52</v>
      </c>
      <c r="B1718" t="s">
        <v>80</v>
      </c>
      <c r="C1718">
        <v>2023</v>
      </c>
      <c r="D1718" t="s">
        <v>50</v>
      </c>
      <c r="E1718">
        <v>40789.910000000003</v>
      </c>
      <c r="F1718">
        <v>106.8</v>
      </c>
      <c r="G1718">
        <v>379</v>
      </c>
      <c r="H1718">
        <v>243.7</v>
      </c>
      <c r="I1718">
        <v>4.6500000000000004</v>
      </c>
      <c r="J1718">
        <v>177</v>
      </c>
      <c r="K1718">
        <v>282</v>
      </c>
      <c r="L1718">
        <v>226</v>
      </c>
      <c r="M1718" t="s">
        <v>54</v>
      </c>
      <c r="N1718">
        <v>7</v>
      </c>
      <c r="O1718" t="s">
        <v>31</v>
      </c>
      <c r="P1718">
        <v>59.9</v>
      </c>
      <c r="Q1718">
        <v>2247</v>
      </c>
      <c r="R1718">
        <v>5</v>
      </c>
      <c r="S1718">
        <v>2</v>
      </c>
      <c r="T1718" t="s">
        <v>47</v>
      </c>
      <c r="U1718" t="s">
        <v>42</v>
      </c>
      <c r="V1718">
        <v>187262</v>
      </c>
      <c r="W1718">
        <v>4.4000000000000004</v>
      </c>
      <c r="X1718">
        <v>6</v>
      </c>
      <c r="Y1718" t="s">
        <v>43</v>
      </c>
      <c r="Z1718">
        <v>3.55</v>
      </c>
      <c r="AA1718" t="s">
        <v>35</v>
      </c>
    </row>
    <row r="1719" spans="1:27" x14ac:dyDescent="0.3">
      <c r="A1719" t="s">
        <v>44</v>
      </c>
      <c r="B1719" t="s">
        <v>110</v>
      </c>
      <c r="C1719">
        <v>2022</v>
      </c>
      <c r="D1719" t="s">
        <v>63</v>
      </c>
      <c r="E1719">
        <v>32829.19</v>
      </c>
      <c r="F1719">
        <v>77.7</v>
      </c>
      <c r="G1719">
        <v>295</v>
      </c>
      <c r="H1719">
        <v>108.1</v>
      </c>
      <c r="I1719">
        <v>7.17</v>
      </c>
      <c r="J1719">
        <v>139</v>
      </c>
      <c r="K1719">
        <v>247</v>
      </c>
      <c r="L1719">
        <v>200</v>
      </c>
      <c r="M1719" t="s">
        <v>30</v>
      </c>
      <c r="N1719">
        <v>7</v>
      </c>
      <c r="O1719" t="s">
        <v>40</v>
      </c>
      <c r="P1719">
        <v>67.400000000000006</v>
      </c>
      <c r="Q1719">
        <v>1866</v>
      </c>
      <c r="R1719">
        <v>5</v>
      </c>
      <c r="S1719">
        <v>0</v>
      </c>
      <c r="T1719" t="s">
        <v>47</v>
      </c>
      <c r="U1719" t="s">
        <v>74</v>
      </c>
      <c r="V1719">
        <v>26546</v>
      </c>
      <c r="W1719">
        <v>3.6</v>
      </c>
      <c r="X1719">
        <v>4</v>
      </c>
      <c r="Y1719" t="s">
        <v>61</v>
      </c>
      <c r="Z1719">
        <v>3.8</v>
      </c>
      <c r="AA1719" t="s">
        <v>35</v>
      </c>
    </row>
    <row r="1720" spans="1:27" x14ac:dyDescent="0.3">
      <c r="A1720" t="s">
        <v>142</v>
      </c>
      <c r="B1720">
        <v>4</v>
      </c>
      <c r="C1720">
        <v>2023</v>
      </c>
      <c r="D1720" t="s">
        <v>29</v>
      </c>
      <c r="E1720">
        <v>90903.84</v>
      </c>
      <c r="F1720">
        <v>95</v>
      </c>
      <c r="G1720">
        <v>337</v>
      </c>
      <c r="H1720">
        <v>194.7</v>
      </c>
      <c r="I1720">
        <v>3.86</v>
      </c>
      <c r="J1720">
        <v>185</v>
      </c>
      <c r="K1720">
        <v>621</v>
      </c>
      <c r="L1720">
        <v>569</v>
      </c>
      <c r="M1720" t="s">
        <v>30</v>
      </c>
      <c r="N1720">
        <v>7</v>
      </c>
      <c r="O1720" t="s">
        <v>57</v>
      </c>
      <c r="P1720">
        <v>28.5</v>
      </c>
      <c r="Q1720">
        <v>1500</v>
      </c>
      <c r="R1720">
        <v>5</v>
      </c>
      <c r="S1720">
        <v>2</v>
      </c>
      <c r="T1720" t="s">
        <v>131</v>
      </c>
      <c r="U1720" t="s">
        <v>38</v>
      </c>
      <c r="V1720">
        <v>18672</v>
      </c>
      <c r="W1720">
        <v>3.6</v>
      </c>
      <c r="X1720">
        <v>3</v>
      </c>
      <c r="Y1720" t="s">
        <v>34</v>
      </c>
      <c r="Z1720">
        <v>3.55</v>
      </c>
      <c r="AA1720" t="s">
        <v>43</v>
      </c>
    </row>
    <row r="1721" spans="1:27" x14ac:dyDescent="0.3">
      <c r="A1721" t="s">
        <v>71</v>
      </c>
      <c r="B1721" t="s">
        <v>96</v>
      </c>
      <c r="C1721">
        <v>2023</v>
      </c>
      <c r="D1721" t="s">
        <v>50</v>
      </c>
      <c r="E1721">
        <v>98961.38</v>
      </c>
      <c r="F1721">
        <v>90.2</v>
      </c>
      <c r="G1721">
        <v>294</v>
      </c>
      <c r="H1721">
        <v>97.5</v>
      </c>
      <c r="I1721">
        <v>5.51</v>
      </c>
      <c r="J1721">
        <v>171</v>
      </c>
      <c r="K1721">
        <v>1000</v>
      </c>
      <c r="L1721">
        <v>899</v>
      </c>
      <c r="M1721" t="s">
        <v>54</v>
      </c>
      <c r="N1721">
        <v>5</v>
      </c>
      <c r="O1721" t="s">
        <v>46</v>
      </c>
      <c r="P1721">
        <v>64.7</v>
      </c>
      <c r="Q1721">
        <v>1594</v>
      </c>
      <c r="R1721">
        <v>4</v>
      </c>
      <c r="S1721">
        <v>2</v>
      </c>
      <c r="T1721" t="s">
        <v>73</v>
      </c>
      <c r="U1721" t="s">
        <v>38</v>
      </c>
      <c r="V1721">
        <v>230275</v>
      </c>
      <c r="W1721">
        <v>3.5</v>
      </c>
      <c r="X1721">
        <v>5</v>
      </c>
      <c r="Y1721" t="s">
        <v>43</v>
      </c>
      <c r="Z1721">
        <v>3.26</v>
      </c>
      <c r="AA1721" t="s">
        <v>35</v>
      </c>
    </row>
    <row r="1722" spans="1:27" x14ac:dyDescent="0.3">
      <c r="A1722" t="s">
        <v>52</v>
      </c>
      <c r="B1722" t="s">
        <v>86</v>
      </c>
      <c r="C1722">
        <v>2025</v>
      </c>
      <c r="D1722" t="s">
        <v>68</v>
      </c>
      <c r="E1722">
        <v>108924.8</v>
      </c>
      <c r="F1722">
        <v>75</v>
      </c>
      <c r="G1722">
        <v>251</v>
      </c>
      <c r="H1722">
        <v>317.10000000000002</v>
      </c>
      <c r="I1722">
        <v>5.27</v>
      </c>
      <c r="J1722">
        <v>171</v>
      </c>
      <c r="K1722">
        <v>776</v>
      </c>
      <c r="L1722">
        <v>726</v>
      </c>
      <c r="M1722" t="s">
        <v>39</v>
      </c>
      <c r="N1722">
        <v>7</v>
      </c>
      <c r="O1722" t="s">
        <v>56</v>
      </c>
      <c r="P1722">
        <v>33.5</v>
      </c>
      <c r="Q1722">
        <v>1665</v>
      </c>
      <c r="R1722">
        <v>5</v>
      </c>
      <c r="S1722">
        <v>2</v>
      </c>
      <c r="T1722" t="s">
        <v>47</v>
      </c>
      <c r="U1722" t="s">
        <v>33</v>
      </c>
      <c r="V1722">
        <v>104109</v>
      </c>
      <c r="W1722">
        <v>3.7</v>
      </c>
      <c r="X1722">
        <v>6</v>
      </c>
      <c r="Y1722" t="s">
        <v>43</v>
      </c>
      <c r="Z1722">
        <v>3.35</v>
      </c>
      <c r="AA1722" t="s">
        <v>35</v>
      </c>
    </row>
    <row r="1723" spans="1:27" x14ac:dyDescent="0.3">
      <c r="A1723" t="s">
        <v>52</v>
      </c>
      <c r="B1723" t="s">
        <v>64</v>
      </c>
      <c r="C1723">
        <v>2021</v>
      </c>
      <c r="D1723" t="s">
        <v>29</v>
      </c>
      <c r="E1723">
        <v>76847.7</v>
      </c>
      <c r="F1723">
        <v>116.8</v>
      </c>
      <c r="G1723">
        <v>418</v>
      </c>
      <c r="H1723">
        <v>242.7</v>
      </c>
      <c r="I1723">
        <v>3.9</v>
      </c>
      <c r="J1723">
        <v>197</v>
      </c>
      <c r="K1723">
        <v>454</v>
      </c>
      <c r="L1723">
        <v>476</v>
      </c>
      <c r="M1723" t="s">
        <v>54</v>
      </c>
      <c r="N1723">
        <v>7</v>
      </c>
      <c r="O1723" t="s">
        <v>57</v>
      </c>
      <c r="P1723">
        <v>20</v>
      </c>
      <c r="Q1723">
        <v>1660</v>
      </c>
      <c r="R1723">
        <v>5</v>
      </c>
      <c r="S1723">
        <v>3</v>
      </c>
      <c r="T1723" t="s">
        <v>47</v>
      </c>
      <c r="U1723" t="s">
        <v>38</v>
      </c>
      <c r="V1723">
        <v>229674</v>
      </c>
      <c r="W1723">
        <v>4</v>
      </c>
      <c r="X1723">
        <v>5</v>
      </c>
      <c r="Y1723" t="s">
        <v>34</v>
      </c>
      <c r="Z1723">
        <v>3.58</v>
      </c>
      <c r="AA1723" t="s">
        <v>35</v>
      </c>
    </row>
    <row r="1724" spans="1:27" x14ac:dyDescent="0.3">
      <c r="A1724" t="s">
        <v>71</v>
      </c>
      <c r="B1724" t="s">
        <v>115</v>
      </c>
      <c r="C1724">
        <v>2023</v>
      </c>
      <c r="D1724" t="s">
        <v>50</v>
      </c>
      <c r="E1724">
        <v>52355.75</v>
      </c>
      <c r="F1724">
        <v>87.1</v>
      </c>
      <c r="G1724">
        <v>286</v>
      </c>
      <c r="H1724">
        <v>147.80000000000001</v>
      </c>
      <c r="I1724">
        <v>4.29</v>
      </c>
      <c r="J1724">
        <v>184</v>
      </c>
      <c r="K1724">
        <v>510</v>
      </c>
      <c r="L1724">
        <v>435</v>
      </c>
      <c r="M1724" t="s">
        <v>39</v>
      </c>
      <c r="N1724">
        <v>5</v>
      </c>
      <c r="O1724" t="s">
        <v>65</v>
      </c>
      <c r="P1724">
        <v>31.3</v>
      </c>
      <c r="Q1724">
        <v>1582</v>
      </c>
      <c r="R1724">
        <v>5</v>
      </c>
      <c r="S1724">
        <v>1</v>
      </c>
      <c r="T1724" t="s">
        <v>73</v>
      </c>
      <c r="U1724" t="s">
        <v>42</v>
      </c>
      <c r="V1724">
        <v>146928</v>
      </c>
      <c r="W1724">
        <v>3.3</v>
      </c>
      <c r="X1724">
        <v>4</v>
      </c>
      <c r="Y1724" t="s">
        <v>43</v>
      </c>
      <c r="Z1724">
        <v>3.28</v>
      </c>
      <c r="AA1724" t="s">
        <v>35</v>
      </c>
    </row>
    <row r="1725" spans="1:27" x14ac:dyDescent="0.3">
      <c r="A1725" t="s">
        <v>52</v>
      </c>
      <c r="B1725" t="s">
        <v>53</v>
      </c>
      <c r="C1725">
        <v>2025</v>
      </c>
      <c r="D1725" t="s">
        <v>63</v>
      </c>
      <c r="E1725">
        <v>91015.05</v>
      </c>
      <c r="F1725">
        <v>61.8</v>
      </c>
      <c r="G1725">
        <v>227</v>
      </c>
      <c r="H1725">
        <v>258.39999999999998</v>
      </c>
      <c r="I1725">
        <v>7.27</v>
      </c>
      <c r="J1725">
        <v>141</v>
      </c>
      <c r="K1725">
        <v>616</v>
      </c>
      <c r="L1725">
        <v>518</v>
      </c>
      <c r="M1725" t="s">
        <v>54</v>
      </c>
      <c r="N1725">
        <v>7</v>
      </c>
      <c r="O1725" t="s">
        <v>40</v>
      </c>
      <c r="P1725">
        <v>63.7</v>
      </c>
      <c r="Q1725">
        <v>1936</v>
      </c>
      <c r="R1725">
        <v>5</v>
      </c>
      <c r="S1725">
        <v>3</v>
      </c>
      <c r="T1725" t="s">
        <v>47</v>
      </c>
      <c r="U1725" t="s">
        <v>38</v>
      </c>
      <c r="V1725">
        <v>229357</v>
      </c>
      <c r="W1725">
        <v>3.6</v>
      </c>
      <c r="X1725">
        <v>5</v>
      </c>
      <c r="Y1725" t="s">
        <v>61</v>
      </c>
      <c r="Z1725">
        <v>3.67</v>
      </c>
      <c r="AA1725" t="s">
        <v>35</v>
      </c>
    </row>
    <row r="1726" spans="1:27" x14ac:dyDescent="0.3">
      <c r="A1726" t="s">
        <v>44</v>
      </c>
      <c r="B1726" t="s">
        <v>109</v>
      </c>
      <c r="C1726">
        <v>2025</v>
      </c>
      <c r="D1726" t="s">
        <v>29</v>
      </c>
      <c r="E1726">
        <v>44784.34</v>
      </c>
      <c r="F1726">
        <v>93.2</v>
      </c>
      <c r="G1726">
        <v>321</v>
      </c>
      <c r="H1726">
        <v>217</v>
      </c>
      <c r="I1726">
        <v>4.45</v>
      </c>
      <c r="J1726">
        <v>182</v>
      </c>
      <c r="K1726">
        <v>436</v>
      </c>
      <c r="L1726">
        <v>366</v>
      </c>
      <c r="M1726" t="s">
        <v>30</v>
      </c>
      <c r="N1726">
        <v>5</v>
      </c>
      <c r="O1726" t="s">
        <v>56</v>
      </c>
      <c r="P1726">
        <v>37.799999999999997</v>
      </c>
      <c r="Q1726">
        <v>1677</v>
      </c>
      <c r="R1726">
        <v>5</v>
      </c>
      <c r="S1726">
        <v>2</v>
      </c>
      <c r="T1726" t="s">
        <v>47</v>
      </c>
      <c r="U1726" t="s">
        <v>42</v>
      </c>
      <c r="V1726">
        <v>7434</v>
      </c>
      <c r="W1726">
        <v>3.7</v>
      </c>
      <c r="X1726">
        <v>4</v>
      </c>
      <c r="Y1726" t="s">
        <v>43</v>
      </c>
      <c r="Z1726">
        <v>3.44</v>
      </c>
      <c r="AA1726" t="s">
        <v>43</v>
      </c>
    </row>
    <row r="1727" spans="1:27" x14ac:dyDescent="0.3">
      <c r="A1727" t="s">
        <v>52</v>
      </c>
      <c r="B1727" t="s">
        <v>53</v>
      </c>
      <c r="C1727">
        <v>2025</v>
      </c>
      <c r="D1727" t="s">
        <v>50</v>
      </c>
      <c r="E1727">
        <v>84994.49</v>
      </c>
      <c r="F1727">
        <v>96.6</v>
      </c>
      <c r="G1727">
        <v>315</v>
      </c>
      <c r="H1727">
        <v>253</v>
      </c>
      <c r="I1727">
        <v>5.61</v>
      </c>
      <c r="J1727">
        <v>161</v>
      </c>
      <c r="K1727">
        <v>617</v>
      </c>
      <c r="L1727">
        <v>558</v>
      </c>
      <c r="M1727" t="s">
        <v>54</v>
      </c>
      <c r="N1727">
        <v>5</v>
      </c>
      <c r="O1727" t="s">
        <v>65</v>
      </c>
      <c r="P1727">
        <v>15.4</v>
      </c>
      <c r="Q1727">
        <v>1655</v>
      </c>
      <c r="R1727">
        <v>4</v>
      </c>
      <c r="S1727">
        <v>2</v>
      </c>
      <c r="T1727" t="s">
        <v>47</v>
      </c>
      <c r="U1727" t="s">
        <v>38</v>
      </c>
      <c r="V1727">
        <v>246722</v>
      </c>
      <c r="W1727">
        <v>4</v>
      </c>
      <c r="X1727">
        <v>5</v>
      </c>
      <c r="Y1727" t="s">
        <v>43</v>
      </c>
      <c r="Z1727">
        <v>3.26</v>
      </c>
      <c r="AA1727" t="s">
        <v>35</v>
      </c>
    </row>
    <row r="1728" spans="1:27" x14ac:dyDescent="0.3">
      <c r="A1728" t="s">
        <v>76</v>
      </c>
      <c r="B1728" t="s">
        <v>117</v>
      </c>
      <c r="C1728">
        <v>2026</v>
      </c>
      <c r="D1728" t="s">
        <v>38</v>
      </c>
      <c r="E1728">
        <v>95007.35</v>
      </c>
      <c r="F1728">
        <v>71.5</v>
      </c>
      <c r="G1728">
        <v>249</v>
      </c>
      <c r="H1728">
        <v>140.80000000000001</v>
      </c>
      <c r="I1728">
        <v>6.71</v>
      </c>
      <c r="J1728">
        <v>152</v>
      </c>
      <c r="K1728">
        <v>1000</v>
      </c>
      <c r="L1728">
        <v>893</v>
      </c>
      <c r="M1728" t="s">
        <v>39</v>
      </c>
      <c r="N1728">
        <v>5</v>
      </c>
      <c r="O1728" t="s">
        <v>56</v>
      </c>
      <c r="P1728">
        <v>18.3</v>
      </c>
      <c r="Q1728">
        <v>1791</v>
      </c>
      <c r="R1728">
        <v>3</v>
      </c>
      <c r="S1728">
        <v>2</v>
      </c>
      <c r="T1728" t="s">
        <v>51</v>
      </c>
      <c r="U1728" t="s">
        <v>38</v>
      </c>
      <c r="V1728">
        <v>111030</v>
      </c>
      <c r="W1728">
        <v>3.2</v>
      </c>
      <c r="X1728">
        <v>3</v>
      </c>
      <c r="Y1728" t="s">
        <v>43</v>
      </c>
      <c r="Z1728">
        <v>3.48</v>
      </c>
      <c r="AA1728" t="s">
        <v>35</v>
      </c>
    </row>
    <row r="1729" spans="1:27" x14ac:dyDescent="0.3">
      <c r="A1729" t="s">
        <v>139</v>
      </c>
      <c r="B1729" t="s">
        <v>140</v>
      </c>
      <c r="C1729">
        <v>2024</v>
      </c>
      <c r="D1729" t="s">
        <v>38</v>
      </c>
      <c r="E1729">
        <v>89310.64</v>
      </c>
      <c r="F1729">
        <v>64.2</v>
      </c>
      <c r="G1729">
        <v>208</v>
      </c>
      <c r="H1729">
        <v>70.5</v>
      </c>
      <c r="I1729">
        <v>5.61</v>
      </c>
      <c r="J1729">
        <v>173</v>
      </c>
      <c r="K1729">
        <v>1000</v>
      </c>
      <c r="L1729">
        <v>910</v>
      </c>
      <c r="M1729" t="s">
        <v>30</v>
      </c>
      <c r="N1729">
        <v>5</v>
      </c>
      <c r="O1729" t="s">
        <v>40</v>
      </c>
      <c r="P1729">
        <v>56.5</v>
      </c>
      <c r="Q1729">
        <v>1829</v>
      </c>
      <c r="R1729">
        <v>4</v>
      </c>
      <c r="S1729">
        <v>0</v>
      </c>
      <c r="T1729" t="s">
        <v>73</v>
      </c>
      <c r="U1729" t="s">
        <v>38</v>
      </c>
      <c r="V1729">
        <v>29176</v>
      </c>
      <c r="W1729">
        <v>3.3</v>
      </c>
      <c r="X1729">
        <v>3</v>
      </c>
      <c r="Y1729" t="s">
        <v>43</v>
      </c>
      <c r="Z1729">
        <v>3.24</v>
      </c>
      <c r="AA1729" t="s">
        <v>35</v>
      </c>
    </row>
    <row r="1730" spans="1:27" x14ac:dyDescent="0.3">
      <c r="A1730" t="s">
        <v>84</v>
      </c>
      <c r="B1730" t="s">
        <v>85</v>
      </c>
      <c r="C1730">
        <v>2024</v>
      </c>
      <c r="D1730" t="s">
        <v>68</v>
      </c>
      <c r="E1730">
        <v>67107.539999999994</v>
      </c>
      <c r="F1730">
        <v>81.2</v>
      </c>
      <c r="G1730">
        <v>286</v>
      </c>
      <c r="H1730">
        <v>99.5</v>
      </c>
      <c r="I1730">
        <v>7.48</v>
      </c>
      <c r="J1730">
        <v>137</v>
      </c>
      <c r="K1730">
        <v>774</v>
      </c>
      <c r="L1730">
        <v>714</v>
      </c>
      <c r="M1730" t="s">
        <v>54</v>
      </c>
      <c r="N1730">
        <v>5</v>
      </c>
      <c r="O1730" t="s">
        <v>56</v>
      </c>
      <c r="P1730">
        <v>28.6</v>
      </c>
      <c r="Q1730">
        <v>1516</v>
      </c>
      <c r="R1730">
        <v>5</v>
      </c>
      <c r="S1730">
        <v>1</v>
      </c>
      <c r="T1730" t="s">
        <v>47</v>
      </c>
      <c r="U1730" t="s">
        <v>38</v>
      </c>
      <c r="V1730">
        <v>58727</v>
      </c>
      <c r="W1730">
        <v>3.6</v>
      </c>
      <c r="X1730">
        <v>3</v>
      </c>
      <c r="Y1730" t="s">
        <v>61</v>
      </c>
      <c r="Z1730">
        <v>3.52</v>
      </c>
      <c r="AA1730" t="s">
        <v>35</v>
      </c>
    </row>
    <row r="1731" spans="1:27" x14ac:dyDescent="0.3">
      <c r="A1731" t="s">
        <v>48</v>
      </c>
      <c r="B1731" t="s">
        <v>60</v>
      </c>
      <c r="C1731">
        <v>2024</v>
      </c>
      <c r="D1731" t="s">
        <v>63</v>
      </c>
      <c r="E1731">
        <v>56356.86</v>
      </c>
      <c r="F1731">
        <v>45</v>
      </c>
      <c r="G1731">
        <v>154</v>
      </c>
      <c r="H1731">
        <v>123.3</v>
      </c>
      <c r="I1731">
        <v>5.88</v>
      </c>
      <c r="J1731">
        <v>163</v>
      </c>
      <c r="K1731">
        <v>609</v>
      </c>
      <c r="L1731">
        <v>531</v>
      </c>
      <c r="M1731" t="s">
        <v>39</v>
      </c>
      <c r="N1731">
        <v>5</v>
      </c>
      <c r="O1731" t="s">
        <v>56</v>
      </c>
      <c r="P1731">
        <v>15.3</v>
      </c>
      <c r="Q1731">
        <v>1503</v>
      </c>
      <c r="R1731">
        <v>5</v>
      </c>
      <c r="S1731">
        <v>0</v>
      </c>
      <c r="T1731" t="s">
        <v>51</v>
      </c>
      <c r="U1731" t="s">
        <v>42</v>
      </c>
      <c r="V1731">
        <v>107160</v>
      </c>
      <c r="W1731">
        <v>3.3</v>
      </c>
      <c r="X1731">
        <v>3</v>
      </c>
      <c r="Y1731" t="s">
        <v>43</v>
      </c>
      <c r="Z1731">
        <v>3.42</v>
      </c>
      <c r="AA1731" t="s">
        <v>35</v>
      </c>
    </row>
    <row r="1732" spans="1:27" x14ac:dyDescent="0.3">
      <c r="A1732" t="s">
        <v>71</v>
      </c>
      <c r="B1732" t="s">
        <v>90</v>
      </c>
      <c r="C1732">
        <v>2024</v>
      </c>
      <c r="D1732" t="s">
        <v>68</v>
      </c>
      <c r="E1732">
        <v>21286.38</v>
      </c>
      <c r="F1732">
        <v>69.599999999999994</v>
      </c>
      <c r="G1732">
        <v>233</v>
      </c>
      <c r="H1732">
        <v>54.5</v>
      </c>
      <c r="I1732">
        <v>5.47</v>
      </c>
      <c r="J1732">
        <v>168</v>
      </c>
      <c r="K1732">
        <v>187</v>
      </c>
      <c r="L1732">
        <v>200</v>
      </c>
      <c r="M1732" t="s">
        <v>54</v>
      </c>
      <c r="N1732">
        <v>7</v>
      </c>
      <c r="O1732" t="s">
        <v>65</v>
      </c>
      <c r="P1732">
        <v>17.7</v>
      </c>
      <c r="Q1732">
        <v>1613</v>
      </c>
      <c r="R1732">
        <v>5</v>
      </c>
      <c r="S1732">
        <v>1</v>
      </c>
      <c r="T1732" t="s">
        <v>73</v>
      </c>
      <c r="U1732" t="s">
        <v>74</v>
      </c>
      <c r="V1732">
        <v>116507</v>
      </c>
      <c r="W1732">
        <v>3.2</v>
      </c>
      <c r="X1732">
        <v>4</v>
      </c>
      <c r="Y1732" t="s">
        <v>43</v>
      </c>
      <c r="Z1732">
        <v>3.35</v>
      </c>
      <c r="AA1732" t="s">
        <v>35</v>
      </c>
    </row>
    <row r="1733" spans="1:27" x14ac:dyDescent="0.3">
      <c r="A1733" t="s">
        <v>91</v>
      </c>
      <c r="B1733" t="s">
        <v>124</v>
      </c>
      <c r="C1733">
        <v>2025</v>
      </c>
      <c r="D1733" t="s">
        <v>50</v>
      </c>
      <c r="E1733">
        <v>88308.2</v>
      </c>
      <c r="F1733">
        <v>95.5</v>
      </c>
      <c r="G1733">
        <v>308</v>
      </c>
      <c r="H1733">
        <v>89.7</v>
      </c>
      <c r="I1733">
        <v>5.09</v>
      </c>
      <c r="J1733">
        <v>174</v>
      </c>
      <c r="K1733">
        <v>690</v>
      </c>
      <c r="L1733">
        <v>695</v>
      </c>
      <c r="M1733" t="s">
        <v>54</v>
      </c>
      <c r="N1733">
        <v>5</v>
      </c>
      <c r="O1733" t="s">
        <v>56</v>
      </c>
      <c r="P1733">
        <v>15.7</v>
      </c>
      <c r="Q1733">
        <v>1664</v>
      </c>
      <c r="R1733">
        <v>4</v>
      </c>
      <c r="S1733">
        <v>2</v>
      </c>
      <c r="T1733" t="s">
        <v>32</v>
      </c>
      <c r="U1733" t="s">
        <v>38</v>
      </c>
      <c r="V1733">
        <v>31503</v>
      </c>
      <c r="W1733">
        <v>3.5</v>
      </c>
      <c r="X1733">
        <v>6</v>
      </c>
      <c r="Y1733" t="s">
        <v>43</v>
      </c>
      <c r="Z1733">
        <v>3.23</v>
      </c>
      <c r="AA1733" t="s">
        <v>35</v>
      </c>
    </row>
    <row r="1734" spans="1:27" x14ac:dyDescent="0.3">
      <c r="A1734" t="s">
        <v>76</v>
      </c>
      <c r="B1734" t="s">
        <v>98</v>
      </c>
      <c r="C1734">
        <v>2024</v>
      </c>
      <c r="D1734" t="s">
        <v>29</v>
      </c>
      <c r="E1734">
        <v>103986.41</v>
      </c>
      <c r="F1734">
        <v>110.9</v>
      </c>
      <c r="G1734">
        <v>397</v>
      </c>
      <c r="H1734">
        <v>221.4</v>
      </c>
      <c r="I1734">
        <v>4.41</v>
      </c>
      <c r="J1734">
        <v>185</v>
      </c>
      <c r="K1734">
        <v>1000</v>
      </c>
      <c r="L1734">
        <v>904</v>
      </c>
      <c r="M1734" t="s">
        <v>30</v>
      </c>
      <c r="N1734">
        <v>7</v>
      </c>
      <c r="O1734" t="s">
        <v>65</v>
      </c>
      <c r="P1734">
        <v>34.5</v>
      </c>
      <c r="Q1734">
        <v>1595</v>
      </c>
      <c r="R1734">
        <v>5</v>
      </c>
      <c r="S1734">
        <v>1</v>
      </c>
      <c r="T1734" t="s">
        <v>51</v>
      </c>
      <c r="U1734" t="s">
        <v>33</v>
      </c>
      <c r="V1734">
        <v>106892</v>
      </c>
      <c r="W1734">
        <v>4</v>
      </c>
      <c r="X1734">
        <v>5</v>
      </c>
      <c r="Y1734" t="s">
        <v>43</v>
      </c>
      <c r="Z1734">
        <v>3.58</v>
      </c>
      <c r="AA1734" t="s">
        <v>35</v>
      </c>
    </row>
    <row r="1735" spans="1:27" x14ac:dyDescent="0.3">
      <c r="A1735" t="s">
        <v>27</v>
      </c>
      <c r="B1735" t="s">
        <v>78</v>
      </c>
      <c r="C1735">
        <v>2020</v>
      </c>
      <c r="D1735" t="s">
        <v>63</v>
      </c>
      <c r="E1735">
        <v>27139.23</v>
      </c>
      <c r="F1735">
        <v>78.900000000000006</v>
      </c>
      <c r="G1735">
        <v>261</v>
      </c>
      <c r="H1735">
        <v>95</v>
      </c>
      <c r="I1735">
        <v>7.55</v>
      </c>
      <c r="J1735">
        <v>130</v>
      </c>
      <c r="K1735">
        <v>150</v>
      </c>
      <c r="L1735">
        <v>200</v>
      </c>
      <c r="M1735" t="s">
        <v>39</v>
      </c>
      <c r="N1735">
        <v>5</v>
      </c>
      <c r="O1735" t="s">
        <v>56</v>
      </c>
      <c r="P1735">
        <v>39.4</v>
      </c>
      <c r="Q1735">
        <v>1500</v>
      </c>
      <c r="R1735">
        <v>4</v>
      </c>
      <c r="S1735">
        <v>2</v>
      </c>
      <c r="T1735" t="s">
        <v>32</v>
      </c>
      <c r="U1735" t="s">
        <v>74</v>
      </c>
      <c r="V1735">
        <v>271891</v>
      </c>
      <c r="W1735">
        <v>3.6</v>
      </c>
      <c r="X1735">
        <v>4</v>
      </c>
      <c r="Y1735" t="s">
        <v>61</v>
      </c>
      <c r="Z1735">
        <v>3.31</v>
      </c>
      <c r="AA1735" t="s">
        <v>35</v>
      </c>
    </row>
    <row r="1736" spans="1:27" x14ac:dyDescent="0.3">
      <c r="A1736" t="s">
        <v>52</v>
      </c>
      <c r="B1736" t="s">
        <v>55</v>
      </c>
      <c r="C1736">
        <v>2026</v>
      </c>
      <c r="D1736" t="s">
        <v>68</v>
      </c>
      <c r="E1736">
        <v>53435.31</v>
      </c>
      <c r="F1736">
        <v>80.3</v>
      </c>
      <c r="G1736">
        <v>259</v>
      </c>
      <c r="H1736">
        <v>339.8</v>
      </c>
      <c r="I1736">
        <v>5.59</v>
      </c>
      <c r="J1736">
        <v>162</v>
      </c>
      <c r="K1736">
        <v>390</v>
      </c>
      <c r="L1736">
        <v>389</v>
      </c>
      <c r="M1736" t="s">
        <v>54</v>
      </c>
      <c r="N1736">
        <v>7</v>
      </c>
      <c r="O1736" t="s">
        <v>56</v>
      </c>
      <c r="P1736">
        <v>33</v>
      </c>
      <c r="Q1736">
        <v>1818</v>
      </c>
      <c r="R1736">
        <v>4</v>
      </c>
      <c r="S1736">
        <v>2</v>
      </c>
      <c r="T1736" t="s">
        <v>47</v>
      </c>
      <c r="U1736" t="s">
        <v>42</v>
      </c>
      <c r="V1736">
        <v>467122</v>
      </c>
      <c r="W1736">
        <v>3.9</v>
      </c>
      <c r="X1736">
        <v>4</v>
      </c>
      <c r="Y1736" t="s">
        <v>43</v>
      </c>
      <c r="Z1736">
        <v>3.23</v>
      </c>
      <c r="AA1736" t="s">
        <v>35</v>
      </c>
    </row>
    <row r="1737" spans="1:27" x14ac:dyDescent="0.3">
      <c r="A1737" t="s">
        <v>94</v>
      </c>
      <c r="B1737" t="s">
        <v>95</v>
      </c>
      <c r="C1737">
        <v>2023</v>
      </c>
      <c r="D1737" t="s">
        <v>38</v>
      </c>
      <c r="E1737">
        <v>88280.78</v>
      </c>
      <c r="F1737">
        <v>42.7</v>
      </c>
      <c r="G1737">
        <v>156</v>
      </c>
      <c r="H1737">
        <v>52.7</v>
      </c>
      <c r="I1737">
        <v>5.05</v>
      </c>
      <c r="J1737">
        <v>173</v>
      </c>
      <c r="K1737">
        <v>560</v>
      </c>
      <c r="L1737">
        <v>546</v>
      </c>
      <c r="M1737" t="s">
        <v>30</v>
      </c>
      <c r="N1737">
        <v>5</v>
      </c>
      <c r="O1737" t="s">
        <v>57</v>
      </c>
      <c r="P1737">
        <v>32.1</v>
      </c>
      <c r="Q1737">
        <v>1737</v>
      </c>
      <c r="R1737">
        <v>4</v>
      </c>
      <c r="S1737">
        <v>1</v>
      </c>
      <c r="T1737" t="s">
        <v>32</v>
      </c>
      <c r="U1737" t="s">
        <v>38</v>
      </c>
      <c r="V1737">
        <v>66857</v>
      </c>
      <c r="W1737">
        <v>3.2</v>
      </c>
      <c r="X1737">
        <v>5</v>
      </c>
      <c r="Y1737" t="s">
        <v>43</v>
      </c>
      <c r="Z1737">
        <v>3.65</v>
      </c>
      <c r="AA1737" t="s">
        <v>35</v>
      </c>
    </row>
    <row r="1738" spans="1:27" x14ac:dyDescent="0.3">
      <c r="A1738" t="s">
        <v>27</v>
      </c>
      <c r="B1738" t="s">
        <v>82</v>
      </c>
      <c r="C1738">
        <v>2025</v>
      </c>
      <c r="D1738" t="s">
        <v>63</v>
      </c>
      <c r="E1738">
        <v>76426.720000000001</v>
      </c>
      <c r="F1738">
        <v>83.1</v>
      </c>
      <c r="G1738">
        <v>339</v>
      </c>
      <c r="H1738">
        <v>122.5</v>
      </c>
      <c r="I1738">
        <v>6.37</v>
      </c>
      <c r="J1738">
        <v>155</v>
      </c>
      <c r="K1738">
        <v>843</v>
      </c>
      <c r="L1738">
        <v>736</v>
      </c>
      <c r="M1738" t="s">
        <v>54</v>
      </c>
      <c r="N1738">
        <v>5</v>
      </c>
      <c r="O1738" t="s">
        <v>46</v>
      </c>
      <c r="P1738">
        <v>78</v>
      </c>
      <c r="Q1738">
        <v>1585</v>
      </c>
      <c r="R1738">
        <v>4</v>
      </c>
      <c r="S1738">
        <v>2</v>
      </c>
      <c r="T1738" t="s">
        <v>32</v>
      </c>
      <c r="U1738" t="s">
        <v>38</v>
      </c>
      <c r="V1738">
        <v>248734</v>
      </c>
      <c r="W1738">
        <v>3.7</v>
      </c>
      <c r="X1738">
        <v>4</v>
      </c>
      <c r="Y1738" t="s">
        <v>43</v>
      </c>
      <c r="Z1738">
        <v>4.08</v>
      </c>
      <c r="AA1738" t="s">
        <v>35</v>
      </c>
    </row>
    <row r="1739" spans="1:27" x14ac:dyDescent="0.3">
      <c r="A1739" t="s">
        <v>52</v>
      </c>
      <c r="B1739" t="s">
        <v>64</v>
      </c>
      <c r="C1739">
        <v>2023</v>
      </c>
      <c r="D1739" t="s">
        <v>63</v>
      </c>
      <c r="E1739">
        <v>45116.56</v>
      </c>
      <c r="F1739">
        <v>45.3</v>
      </c>
      <c r="G1739">
        <v>169</v>
      </c>
      <c r="H1739">
        <v>236.3</v>
      </c>
      <c r="I1739">
        <v>6.1</v>
      </c>
      <c r="J1739">
        <v>158</v>
      </c>
      <c r="K1739">
        <v>276</v>
      </c>
      <c r="L1739">
        <v>281</v>
      </c>
      <c r="M1739" t="s">
        <v>39</v>
      </c>
      <c r="N1739">
        <v>5</v>
      </c>
      <c r="O1739" t="s">
        <v>65</v>
      </c>
      <c r="P1739">
        <v>20.6</v>
      </c>
      <c r="Q1739">
        <v>1619</v>
      </c>
      <c r="R1739">
        <v>3</v>
      </c>
      <c r="S1739">
        <v>3</v>
      </c>
      <c r="T1739" t="s">
        <v>47</v>
      </c>
      <c r="U1739" t="s">
        <v>42</v>
      </c>
      <c r="V1739">
        <v>116884</v>
      </c>
      <c r="W1739">
        <v>3.6</v>
      </c>
      <c r="X1739">
        <v>5</v>
      </c>
      <c r="Y1739" t="s">
        <v>43</v>
      </c>
      <c r="Z1739">
        <v>3.73</v>
      </c>
      <c r="AA1739" t="s">
        <v>35</v>
      </c>
    </row>
    <row r="1740" spans="1:27" x14ac:dyDescent="0.3">
      <c r="A1740" t="s">
        <v>27</v>
      </c>
      <c r="B1740" t="s">
        <v>82</v>
      </c>
      <c r="C1740">
        <v>2024</v>
      </c>
      <c r="D1740" t="s">
        <v>29</v>
      </c>
      <c r="E1740">
        <v>68348.69</v>
      </c>
      <c r="F1740">
        <v>94</v>
      </c>
      <c r="G1740">
        <v>323</v>
      </c>
      <c r="H1740">
        <v>233.3</v>
      </c>
      <c r="I1740">
        <v>2.58</v>
      </c>
      <c r="J1740">
        <v>200</v>
      </c>
      <c r="K1740">
        <v>734</v>
      </c>
      <c r="L1740">
        <v>637</v>
      </c>
      <c r="M1740" t="s">
        <v>54</v>
      </c>
      <c r="N1740">
        <v>7</v>
      </c>
      <c r="O1740" t="s">
        <v>56</v>
      </c>
      <c r="P1740">
        <v>19.899999999999999</v>
      </c>
      <c r="Q1740">
        <v>1694</v>
      </c>
      <c r="R1740">
        <v>4</v>
      </c>
      <c r="S1740">
        <v>2</v>
      </c>
      <c r="T1740" t="s">
        <v>32</v>
      </c>
      <c r="U1740" t="s">
        <v>38</v>
      </c>
      <c r="V1740">
        <v>238867</v>
      </c>
      <c r="W1740">
        <v>3.7</v>
      </c>
      <c r="X1740">
        <v>5</v>
      </c>
      <c r="Y1740" t="s">
        <v>34</v>
      </c>
      <c r="Z1740">
        <v>3.44</v>
      </c>
      <c r="AA1740" t="s">
        <v>35</v>
      </c>
    </row>
    <row r="1741" spans="1:27" x14ac:dyDescent="0.3">
      <c r="A1741" t="s">
        <v>27</v>
      </c>
      <c r="B1741" t="s">
        <v>78</v>
      </c>
      <c r="C1741">
        <v>2023</v>
      </c>
      <c r="D1741" t="s">
        <v>50</v>
      </c>
      <c r="E1741">
        <v>49537.91</v>
      </c>
      <c r="F1741">
        <v>82.9</v>
      </c>
      <c r="G1741">
        <v>278</v>
      </c>
      <c r="H1741">
        <v>129.1</v>
      </c>
      <c r="I1741">
        <v>4.66</v>
      </c>
      <c r="J1741">
        <v>191</v>
      </c>
      <c r="K1741">
        <v>439</v>
      </c>
      <c r="L1741">
        <v>385</v>
      </c>
      <c r="M1741" t="s">
        <v>54</v>
      </c>
      <c r="N1741">
        <v>7</v>
      </c>
      <c r="O1741" t="s">
        <v>57</v>
      </c>
      <c r="P1741">
        <v>31.7</v>
      </c>
      <c r="Q1741">
        <v>1650</v>
      </c>
      <c r="R1741">
        <v>5</v>
      </c>
      <c r="S1741">
        <v>1</v>
      </c>
      <c r="T1741" t="s">
        <v>32</v>
      </c>
      <c r="U1741" t="s">
        <v>42</v>
      </c>
      <c r="V1741">
        <v>250021</v>
      </c>
      <c r="W1741">
        <v>3.6</v>
      </c>
      <c r="X1741">
        <v>3</v>
      </c>
      <c r="Y1741" t="s">
        <v>43</v>
      </c>
      <c r="Z1741">
        <v>3.35</v>
      </c>
      <c r="AA1741" t="s">
        <v>35</v>
      </c>
    </row>
    <row r="1742" spans="1:27" x14ac:dyDescent="0.3">
      <c r="A1742" t="s">
        <v>58</v>
      </c>
      <c r="B1742" t="s">
        <v>70</v>
      </c>
      <c r="C1742">
        <v>2025</v>
      </c>
      <c r="D1742" t="s">
        <v>50</v>
      </c>
      <c r="E1742">
        <v>111628.51</v>
      </c>
      <c r="F1742">
        <v>84.7</v>
      </c>
      <c r="G1742">
        <v>274</v>
      </c>
      <c r="H1742">
        <v>137.80000000000001</v>
      </c>
      <c r="I1742">
        <v>5.58</v>
      </c>
      <c r="J1742">
        <v>166</v>
      </c>
      <c r="K1742">
        <v>601</v>
      </c>
      <c r="L1742">
        <v>537</v>
      </c>
      <c r="M1742" t="s">
        <v>30</v>
      </c>
      <c r="N1742">
        <v>5</v>
      </c>
      <c r="O1742" t="s">
        <v>40</v>
      </c>
      <c r="P1742">
        <v>47.3</v>
      </c>
      <c r="Q1742">
        <v>1944</v>
      </c>
      <c r="R1742">
        <v>4</v>
      </c>
      <c r="S1742">
        <v>1</v>
      </c>
      <c r="T1742" t="s">
        <v>32</v>
      </c>
      <c r="U1742" t="s">
        <v>33</v>
      </c>
      <c r="V1742">
        <v>76984</v>
      </c>
      <c r="W1742">
        <v>3.7</v>
      </c>
      <c r="X1742">
        <v>6</v>
      </c>
      <c r="Y1742" t="s">
        <v>43</v>
      </c>
      <c r="Z1742">
        <v>3.23</v>
      </c>
      <c r="AA1742" t="s">
        <v>35</v>
      </c>
    </row>
    <row r="1743" spans="1:27" x14ac:dyDescent="0.3">
      <c r="A1743" t="s">
        <v>44</v>
      </c>
      <c r="B1743" t="s">
        <v>109</v>
      </c>
      <c r="C1743">
        <v>2026</v>
      </c>
      <c r="D1743" t="s">
        <v>50</v>
      </c>
      <c r="E1743">
        <v>54836.04</v>
      </c>
      <c r="F1743">
        <v>109.7</v>
      </c>
      <c r="G1743">
        <v>385</v>
      </c>
      <c r="H1743">
        <v>129.69999999999999</v>
      </c>
      <c r="I1743">
        <v>4</v>
      </c>
      <c r="J1743">
        <v>183</v>
      </c>
      <c r="K1743">
        <v>636</v>
      </c>
      <c r="L1743">
        <v>600</v>
      </c>
      <c r="M1743" t="s">
        <v>30</v>
      </c>
      <c r="N1743">
        <v>5</v>
      </c>
      <c r="O1743" t="s">
        <v>56</v>
      </c>
      <c r="P1743">
        <v>16.7</v>
      </c>
      <c r="Q1743">
        <v>1600</v>
      </c>
      <c r="R1743">
        <v>5</v>
      </c>
      <c r="S1743">
        <v>0</v>
      </c>
      <c r="T1743" t="s">
        <v>47</v>
      </c>
      <c r="U1743" t="s">
        <v>42</v>
      </c>
      <c r="V1743">
        <v>17331</v>
      </c>
      <c r="W1743">
        <v>3.8</v>
      </c>
      <c r="X1743">
        <v>5</v>
      </c>
      <c r="Y1743" t="s">
        <v>43</v>
      </c>
      <c r="Z1743">
        <v>3.51</v>
      </c>
      <c r="AA1743" t="s">
        <v>43</v>
      </c>
    </row>
    <row r="1744" spans="1:27" x14ac:dyDescent="0.3">
      <c r="A1744" t="s">
        <v>84</v>
      </c>
      <c r="B1744" t="s">
        <v>99</v>
      </c>
      <c r="C1744">
        <v>2025</v>
      </c>
      <c r="D1744" t="s">
        <v>63</v>
      </c>
      <c r="E1744">
        <v>34802.06</v>
      </c>
      <c r="F1744">
        <v>47.6</v>
      </c>
      <c r="G1744">
        <v>150</v>
      </c>
      <c r="H1744">
        <v>102.2</v>
      </c>
      <c r="I1744">
        <v>6.52</v>
      </c>
      <c r="J1744">
        <v>146</v>
      </c>
      <c r="K1744">
        <v>265</v>
      </c>
      <c r="L1744">
        <v>208</v>
      </c>
      <c r="M1744" t="s">
        <v>30</v>
      </c>
      <c r="N1744">
        <v>4</v>
      </c>
      <c r="O1744" t="s">
        <v>31</v>
      </c>
      <c r="P1744">
        <v>73.900000000000006</v>
      </c>
      <c r="Q1744">
        <v>2056</v>
      </c>
      <c r="R1744">
        <v>4</v>
      </c>
      <c r="S1744">
        <v>1</v>
      </c>
      <c r="T1744" t="s">
        <v>47</v>
      </c>
      <c r="U1744" t="s">
        <v>74</v>
      </c>
      <c r="V1744">
        <v>51835</v>
      </c>
      <c r="W1744">
        <v>3.1</v>
      </c>
      <c r="X1744">
        <v>4</v>
      </c>
      <c r="Y1744" t="s">
        <v>43</v>
      </c>
      <c r="Z1744">
        <v>3.15</v>
      </c>
      <c r="AA1744" t="s">
        <v>35</v>
      </c>
    </row>
    <row r="1745" spans="1:27" x14ac:dyDescent="0.3">
      <c r="A1745" t="s">
        <v>52</v>
      </c>
      <c r="B1745" t="s">
        <v>55</v>
      </c>
      <c r="C1745">
        <v>2022</v>
      </c>
      <c r="D1745" t="s">
        <v>68</v>
      </c>
      <c r="E1745">
        <v>93506.44</v>
      </c>
      <c r="F1745">
        <v>60.2</v>
      </c>
      <c r="G1745">
        <v>206</v>
      </c>
      <c r="H1745">
        <v>272.3</v>
      </c>
      <c r="I1745">
        <v>7.47</v>
      </c>
      <c r="J1745">
        <v>137</v>
      </c>
      <c r="K1745">
        <v>695</v>
      </c>
      <c r="L1745">
        <v>611</v>
      </c>
      <c r="M1745" t="s">
        <v>54</v>
      </c>
      <c r="N1745">
        <v>5</v>
      </c>
      <c r="O1745" t="s">
        <v>46</v>
      </c>
      <c r="P1745">
        <v>72</v>
      </c>
      <c r="Q1745">
        <v>1646</v>
      </c>
      <c r="R1745">
        <v>5</v>
      </c>
      <c r="S1745">
        <v>3</v>
      </c>
      <c r="T1745" t="s">
        <v>47</v>
      </c>
      <c r="U1745" t="s">
        <v>38</v>
      </c>
      <c r="V1745">
        <v>464918</v>
      </c>
      <c r="W1745">
        <v>3.5</v>
      </c>
      <c r="X1745">
        <v>6</v>
      </c>
      <c r="Y1745" t="s">
        <v>61</v>
      </c>
      <c r="Z1745">
        <v>3.42</v>
      </c>
      <c r="AA1745" t="s">
        <v>35</v>
      </c>
    </row>
    <row r="1746" spans="1:27" x14ac:dyDescent="0.3">
      <c r="A1746" t="s">
        <v>27</v>
      </c>
      <c r="B1746" t="s">
        <v>78</v>
      </c>
      <c r="C1746">
        <v>2024</v>
      </c>
      <c r="D1746" t="s">
        <v>68</v>
      </c>
      <c r="E1746">
        <v>79224.44</v>
      </c>
      <c r="F1746">
        <v>48.4</v>
      </c>
      <c r="G1746">
        <v>164</v>
      </c>
      <c r="H1746">
        <v>79.599999999999994</v>
      </c>
      <c r="I1746">
        <v>6.88</v>
      </c>
      <c r="J1746">
        <v>136</v>
      </c>
      <c r="K1746">
        <v>891</v>
      </c>
      <c r="L1746">
        <v>780</v>
      </c>
      <c r="M1746" t="s">
        <v>39</v>
      </c>
      <c r="N1746">
        <v>5</v>
      </c>
      <c r="O1746" t="s">
        <v>40</v>
      </c>
      <c r="P1746">
        <v>41.2</v>
      </c>
      <c r="Q1746">
        <v>2091</v>
      </c>
      <c r="R1746">
        <v>5</v>
      </c>
      <c r="S1746">
        <v>2</v>
      </c>
      <c r="T1746" t="s">
        <v>32</v>
      </c>
      <c r="U1746" t="s">
        <v>38</v>
      </c>
      <c r="V1746">
        <v>219453</v>
      </c>
      <c r="W1746">
        <v>3.5</v>
      </c>
      <c r="X1746">
        <v>4</v>
      </c>
      <c r="Y1746" t="s">
        <v>43</v>
      </c>
      <c r="Z1746">
        <v>3.39</v>
      </c>
      <c r="AA1746" t="s">
        <v>35</v>
      </c>
    </row>
    <row r="1747" spans="1:27" x14ac:dyDescent="0.3">
      <c r="A1747" t="s">
        <v>76</v>
      </c>
      <c r="B1747" t="s">
        <v>77</v>
      </c>
      <c r="C1747">
        <v>2025</v>
      </c>
      <c r="D1747" t="s">
        <v>50</v>
      </c>
      <c r="E1747">
        <v>43459.69</v>
      </c>
      <c r="F1747">
        <v>83.7</v>
      </c>
      <c r="G1747">
        <v>302</v>
      </c>
      <c r="H1747">
        <v>88.9</v>
      </c>
      <c r="I1747">
        <v>4.32</v>
      </c>
      <c r="J1747">
        <v>192</v>
      </c>
      <c r="K1747">
        <v>448</v>
      </c>
      <c r="L1747">
        <v>378</v>
      </c>
      <c r="M1747" t="s">
        <v>39</v>
      </c>
      <c r="N1747">
        <v>5</v>
      </c>
      <c r="O1747" t="s">
        <v>31</v>
      </c>
      <c r="P1747">
        <v>78.7</v>
      </c>
      <c r="Q1747">
        <v>2699</v>
      </c>
      <c r="R1747">
        <v>5</v>
      </c>
      <c r="S1747">
        <v>2</v>
      </c>
      <c r="T1747" t="s">
        <v>51</v>
      </c>
      <c r="U1747" t="s">
        <v>42</v>
      </c>
      <c r="V1747">
        <v>114002</v>
      </c>
      <c r="W1747">
        <v>3.6</v>
      </c>
      <c r="X1747">
        <v>3</v>
      </c>
      <c r="Y1747" t="s">
        <v>43</v>
      </c>
      <c r="Z1747">
        <v>3.61</v>
      </c>
      <c r="AA1747" t="s">
        <v>35</v>
      </c>
    </row>
    <row r="1748" spans="1:27" x14ac:dyDescent="0.3">
      <c r="A1748" t="s">
        <v>52</v>
      </c>
      <c r="B1748" t="s">
        <v>86</v>
      </c>
      <c r="C1748">
        <v>2021</v>
      </c>
      <c r="D1748" t="s">
        <v>38</v>
      </c>
      <c r="E1748">
        <v>100894.61</v>
      </c>
      <c r="F1748">
        <v>84.8</v>
      </c>
      <c r="G1748">
        <v>304</v>
      </c>
      <c r="H1748">
        <v>288.89999999999998</v>
      </c>
      <c r="I1748">
        <v>6.04</v>
      </c>
      <c r="J1748">
        <v>161</v>
      </c>
      <c r="K1748">
        <v>727</v>
      </c>
      <c r="L1748">
        <v>655</v>
      </c>
      <c r="M1748" t="s">
        <v>54</v>
      </c>
      <c r="N1748">
        <v>7</v>
      </c>
      <c r="O1748" t="s">
        <v>40</v>
      </c>
      <c r="P1748">
        <v>62.5</v>
      </c>
      <c r="Q1748">
        <v>1686</v>
      </c>
      <c r="R1748">
        <v>5</v>
      </c>
      <c r="S1748">
        <v>2</v>
      </c>
      <c r="T1748" t="s">
        <v>47</v>
      </c>
      <c r="U1748" t="s">
        <v>33</v>
      </c>
      <c r="V1748">
        <v>201220</v>
      </c>
      <c r="W1748">
        <v>3.9</v>
      </c>
      <c r="X1748">
        <v>5</v>
      </c>
      <c r="Y1748" t="s">
        <v>43</v>
      </c>
      <c r="Z1748">
        <v>3.58</v>
      </c>
      <c r="AA1748" t="s">
        <v>35</v>
      </c>
    </row>
    <row r="1749" spans="1:27" x14ac:dyDescent="0.3">
      <c r="A1749" t="s">
        <v>71</v>
      </c>
      <c r="B1749" t="s">
        <v>104</v>
      </c>
      <c r="C1749">
        <v>2026</v>
      </c>
      <c r="D1749" t="s">
        <v>29</v>
      </c>
      <c r="E1749">
        <v>31398.12</v>
      </c>
      <c r="F1749">
        <v>100.6</v>
      </c>
      <c r="G1749">
        <v>352</v>
      </c>
      <c r="H1749">
        <v>226.6</v>
      </c>
      <c r="I1749">
        <v>3.63</v>
      </c>
      <c r="J1749">
        <v>200</v>
      </c>
      <c r="K1749">
        <v>296</v>
      </c>
      <c r="L1749">
        <v>289</v>
      </c>
      <c r="M1749" t="s">
        <v>30</v>
      </c>
      <c r="N1749">
        <v>5</v>
      </c>
      <c r="O1749" t="s">
        <v>56</v>
      </c>
      <c r="P1749">
        <v>37.5</v>
      </c>
      <c r="Q1749">
        <v>1500</v>
      </c>
      <c r="R1749">
        <v>5</v>
      </c>
      <c r="S1749">
        <v>1</v>
      </c>
      <c r="T1749" t="s">
        <v>73</v>
      </c>
      <c r="U1749" t="s">
        <v>74</v>
      </c>
      <c r="V1749">
        <v>240918</v>
      </c>
      <c r="W1749">
        <v>3.6</v>
      </c>
      <c r="X1749">
        <v>3</v>
      </c>
      <c r="Y1749" t="s">
        <v>34</v>
      </c>
      <c r="Z1749">
        <v>3.5</v>
      </c>
      <c r="AA1749" t="s">
        <v>35</v>
      </c>
    </row>
    <row r="1750" spans="1:27" x14ac:dyDescent="0.3">
      <c r="A1750" t="s">
        <v>44</v>
      </c>
      <c r="B1750" t="s">
        <v>62</v>
      </c>
      <c r="C1750">
        <v>2024</v>
      </c>
      <c r="D1750" t="s">
        <v>50</v>
      </c>
      <c r="E1750">
        <v>85774.399999999994</v>
      </c>
      <c r="F1750">
        <v>106</v>
      </c>
      <c r="G1750">
        <v>388</v>
      </c>
      <c r="H1750">
        <v>78.3</v>
      </c>
      <c r="I1750">
        <v>4.51</v>
      </c>
      <c r="J1750">
        <v>181</v>
      </c>
      <c r="K1750">
        <v>1000</v>
      </c>
      <c r="L1750">
        <v>904</v>
      </c>
      <c r="M1750" t="s">
        <v>30</v>
      </c>
      <c r="N1750">
        <v>5</v>
      </c>
      <c r="O1750" t="s">
        <v>46</v>
      </c>
      <c r="P1750">
        <v>78.7</v>
      </c>
      <c r="Q1750">
        <v>1666</v>
      </c>
      <c r="R1750">
        <v>4</v>
      </c>
      <c r="S1750">
        <v>0</v>
      </c>
      <c r="T1750" t="s">
        <v>47</v>
      </c>
      <c r="U1750" t="s">
        <v>38</v>
      </c>
      <c r="V1750">
        <v>22091</v>
      </c>
      <c r="W1750">
        <v>3.7</v>
      </c>
      <c r="X1750">
        <v>4</v>
      </c>
      <c r="Y1750" t="s">
        <v>43</v>
      </c>
      <c r="Z1750">
        <v>3.66</v>
      </c>
      <c r="AA1750" t="s">
        <v>35</v>
      </c>
    </row>
    <row r="1751" spans="1:27" x14ac:dyDescent="0.3">
      <c r="A1751" t="s">
        <v>52</v>
      </c>
      <c r="B1751" t="s">
        <v>53</v>
      </c>
      <c r="C1751">
        <v>2023</v>
      </c>
      <c r="D1751" t="s">
        <v>29</v>
      </c>
      <c r="E1751">
        <v>53096.09</v>
      </c>
      <c r="F1751">
        <v>113.8</v>
      </c>
      <c r="G1751">
        <v>404</v>
      </c>
      <c r="H1751">
        <v>309.60000000000002</v>
      </c>
      <c r="I1751">
        <v>3.8</v>
      </c>
      <c r="J1751">
        <v>200</v>
      </c>
      <c r="K1751">
        <v>298</v>
      </c>
      <c r="L1751">
        <v>243</v>
      </c>
      <c r="M1751" t="s">
        <v>54</v>
      </c>
      <c r="N1751">
        <v>7</v>
      </c>
      <c r="O1751" t="s">
        <v>46</v>
      </c>
      <c r="P1751">
        <v>62.1</v>
      </c>
      <c r="Q1751">
        <v>1503</v>
      </c>
      <c r="R1751">
        <v>4</v>
      </c>
      <c r="S1751">
        <v>2</v>
      </c>
      <c r="T1751" t="s">
        <v>47</v>
      </c>
      <c r="U1751" t="s">
        <v>42</v>
      </c>
      <c r="V1751">
        <v>123687</v>
      </c>
      <c r="W1751">
        <v>4.3</v>
      </c>
      <c r="X1751">
        <v>5</v>
      </c>
      <c r="Y1751" t="s">
        <v>34</v>
      </c>
      <c r="Z1751">
        <v>3.55</v>
      </c>
      <c r="AA1751" t="s">
        <v>35</v>
      </c>
    </row>
    <row r="1752" spans="1:27" x14ac:dyDescent="0.3">
      <c r="A1752" t="s">
        <v>76</v>
      </c>
      <c r="B1752" t="s">
        <v>114</v>
      </c>
      <c r="C1752">
        <v>2023</v>
      </c>
      <c r="D1752" t="s">
        <v>63</v>
      </c>
      <c r="E1752">
        <v>40063.519999999997</v>
      </c>
      <c r="F1752">
        <v>83</v>
      </c>
      <c r="G1752">
        <v>298</v>
      </c>
      <c r="H1752">
        <v>123</v>
      </c>
      <c r="I1752">
        <v>7.7</v>
      </c>
      <c r="J1752">
        <v>134</v>
      </c>
      <c r="K1752">
        <v>373</v>
      </c>
      <c r="L1752">
        <v>388</v>
      </c>
      <c r="M1752" t="s">
        <v>39</v>
      </c>
      <c r="N1752">
        <v>5</v>
      </c>
      <c r="O1752" t="s">
        <v>46</v>
      </c>
      <c r="P1752">
        <v>60.2</v>
      </c>
      <c r="Q1752">
        <v>1526</v>
      </c>
      <c r="R1752">
        <v>5</v>
      </c>
      <c r="S1752">
        <v>0</v>
      </c>
      <c r="T1752" t="s">
        <v>51</v>
      </c>
      <c r="U1752" t="s">
        <v>42</v>
      </c>
      <c r="V1752">
        <v>95016</v>
      </c>
      <c r="W1752">
        <v>3.6</v>
      </c>
      <c r="X1752">
        <v>4</v>
      </c>
      <c r="Y1752" t="s">
        <v>61</v>
      </c>
      <c r="Z1752">
        <v>3.59</v>
      </c>
      <c r="AA1752" t="s">
        <v>35</v>
      </c>
    </row>
    <row r="1753" spans="1:27" x14ac:dyDescent="0.3">
      <c r="A1753" t="s">
        <v>71</v>
      </c>
      <c r="B1753" t="s">
        <v>72</v>
      </c>
      <c r="C1753">
        <v>2023</v>
      </c>
      <c r="D1753" t="s">
        <v>63</v>
      </c>
      <c r="E1753">
        <v>72565.72</v>
      </c>
      <c r="F1753">
        <v>43.8</v>
      </c>
      <c r="G1753">
        <v>153</v>
      </c>
      <c r="H1753">
        <v>127.4</v>
      </c>
      <c r="I1753">
        <v>5.45</v>
      </c>
      <c r="J1753">
        <v>175</v>
      </c>
      <c r="K1753">
        <v>799</v>
      </c>
      <c r="L1753">
        <v>748</v>
      </c>
      <c r="M1753" t="s">
        <v>54</v>
      </c>
      <c r="N1753">
        <v>7</v>
      </c>
      <c r="O1753" t="s">
        <v>56</v>
      </c>
      <c r="P1753">
        <v>22.8</v>
      </c>
      <c r="Q1753">
        <v>1591</v>
      </c>
      <c r="R1753">
        <v>5</v>
      </c>
      <c r="S1753">
        <v>1</v>
      </c>
      <c r="T1753" t="s">
        <v>73</v>
      </c>
      <c r="U1753" t="s">
        <v>38</v>
      </c>
      <c r="V1753">
        <v>193019</v>
      </c>
      <c r="W1753">
        <v>3.2</v>
      </c>
      <c r="X1753">
        <v>4</v>
      </c>
      <c r="Y1753" t="s">
        <v>43</v>
      </c>
      <c r="Z1753">
        <v>3.49</v>
      </c>
      <c r="AA1753" t="s">
        <v>35</v>
      </c>
    </row>
    <row r="1754" spans="1:27" x14ac:dyDescent="0.3">
      <c r="A1754" t="s">
        <v>52</v>
      </c>
      <c r="B1754" t="s">
        <v>64</v>
      </c>
      <c r="C1754">
        <v>2023</v>
      </c>
      <c r="D1754" t="s">
        <v>38</v>
      </c>
      <c r="E1754">
        <v>90489.19</v>
      </c>
      <c r="F1754">
        <v>66.8</v>
      </c>
      <c r="G1754">
        <v>227</v>
      </c>
      <c r="H1754">
        <v>270.60000000000002</v>
      </c>
      <c r="I1754">
        <v>7.25</v>
      </c>
      <c r="J1754">
        <v>144</v>
      </c>
      <c r="K1754">
        <v>650</v>
      </c>
      <c r="L1754">
        <v>559</v>
      </c>
      <c r="M1754" t="s">
        <v>30</v>
      </c>
      <c r="N1754">
        <v>5</v>
      </c>
      <c r="O1754" t="s">
        <v>46</v>
      </c>
      <c r="P1754">
        <v>64.7</v>
      </c>
      <c r="Q1754">
        <v>1535</v>
      </c>
      <c r="R1754">
        <v>4</v>
      </c>
      <c r="S1754">
        <v>2</v>
      </c>
      <c r="T1754" t="s">
        <v>47</v>
      </c>
      <c r="U1754" t="s">
        <v>38</v>
      </c>
      <c r="V1754">
        <v>231411</v>
      </c>
      <c r="W1754">
        <v>3.8</v>
      </c>
      <c r="X1754">
        <v>4</v>
      </c>
      <c r="Y1754" t="s">
        <v>61</v>
      </c>
      <c r="Z1754">
        <v>3.4</v>
      </c>
      <c r="AA1754" t="s">
        <v>35</v>
      </c>
    </row>
    <row r="1755" spans="1:27" x14ac:dyDescent="0.3">
      <c r="A1755" t="s">
        <v>71</v>
      </c>
      <c r="B1755" t="s">
        <v>81</v>
      </c>
      <c r="C1755">
        <v>2026</v>
      </c>
      <c r="D1755" t="s">
        <v>38</v>
      </c>
      <c r="E1755">
        <v>58741.09</v>
      </c>
      <c r="F1755">
        <v>43.2</v>
      </c>
      <c r="G1755">
        <v>166</v>
      </c>
      <c r="H1755">
        <v>146.80000000000001</v>
      </c>
      <c r="I1755">
        <v>5.12</v>
      </c>
      <c r="J1755">
        <v>171</v>
      </c>
      <c r="K1755">
        <v>609</v>
      </c>
      <c r="L1755">
        <v>553</v>
      </c>
      <c r="M1755" t="s">
        <v>54</v>
      </c>
      <c r="N1755">
        <v>5</v>
      </c>
      <c r="O1755" t="s">
        <v>65</v>
      </c>
      <c r="P1755">
        <v>27.7</v>
      </c>
      <c r="Q1755">
        <v>1654</v>
      </c>
      <c r="R1755">
        <v>5</v>
      </c>
      <c r="S1755">
        <v>0</v>
      </c>
      <c r="T1755" t="s">
        <v>73</v>
      </c>
      <c r="U1755" t="s">
        <v>42</v>
      </c>
      <c r="V1755">
        <v>193352</v>
      </c>
      <c r="W1755">
        <v>3.2</v>
      </c>
      <c r="X1755">
        <v>4</v>
      </c>
      <c r="Y1755" t="s">
        <v>43</v>
      </c>
      <c r="Z1755">
        <v>3.84</v>
      </c>
      <c r="AA1755" t="s">
        <v>35</v>
      </c>
    </row>
    <row r="1756" spans="1:27" x14ac:dyDescent="0.3">
      <c r="A1756" t="s">
        <v>132</v>
      </c>
      <c r="B1756" t="s">
        <v>147</v>
      </c>
      <c r="C1756">
        <v>2025</v>
      </c>
      <c r="D1756" t="s">
        <v>29</v>
      </c>
      <c r="E1756">
        <v>166388.92000000001</v>
      </c>
      <c r="F1756">
        <v>75.900000000000006</v>
      </c>
      <c r="G1756">
        <v>281</v>
      </c>
      <c r="H1756">
        <v>207.6</v>
      </c>
      <c r="I1756">
        <v>3.27</v>
      </c>
      <c r="J1756">
        <v>195</v>
      </c>
      <c r="K1756">
        <v>740</v>
      </c>
      <c r="L1756">
        <v>654</v>
      </c>
      <c r="M1756" t="s">
        <v>30</v>
      </c>
      <c r="N1756">
        <v>5</v>
      </c>
      <c r="O1756" t="s">
        <v>46</v>
      </c>
      <c r="P1756">
        <v>64.8</v>
      </c>
      <c r="Q1756">
        <v>1555</v>
      </c>
      <c r="R1756">
        <v>5</v>
      </c>
      <c r="S1756">
        <v>0</v>
      </c>
      <c r="T1756" t="s">
        <v>47</v>
      </c>
      <c r="U1756" t="s">
        <v>33</v>
      </c>
      <c r="V1756">
        <v>27265</v>
      </c>
      <c r="W1756">
        <v>3.3</v>
      </c>
      <c r="X1756">
        <v>5</v>
      </c>
      <c r="Y1756" t="s">
        <v>34</v>
      </c>
      <c r="Z1756">
        <v>3.7</v>
      </c>
      <c r="AA1756" t="s">
        <v>35</v>
      </c>
    </row>
    <row r="1757" spans="1:27" x14ac:dyDescent="0.3">
      <c r="A1757" t="s">
        <v>84</v>
      </c>
      <c r="B1757" t="s">
        <v>89</v>
      </c>
      <c r="C1757">
        <v>2022</v>
      </c>
      <c r="D1757" t="s">
        <v>29</v>
      </c>
      <c r="E1757">
        <v>72683.98</v>
      </c>
      <c r="F1757">
        <v>73.7</v>
      </c>
      <c r="G1757">
        <v>253</v>
      </c>
      <c r="H1757">
        <v>217.6</v>
      </c>
      <c r="I1757">
        <v>2.74</v>
      </c>
      <c r="J1757">
        <v>200</v>
      </c>
      <c r="K1757">
        <v>871</v>
      </c>
      <c r="L1757">
        <v>801</v>
      </c>
      <c r="M1757" t="s">
        <v>30</v>
      </c>
      <c r="N1757">
        <v>7</v>
      </c>
      <c r="O1757" t="s">
        <v>57</v>
      </c>
      <c r="P1757">
        <v>21.3</v>
      </c>
      <c r="Q1757">
        <v>1539</v>
      </c>
      <c r="R1757">
        <v>4</v>
      </c>
      <c r="S1757">
        <v>1</v>
      </c>
      <c r="T1757" t="s">
        <v>47</v>
      </c>
      <c r="U1757" t="s">
        <v>38</v>
      </c>
      <c r="V1757">
        <v>25267</v>
      </c>
      <c r="W1757">
        <v>3.6</v>
      </c>
      <c r="X1757">
        <v>4</v>
      </c>
      <c r="Y1757" t="s">
        <v>34</v>
      </c>
      <c r="Z1757">
        <v>3.43</v>
      </c>
      <c r="AA1757" t="s">
        <v>35</v>
      </c>
    </row>
    <row r="1758" spans="1:27" x14ac:dyDescent="0.3">
      <c r="A1758" t="s">
        <v>36</v>
      </c>
      <c r="B1758" t="s">
        <v>120</v>
      </c>
      <c r="C1758">
        <v>2021</v>
      </c>
      <c r="D1758" t="s">
        <v>29</v>
      </c>
      <c r="E1758">
        <v>93898.99</v>
      </c>
      <c r="F1758">
        <v>117.1</v>
      </c>
      <c r="G1758">
        <v>375</v>
      </c>
      <c r="H1758">
        <v>200.2</v>
      </c>
      <c r="I1758">
        <v>3.95</v>
      </c>
      <c r="J1758">
        <v>182</v>
      </c>
      <c r="K1758">
        <v>1000</v>
      </c>
      <c r="L1758">
        <v>920</v>
      </c>
      <c r="M1758" t="s">
        <v>30</v>
      </c>
      <c r="N1758">
        <v>7</v>
      </c>
      <c r="O1758" t="s">
        <v>57</v>
      </c>
      <c r="P1758">
        <v>31</v>
      </c>
      <c r="Q1758">
        <v>1520</v>
      </c>
      <c r="R1758">
        <v>5</v>
      </c>
      <c r="S1758">
        <v>0</v>
      </c>
      <c r="T1758" t="s">
        <v>41</v>
      </c>
      <c r="U1758" t="s">
        <v>38</v>
      </c>
      <c r="V1758">
        <v>29112</v>
      </c>
      <c r="W1758">
        <v>3.9</v>
      </c>
      <c r="X1758">
        <v>3</v>
      </c>
      <c r="Y1758" t="s">
        <v>34</v>
      </c>
      <c r="Z1758">
        <v>3.2</v>
      </c>
      <c r="AA1758" t="s">
        <v>35</v>
      </c>
    </row>
    <row r="1759" spans="1:27" x14ac:dyDescent="0.3">
      <c r="A1759" t="s">
        <v>76</v>
      </c>
      <c r="B1759" t="s">
        <v>87</v>
      </c>
      <c r="C1759">
        <v>2023</v>
      </c>
      <c r="D1759" t="s">
        <v>50</v>
      </c>
      <c r="E1759">
        <v>79421.070000000007</v>
      </c>
      <c r="F1759">
        <v>79.2</v>
      </c>
      <c r="G1759">
        <v>250</v>
      </c>
      <c r="H1759">
        <v>81.2</v>
      </c>
      <c r="I1759">
        <v>5.56</v>
      </c>
      <c r="J1759">
        <v>164</v>
      </c>
      <c r="K1759">
        <v>981</v>
      </c>
      <c r="L1759">
        <v>917</v>
      </c>
      <c r="M1759" t="s">
        <v>39</v>
      </c>
      <c r="N1759">
        <v>7</v>
      </c>
      <c r="O1759" t="s">
        <v>46</v>
      </c>
      <c r="P1759">
        <v>75.8</v>
      </c>
      <c r="Q1759">
        <v>1500</v>
      </c>
      <c r="R1759">
        <v>5</v>
      </c>
      <c r="S1759">
        <v>2</v>
      </c>
      <c r="T1759" t="s">
        <v>51</v>
      </c>
      <c r="U1759" t="s">
        <v>38</v>
      </c>
      <c r="V1759">
        <v>120050</v>
      </c>
      <c r="W1759">
        <v>3.4</v>
      </c>
      <c r="X1759">
        <v>3</v>
      </c>
      <c r="Y1759" t="s">
        <v>43</v>
      </c>
      <c r="Z1759">
        <v>3.16</v>
      </c>
      <c r="AA1759" t="s">
        <v>35</v>
      </c>
    </row>
    <row r="1760" spans="1:27" x14ac:dyDescent="0.3">
      <c r="A1760" t="s">
        <v>52</v>
      </c>
      <c r="B1760" t="s">
        <v>53</v>
      </c>
      <c r="C1760">
        <v>2022</v>
      </c>
      <c r="D1760" t="s">
        <v>38</v>
      </c>
      <c r="E1760">
        <v>78038.19</v>
      </c>
      <c r="F1760">
        <v>59.8</v>
      </c>
      <c r="G1760">
        <v>219</v>
      </c>
      <c r="H1760">
        <v>334</v>
      </c>
      <c r="I1760">
        <v>6.2</v>
      </c>
      <c r="J1760">
        <v>162</v>
      </c>
      <c r="K1760">
        <v>544</v>
      </c>
      <c r="L1760">
        <v>487</v>
      </c>
      <c r="M1760" t="s">
        <v>30</v>
      </c>
      <c r="N1760">
        <v>7</v>
      </c>
      <c r="O1760" t="s">
        <v>57</v>
      </c>
      <c r="P1760">
        <v>26.6</v>
      </c>
      <c r="Q1760">
        <v>1704</v>
      </c>
      <c r="R1760">
        <v>3</v>
      </c>
      <c r="S1760">
        <v>3</v>
      </c>
      <c r="T1760" t="s">
        <v>47</v>
      </c>
      <c r="U1760" t="s">
        <v>38</v>
      </c>
      <c r="V1760">
        <v>156841</v>
      </c>
      <c r="W1760">
        <v>3.6</v>
      </c>
      <c r="X1760">
        <v>4</v>
      </c>
      <c r="Y1760" t="s">
        <v>43</v>
      </c>
      <c r="Z1760">
        <v>3.66</v>
      </c>
      <c r="AA1760" t="s">
        <v>35</v>
      </c>
    </row>
    <row r="1761" spans="1:27" x14ac:dyDescent="0.3">
      <c r="A1761" t="s">
        <v>48</v>
      </c>
      <c r="B1761" t="s">
        <v>60</v>
      </c>
      <c r="C1761">
        <v>2026</v>
      </c>
      <c r="D1761" t="s">
        <v>29</v>
      </c>
      <c r="E1761">
        <v>89456.85</v>
      </c>
      <c r="F1761">
        <v>106.6</v>
      </c>
      <c r="G1761">
        <v>392</v>
      </c>
      <c r="H1761">
        <v>226.2</v>
      </c>
      <c r="I1761">
        <v>3.68</v>
      </c>
      <c r="J1761">
        <v>199</v>
      </c>
      <c r="K1761">
        <v>1000</v>
      </c>
      <c r="L1761">
        <v>879</v>
      </c>
      <c r="M1761" t="s">
        <v>54</v>
      </c>
      <c r="N1761">
        <v>7</v>
      </c>
      <c r="O1761" t="s">
        <v>46</v>
      </c>
      <c r="P1761">
        <v>67.599999999999994</v>
      </c>
      <c r="Q1761">
        <v>1577</v>
      </c>
      <c r="R1761">
        <v>4</v>
      </c>
      <c r="S1761">
        <v>0</v>
      </c>
      <c r="T1761" t="s">
        <v>51</v>
      </c>
      <c r="U1761" t="s">
        <v>38</v>
      </c>
      <c r="V1761">
        <v>55244</v>
      </c>
      <c r="W1761">
        <v>4</v>
      </c>
      <c r="X1761">
        <v>4</v>
      </c>
      <c r="Y1761" t="s">
        <v>34</v>
      </c>
      <c r="Z1761">
        <v>3.68</v>
      </c>
      <c r="AA1761" t="s">
        <v>35</v>
      </c>
    </row>
    <row r="1762" spans="1:27" x14ac:dyDescent="0.3">
      <c r="A1762" t="s">
        <v>27</v>
      </c>
      <c r="B1762" t="s">
        <v>93</v>
      </c>
      <c r="C1762">
        <v>2020</v>
      </c>
      <c r="D1762" t="s">
        <v>50</v>
      </c>
      <c r="E1762">
        <v>81317.3</v>
      </c>
      <c r="F1762">
        <v>77.900000000000006</v>
      </c>
      <c r="G1762">
        <v>298</v>
      </c>
      <c r="H1762">
        <v>145.69999999999999</v>
      </c>
      <c r="I1762">
        <v>4.33</v>
      </c>
      <c r="J1762">
        <v>182</v>
      </c>
      <c r="K1762">
        <v>894</v>
      </c>
      <c r="L1762">
        <v>772</v>
      </c>
      <c r="M1762" t="s">
        <v>54</v>
      </c>
      <c r="N1762">
        <v>7</v>
      </c>
      <c r="O1762" t="s">
        <v>31</v>
      </c>
      <c r="P1762">
        <v>71.7</v>
      </c>
      <c r="Q1762">
        <v>2388</v>
      </c>
      <c r="R1762">
        <v>4</v>
      </c>
      <c r="S1762">
        <v>2</v>
      </c>
      <c r="T1762" t="s">
        <v>32</v>
      </c>
      <c r="U1762" t="s">
        <v>38</v>
      </c>
      <c r="V1762">
        <v>205086</v>
      </c>
      <c r="W1762">
        <v>3.6</v>
      </c>
      <c r="X1762">
        <v>3</v>
      </c>
      <c r="Y1762" t="s">
        <v>43</v>
      </c>
      <c r="Z1762">
        <v>3.83</v>
      </c>
      <c r="AA1762" t="s">
        <v>35</v>
      </c>
    </row>
    <row r="1763" spans="1:27" x14ac:dyDescent="0.3">
      <c r="A1763" t="s">
        <v>58</v>
      </c>
      <c r="B1763" t="s">
        <v>111</v>
      </c>
      <c r="C1763">
        <v>2021</v>
      </c>
      <c r="D1763" t="s">
        <v>50</v>
      </c>
      <c r="E1763">
        <v>133886.35</v>
      </c>
      <c r="F1763">
        <v>108.5</v>
      </c>
      <c r="G1763">
        <v>379</v>
      </c>
      <c r="H1763">
        <v>137.9</v>
      </c>
      <c r="I1763">
        <v>5.63</v>
      </c>
      <c r="J1763">
        <v>159</v>
      </c>
      <c r="K1763">
        <v>810</v>
      </c>
      <c r="L1763">
        <v>741</v>
      </c>
      <c r="M1763" t="s">
        <v>30</v>
      </c>
      <c r="N1763">
        <v>5</v>
      </c>
      <c r="O1763" t="s">
        <v>46</v>
      </c>
      <c r="P1763">
        <v>61.9</v>
      </c>
      <c r="Q1763">
        <v>1500</v>
      </c>
      <c r="R1763">
        <v>4</v>
      </c>
      <c r="S1763">
        <v>2</v>
      </c>
      <c r="T1763" t="s">
        <v>32</v>
      </c>
      <c r="U1763" t="s">
        <v>33</v>
      </c>
      <c r="V1763">
        <v>61011</v>
      </c>
      <c r="W1763">
        <v>4</v>
      </c>
      <c r="X1763">
        <v>7</v>
      </c>
      <c r="Y1763" t="s">
        <v>43</v>
      </c>
      <c r="Z1763">
        <v>3.49</v>
      </c>
      <c r="AA1763" t="s">
        <v>35</v>
      </c>
    </row>
    <row r="1764" spans="1:27" x14ac:dyDescent="0.3">
      <c r="A1764" t="s">
        <v>52</v>
      </c>
      <c r="B1764" t="s">
        <v>53</v>
      </c>
      <c r="C1764">
        <v>2026</v>
      </c>
      <c r="D1764" t="s">
        <v>38</v>
      </c>
      <c r="E1764">
        <v>123396.13</v>
      </c>
      <c r="F1764">
        <v>65.5</v>
      </c>
      <c r="G1764">
        <v>201</v>
      </c>
      <c r="H1764">
        <v>235.6</v>
      </c>
      <c r="I1764">
        <v>7.67</v>
      </c>
      <c r="J1764">
        <v>135</v>
      </c>
      <c r="K1764">
        <v>904</v>
      </c>
      <c r="L1764">
        <v>801</v>
      </c>
      <c r="M1764" t="s">
        <v>30</v>
      </c>
      <c r="N1764">
        <v>5</v>
      </c>
      <c r="O1764" t="s">
        <v>57</v>
      </c>
      <c r="P1764">
        <v>37.200000000000003</v>
      </c>
      <c r="Q1764">
        <v>1684</v>
      </c>
      <c r="R1764">
        <v>4</v>
      </c>
      <c r="S1764">
        <v>3</v>
      </c>
      <c r="T1764" t="s">
        <v>47</v>
      </c>
      <c r="U1764" t="s">
        <v>33</v>
      </c>
      <c r="V1764">
        <v>179193</v>
      </c>
      <c r="W1764">
        <v>3.8</v>
      </c>
      <c r="X1764">
        <v>5</v>
      </c>
      <c r="Y1764" t="s">
        <v>61</v>
      </c>
      <c r="Z1764">
        <v>3.07</v>
      </c>
      <c r="AA1764" t="s">
        <v>35</v>
      </c>
    </row>
    <row r="1765" spans="1:27" x14ac:dyDescent="0.3">
      <c r="A1765" t="s">
        <v>76</v>
      </c>
      <c r="B1765" t="s">
        <v>77</v>
      </c>
      <c r="C1765">
        <v>2023</v>
      </c>
      <c r="D1765" t="s">
        <v>50</v>
      </c>
      <c r="E1765">
        <v>89541.119999999995</v>
      </c>
      <c r="F1765">
        <v>95.4</v>
      </c>
      <c r="G1765">
        <v>330</v>
      </c>
      <c r="H1765">
        <v>131</v>
      </c>
      <c r="I1765">
        <v>4.83</v>
      </c>
      <c r="J1765">
        <v>179</v>
      </c>
      <c r="K1765">
        <v>1000</v>
      </c>
      <c r="L1765">
        <v>880</v>
      </c>
      <c r="M1765" t="s">
        <v>54</v>
      </c>
      <c r="N1765">
        <v>7</v>
      </c>
      <c r="O1765" t="s">
        <v>40</v>
      </c>
      <c r="P1765">
        <v>69.599999999999994</v>
      </c>
      <c r="Q1765">
        <v>1987</v>
      </c>
      <c r="R1765">
        <v>5</v>
      </c>
      <c r="S1765">
        <v>1</v>
      </c>
      <c r="T1765" t="s">
        <v>51</v>
      </c>
      <c r="U1765" t="s">
        <v>38</v>
      </c>
      <c r="V1765">
        <v>122583</v>
      </c>
      <c r="W1765">
        <v>3.7</v>
      </c>
      <c r="X1765">
        <v>3</v>
      </c>
      <c r="Y1765" t="s">
        <v>43</v>
      </c>
      <c r="Z1765">
        <v>3.46</v>
      </c>
      <c r="AA1765" t="s">
        <v>35</v>
      </c>
    </row>
    <row r="1766" spans="1:27" x14ac:dyDescent="0.3">
      <c r="A1766" t="s">
        <v>52</v>
      </c>
      <c r="B1766" t="s">
        <v>64</v>
      </c>
      <c r="C1766">
        <v>2025</v>
      </c>
      <c r="D1766" t="s">
        <v>63</v>
      </c>
      <c r="E1766">
        <v>30387.16</v>
      </c>
      <c r="F1766">
        <v>46.7</v>
      </c>
      <c r="G1766">
        <v>183</v>
      </c>
      <c r="H1766">
        <v>294.10000000000002</v>
      </c>
      <c r="I1766">
        <v>7.88</v>
      </c>
      <c r="J1766">
        <v>130</v>
      </c>
      <c r="K1766">
        <v>199</v>
      </c>
      <c r="L1766">
        <v>200</v>
      </c>
      <c r="M1766" t="s">
        <v>39</v>
      </c>
      <c r="N1766">
        <v>5</v>
      </c>
      <c r="O1766" t="s">
        <v>56</v>
      </c>
      <c r="P1766">
        <v>17.8</v>
      </c>
      <c r="Q1766">
        <v>1500</v>
      </c>
      <c r="R1766">
        <v>5</v>
      </c>
      <c r="S1766">
        <v>3</v>
      </c>
      <c r="T1766" t="s">
        <v>47</v>
      </c>
      <c r="U1766" t="s">
        <v>74</v>
      </c>
      <c r="V1766">
        <v>225676</v>
      </c>
      <c r="W1766">
        <v>3.5</v>
      </c>
      <c r="X1766">
        <v>6</v>
      </c>
      <c r="Y1766" t="s">
        <v>61</v>
      </c>
      <c r="Z1766">
        <v>3.92</v>
      </c>
      <c r="AA1766" t="s">
        <v>35</v>
      </c>
    </row>
    <row r="1767" spans="1:27" x14ac:dyDescent="0.3">
      <c r="A1767" t="s">
        <v>71</v>
      </c>
      <c r="B1767" t="s">
        <v>75</v>
      </c>
      <c r="C1767">
        <v>2024</v>
      </c>
      <c r="D1767" t="s">
        <v>68</v>
      </c>
      <c r="E1767">
        <v>21707.919999999998</v>
      </c>
      <c r="F1767">
        <v>56.8</v>
      </c>
      <c r="G1767">
        <v>176</v>
      </c>
      <c r="H1767">
        <v>141.1</v>
      </c>
      <c r="I1767">
        <v>7.77</v>
      </c>
      <c r="J1767">
        <v>135</v>
      </c>
      <c r="K1767">
        <v>199</v>
      </c>
      <c r="L1767">
        <v>213</v>
      </c>
      <c r="M1767" t="s">
        <v>30</v>
      </c>
      <c r="N1767">
        <v>5</v>
      </c>
      <c r="O1767" t="s">
        <v>56</v>
      </c>
      <c r="P1767">
        <v>34.700000000000003</v>
      </c>
      <c r="Q1767">
        <v>1776</v>
      </c>
      <c r="R1767">
        <v>4</v>
      </c>
      <c r="S1767">
        <v>0</v>
      </c>
      <c r="T1767" t="s">
        <v>73</v>
      </c>
      <c r="U1767" t="s">
        <v>74</v>
      </c>
      <c r="V1767">
        <v>240735</v>
      </c>
      <c r="W1767">
        <v>3.3</v>
      </c>
      <c r="X1767">
        <v>4</v>
      </c>
      <c r="Y1767" t="s">
        <v>61</v>
      </c>
      <c r="Z1767">
        <v>3.1</v>
      </c>
      <c r="AA1767" t="s">
        <v>35</v>
      </c>
    </row>
    <row r="1768" spans="1:27" x14ac:dyDescent="0.3">
      <c r="A1768" t="s">
        <v>44</v>
      </c>
      <c r="B1768" t="s">
        <v>45</v>
      </c>
      <c r="C1768">
        <v>2024</v>
      </c>
      <c r="D1768" t="s">
        <v>38</v>
      </c>
      <c r="E1768">
        <v>52232.74</v>
      </c>
      <c r="F1768">
        <v>42</v>
      </c>
      <c r="G1768">
        <v>150</v>
      </c>
      <c r="H1768">
        <v>134.4</v>
      </c>
      <c r="I1768">
        <v>5.26</v>
      </c>
      <c r="J1768">
        <v>171</v>
      </c>
      <c r="K1768">
        <v>623</v>
      </c>
      <c r="L1768">
        <v>597</v>
      </c>
      <c r="M1768" t="s">
        <v>54</v>
      </c>
      <c r="N1768">
        <v>5</v>
      </c>
      <c r="O1768" t="s">
        <v>46</v>
      </c>
      <c r="P1768">
        <v>76.8</v>
      </c>
      <c r="Q1768">
        <v>1529</v>
      </c>
      <c r="R1768">
        <v>4</v>
      </c>
      <c r="S1768">
        <v>0</v>
      </c>
      <c r="T1768" t="s">
        <v>47</v>
      </c>
      <c r="U1768" t="s">
        <v>42</v>
      </c>
      <c r="V1768">
        <v>17461</v>
      </c>
      <c r="W1768">
        <v>3.3</v>
      </c>
      <c r="X1768">
        <v>3</v>
      </c>
      <c r="Y1768" t="s">
        <v>43</v>
      </c>
      <c r="Z1768">
        <v>3.57</v>
      </c>
      <c r="AA1768" t="s">
        <v>43</v>
      </c>
    </row>
    <row r="1769" spans="1:27" x14ac:dyDescent="0.3">
      <c r="A1769" t="s">
        <v>76</v>
      </c>
      <c r="B1769" t="s">
        <v>98</v>
      </c>
      <c r="C1769">
        <v>2025</v>
      </c>
      <c r="D1769" t="s">
        <v>38</v>
      </c>
      <c r="E1769">
        <v>78178.94</v>
      </c>
      <c r="F1769">
        <v>79.400000000000006</v>
      </c>
      <c r="G1769">
        <v>290</v>
      </c>
      <c r="H1769">
        <v>53.7</v>
      </c>
      <c r="I1769">
        <v>5.34</v>
      </c>
      <c r="J1769">
        <v>169</v>
      </c>
      <c r="K1769">
        <v>1000</v>
      </c>
      <c r="L1769">
        <v>852</v>
      </c>
      <c r="M1769" t="s">
        <v>30</v>
      </c>
      <c r="N1769">
        <v>5</v>
      </c>
      <c r="O1769" t="s">
        <v>40</v>
      </c>
      <c r="P1769">
        <v>66.099999999999994</v>
      </c>
      <c r="Q1769">
        <v>2435</v>
      </c>
      <c r="R1769">
        <v>5</v>
      </c>
      <c r="S1769">
        <v>1</v>
      </c>
      <c r="T1769" t="s">
        <v>51</v>
      </c>
      <c r="U1769" t="s">
        <v>38</v>
      </c>
      <c r="V1769">
        <v>93827</v>
      </c>
      <c r="W1769">
        <v>3.7</v>
      </c>
      <c r="X1769">
        <v>4</v>
      </c>
      <c r="Y1769" t="s">
        <v>43</v>
      </c>
      <c r="Z1769">
        <v>3.65</v>
      </c>
      <c r="AA1769" t="s">
        <v>35</v>
      </c>
    </row>
    <row r="1770" spans="1:27" x14ac:dyDescent="0.3">
      <c r="A1770" t="s">
        <v>27</v>
      </c>
      <c r="B1770" t="s">
        <v>82</v>
      </c>
      <c r="C1770">
        <v>2025</v>
      </c>
      <c r="D1770" t="s">
        <v>63</v>
      </c>
      <c r="E1770">
        <v>32608.87</v>
      </c>
      <c r="F1770">
        <v>54</v>
      </c>
      <c r="G1770">
        <v>178</v>
      </c>
      <c r="H1770">
        <v>63.1</v>
      </c>
      <c r="I1770">
        <v>5.66</v>
      </c>
      <c r="J1770">
        <v>169</v>
      </c>
      <c r="K1770">
        <v>218</v>
      </c>
      <c r="L1770">
        <v>243</v>
      </c>
      <c r="M1770" t="s">
        <v>39</v>
      </c>
      <c r="N1770">
        <v>5</v>
      </c>
      <c r="O1770" t="s">
        <v>31</v>
      </c>
      <c r="P1770">
        <v>68.400000000000006</v>
      </c>
      <c r="Q1770">
        <v>2358</v>
      </c>
      <c r="R1770">
        <v>3</v>
      </c>
      <c r="S1770">
        <v>1</v>
      </c>
      <c r="T1770" t="s">
        <v>32</v>
      </c>
      <c r="U1770" t="s">
        <v>74</v>
      </c>
      <c r="V1770">
        <v>223686</v>
      </c>
      <c r="W1770">
        <v>3.3</v>
      </c>
      <c r="X1770">
        <v>3</v>
      </c>
      <c r="Y1770" t="s">
        <v>43</v>
      </c>
      <c r="Z1770">
        <v>3.3</v>
      </c>
      <c r="AA1770" t="s">
        <v>35</v>
      </c>
    </row>
    <row r="1771" spans="1:27" x14ac:dyDescent="0.3">
      <c r="A1771" t="s">
        <v>27</v>
      </c>
      <c r="B1771" t="s">
        <v>83</v>
      </c>
      <c r="C1771">
        <v>2024</v>
      </c>
      <c r="D1771" t="s">
        <v>68</v>
      </c>
      <c r="E1771">
        <v>64646.52</v>
      </c>
      <c r="F1771">
        <v>70.7</v>
      </c>
      <c r="G1771">
        <v>219</v>
      </c>
      <c r="H1771">
        <v>52.4</v>
      </c>
      <c r="I1771">
        <v>7.72</v>
      </c>
      <c r="J1771">
        <v>140</v>
      </c>
      <c r="K1771">
        <v>656</v>
      </c>
      <c r="L1771">
        <v>529</v>
      </c>
      <c r="M1771" t="s">
        <v>39</v>
      </c>
      <c r="N1771">
        <v>5</v>
      </c>
      <c r="O1771" t="s">
        <v>56</v>
      </c>
      <c r="P1771">
        <v>17.5</v>
      </c>
      <c r="Q1771">
        <v>1566</v>
      </c>
      <c r="R1771">
        <v>4</v>
      </c>
      <c r="S1771">
        <v>0</v>
      </c>
      <c r="T1771" t="s">
        <v>32</v>
      </c>
      <c r="U1771" t="s">
        <v>42</v>
      </c>
      <c r="V1771">
        <v>229331</v>
      </c>
      <c r="W1771">
        <v>3.6</v>
      </c>
      <c r="X1771">
        <v>4</v>
      </c>
      <c r="Y1771" t="s">
        <v>61</v>
      </c>
      <c r="Z1771">
        <v>3.1</v>
      </c>
      <c r="AA1771" t="s">
        <v>35</v>
      </c>
    </row>
    <row r="1772" spans="1:27" x14ac:dyDescent="0.3">
      <c r="A1772" t="s">
        <v>76</v>
      </c>
      <c r="B1772" t="s">
        <v>77</v>
      </c>
      <c r="C1772">
        <v>2026</v>
      </c>
      <c r="D1772" t="s">
        <v>68</v>
      </c>
      <c r="E1772">
        <v>40896.410000000003</v>
      </c>
      <c r="F1772">
        <v>84.8</v>
      </c>
      <c r="G1772">
        <v>286</v>
      </c>
      <c r="H1772">
        <v>56.7</v>
      </c>
      <c r="I1772">
        <v>7.09</v>
      </c>
      <c r="J1772">
        <v>148</v>
      </c>
      <c r="K1772">
        <v>339</v>
      </c>
      <c r="L1772">
        <v>284</v>
      </c>
      <c r="M1772" t="s">
        <v>54</v>
      </c>
      <c r="N1772">
        <v>7</v>
      </c>
      <c r="O1772" t="s">
        <v>31</v>
      </c>
      <c r="P1772">
        <v>78.3</v>
      </c>
      <c r="Q1772">
        <v>2639</v>
      </c>
      <c r="R1772">
        <v>4</v>
      </c>
      <c r="S1772">
        <v>0</v>
      </c>
      <c r="T1772" t="s">
        <v>51</v>
      </c>
      <c r="U1772" t="s">
        <v>42</v>
      </c>
      <c r="V1772">
        <v>60452</v>
      </c>
      <c r="W1772">
        <v>3.6</v>
      </c>
      <c r="X1772">
        <v>4</v>
      </c>
      <c r="Y1772" t="s">
        <v>61</v>
      </c>
      <c r="Z1772">
        <v>3.37</v>
      </c>
      <c r="AA1772" t="s">
        <v>35</v>
      </c>
    </row>
    <row r="1773" spans="1:27" x14ac:dyDescent="0.3">
      <c r="A1773" t="s">
        <v>84</v>
      </c>
      <c r="B1773" t="s">
        <v>89</v>
      </c>
      <c r="C1773">
        <v>2024</v>
      </c>
      <c r="D1773" t="s">
        <v>29</v>
      </c>
      <c r="E1773">
        <v>99172.17</v>
      </c>
      <c r="F1773">
        <v>96.1</v>
      </c>
      <c r="G1773">
        <v>340</v>
      </c>
      <c r="H1773">
        <v>150.4</v>
      </c>
      <c r="I1773">
        <v>3.5</v>
      </c>
      <c r="J1773">
        <v>200</v>
      </c>
      <c r="K1773">
        <v>1000</v>
      </c>
      <c r="L1773">
        <v>919</v>
      </c>
      <c r="M1773" t="s">
        <v>30</v>
      </c>
      <c r="N1773">
        <v>5</v>
      </c>
      <c r="O1773" t="s">
        <v>40</v>
      </c>
      <c r="P1773">
        <v>58</v>
      </c>
      <c r="Q1773">
        <v>2017</v>
      </c>
      <c r="R1773">
        <v>5</v>
      </c>
      <c r="S1773">
        <v>1</v>
      </c>
      <c r="T1773" t="s">
        <v>47</v>
      </c>
      <c r="U1773" t="s">
        <v>38</v>
      </c>
      <c r="V1773">
        <v>55818</v>
      </c>
      <c r="W1773">
        <v>3.7</v>
      </c>
      <c r="X1773">
        <v>4</v>
      </c>
      <c r="Y1773" t="s">
        <v>34</v>
      </c>
      <c r="Z1773">
        <v>3.54</v>
      </c>
      <c r="AA1773" t="s">
        <v>35</v>
      </c>
    </row>
    <row r="1774" spans="1:27" x14ac:dyDescent="0.3">
      <c r="A1774" t="s">
        <v>94</v>
      </c>
      <c r="B1774" t="s">
        <v>113</v>
      </c>
      <c r="C1774">
        <v>2025</v>
      </c>
      <c r="D1774" t="s">
        <v>68</v>
      </c>
      <c r="E1774">
        <v>97077.65</v>
      </c>
      <c r="F1774">
        <v>52.8</v>
      </c>
      <c r="G1774">
        <v>197</v>
      </c>
      <c r="H1774">
        <v>133.80000000000001</v>
      </c>
      <c r="I1774">
        <v>7.59</v>
      </c>
      <c r="J1774">
        <v>132</v>
      </c>
      <c r="K1774">
        <v>714</v>
      </c>
      <c r="L1774">
        <v>605</v>
      </c>
      <c r="M1774" t="s">
        <v>30</v>
      </c>
      <c r="N1774">
        <v>7</v>
      </c>
      <c r="O1774" t="s">
        <v>56</v>
      </c>
      <c r="P1774">
        <v>33.6</v>
      </c>
      <c r="Q1774">
        <v>1677</v>
      </c>
      <c r="R1774">
        <v>5</v>
      </c>
      <c r="S1774">
        <v>2</v>
      </c>
      <c r="T1774" t="s">
        <v>32</v>
      </c>
      <c r="U1774" t="s">
        <v>38</v>
      </c>
      <c r="V1774">
        <v>69050</v>
      </c>
      <c r="W1774">
        <v>3.2</v>
      </c>
      <c r="X1774">
        <v>6</v>
      </c>
      <c r="Y1774" t="s">
        <v>61</v>
      </c>
      <c r="Z1774">
        <v>3.73</v>
      </c>
      <c r="AA1774" t="s">
        <v>35</v>
      </c>
    </row>
    <row r="1775" spans="1:27" x14ac:dyDescent="0.3">
      <c r="A1775" t="s">
        <v>36</v>
      </c>
      <c r="B1775" t="s">
        <v>120</v>
      </c>
      <c r="C1775">
        <v>2025</v>
      </c>
      <c r="D1775" t="s">
        <v>50</v>
      </c>
      <c r="E1775">
        <v>75339.45</v>
      </c>
      <c r="F1775">
        <v>86.8</v>
      </c>
      <c r="G1775">
        <v>325</v>
      </c>
      <c r="H1775">
        <v>141</v>
      </c>
      <c r="I1775">
        <v>4.49</v>
      </c>
      <c r="J1775">
        <v>184</v>
      </c>
      <c r="K1775">
        <v>939</v>
      </c>
      <c r="L1775">
        <v>924</v>
      </c>
      <c r="M1775" t="s">
        <v>54</v>
      </c>
      <c r="N1775">
        <v>5</v>
      </c>
      <c r="O1775" t="s">
        <v>56</v>
      </c>
      <c r="P1775">
        <v>26</v>
      </c>
      <c r="Q1775">
        <v>1541</v>
      </c>
      <c r="R1775">
        <v>5</v>
      </c>
      <c r="S1775">
        <v>0</v>
      </c>
      <c r="T1775" t="s">
        <v>41</v>
      </c>
      <c r="U1775" t="s">
        <v>38</v>
      </c>
      <c r="V1775">
        <v>12682</v>
      </c>
      <c r="W1775">
        <v>3.5</v>
      </c>
      <c r="X1775">
        <v>3</v>
      </c>
      <c r="Y1775" t="s">
        <v>43</v>
      </c>
      <c r="Z1775">
        <v>3.74</v>
      </c>
      <c r="AA1775" t="s">
        <v>43</v>
      </c>
    </row>
    <row r="1776" spans="1:27" x14ac:dyDescent="0.3">
      <c r="A1776" t="s">
        <v>84</v>
      </c>
      <c r="B1776" t="s">
        <v>85</v>
      </c>
      <c r="C1776">
        <v>2025</v>
      </c>
      <c r="D1776" t="s">
        <v>29</v>
      </c>
      <c r="E1776">
        <v>72824.56</v>
      </c>
      <c r="F1776">
        <v>94.6</v>
      </c>
      <c r="G1776">
        <v>347</v>
      </c>
      <c r="H1776">
        <v>161.1</v>
      </c>
      <c r="I1776">
        <v>4.26</v>
      </c>
      <c r="J1776">
        <v>180</v>
      </c>
      <c r="K1776">
        <v>915</v>
      </c>
      <c r="L1776">
        <v>803</v>
      </c>
      <c r="M1776" t="s">
        <v>54</v>
      </c>
      <c r="N1776">
        <v>5</v>
      </c>
      <c r="O1776" t="s">
        <v>46</v>
      </c>
      <c r="P1776">
        <v>66.5</v>
      </c>
      <c r="Q1776">
        <v>1939</v>
      </c>
      <c r="R1776">
        <v>3</v>
      </c>
      <c r="S1776">
        <v>2</v>
      </c>
      <c r="T1776" t="s">
        <v>47</v>
      </c>
      <c r="U1776" t="s">
        <v>38</v>
      </c>
      <c r="V1776">
        <v>45964</v>
      </c>
      <c r="W1776">
        <v>3.7</v>
      </c>
      <c r="X1776">
        <v>4</v>
      </c>
      <c r="Y1776" t="s">
        <v>43</v>
      </c>
      <c r="Z1776">
        <v>3.67</v>
      </c>
      <c r="AA1776" t="s">
        <v>35</v>
      </c>
    </row>
    <row r="1777" spans="1:27" x14ac:dyDescent="0.3">
      <c r="A1777" t="s">
        <v>71</v>
      </c>
      <c r="B1777" t="s">
        <v>75</v>
      </c>
      <c r="C1777">
        <v>2025</v>
      </c>
      <c r="D1777" t="s">
        <v>50</v>
      </c>
      <c r="E1777">
        <v>26097.55</v>
      </c>
      <c r="F1777">
        <v>99</v>
      </c>
      <c r="G1777">
        <v>367</v>
      </c>
      <c r="H1777">
        <v>56.9</v>
      </c>
      <c r="I1777">
        <v>4.7699999999999996</v>
      </c>
      <c r="J1777">
        <v>176</v>
      </c>
      <c r="K1777">
        <v>270</v>
      </c>
      <c r="L1777">
        <v>217</v>
      </c>
      <c r="M1777" t="s">
        <v>30</v>
      </c>
      <c r="N1777">
        <v>5</v>
      </c>
      <c r="O1777" t="s">
        <v>31</v>
      </c>
      <c r="P1777">
        <v>71.7</v>
      </c>
      <c r="Q1777">
        <v>2861</v>
      </c>
      <c r="R1777">
        <v>5</v>
      </c>
      <c r="S1777">
        <v>2</v>
      </c>
      <c r="T1777" t="s">
        <v>73</v>
      </c>
      <c r="U1777" t="s">
        <v>74</v>
      </c>
      <c r="V1777">
        <v>233286</v>
      </c>
      <c r="W1777">
        <v>3.5</v>
      </c>
      <c r="X1777">
        <v>5</v>
      </c>
      <c r="Y1777" t="s">
        <v>43</v>
      </c>
      <c r="Z1777">
        <v>3.71</v>
      </c>
      <c r="AA1777" t="s">
        <v>35</v>
      </c>
    </row>
    <row r="1778" spans="1:27" x14ac:dyDescent="0.3">
      <c r="A1778" t="s">
        <v>91</v>
      </c>
      <c r="B1778" t="s">
        <v>97</v>
      </c>
      <c r="C1778">
        <v>2023</v>
      </c>
      <c r="D1778" t="s">
        <v>63</v>
      </c>
      <c r="E1778">
        <v>89086.86</v>
      </c>
      <c r="F1778">
        <v>79.5</v>
      </c>
      <c r="G1778">
        <v>279</v>
      </c>
      <c r="H1778">
        <v>115.5</v>
      </c>
      <c r="I1778">
        <v>5.03</v>
      </c>
      <c r="J1778">
        <v>179</v>
      </c>
      <c r="K1778">
        <v>643</v>
      </c>
      <c r="L1778">
        <v>655</v>
      </c>
      <c r="M1778" t="s">
        <v>54</v>
      </c>
      <c r="N1778">
        <v>7</v>
      </c>
      <c r="O1778" t="s">
        <v>31</v>
      </c>
      <c r="P1778">
        <v>57.6</v>
      </c>
      <c r="Q1778">
        <v>2730</v>
      </c>
      <c r="R1778">
        <v>4</v>
      </c>
      <c r="S1778">
        <v>2</v>
      </c>
      <c r="T1778" t="s">
        <v>32</v>
      </c>
      <c r="U1778" t="s">
        <v>38</v>
      </c>
      <c r="V1778">
        <v>63501</v>
      </c>
      <c r="W1778">
        <v>3.8</v>
      </c>
      <c r="X1778">
        <v>5</v>
      </c>
      <c r="Y1778" t="s">
        <v>43</v>
      </c>
      <c r="Z1778">
        <v>3.51</v>
      </c>
      <c r="AA1778" t="s">
        <v>35</v>
      </c>
    </row>
    <row r="1779" spans="1:27" x14ac:dyDescent="0.3">
      <c r="A1779" t="s">
        <v>27</v>
      </c>
      <c r="B1779" t="s">
        <v>82</v>
      </c>
      <c r="C1779">
        <v>2026</v>
      </c>
      <c r="D1779" t="s">
        <v>29</v>
      </c>
      <c r="E1779">
        <v>72231.360000000001</v>
      </c>
      <c r="F1779">
        <v>115</v>
      </c>
      <c r="G1779">
        <v>387</v>
      </c>
      <c r="H1779">
        <v>230.9</v>
      </c>
      <c r="I1779">
        <v>3.15</v>
      </c>
      <c r="J1779">
        <v>200</v>
      </c>
      <c r="K1779">
        <v>746</v>
      </c>
      <c r="L1779">
        <v>695</v>
      </c>
      <c r="M1779" t="s">
        <v>30</v>
      </c>
      <c r="N1779">
        <v>5</v>
      </c>
      <c r="O1779" t="s">
        <v>65</v>
      </c>
      <c r="P1779">
        <v>16.2</v>
      </c>
      <c r="Q1779">
        <v>1564</v>
      </c>
      <c r="R1779">
        <v>4</v>
      </c>
      <c r="S1779">
        <v>0</v>
      </c>
      <c r="T1779" t="s">
        <v>32</v>
      </c>
      <c r="U1779" t="s">
        <v>38</v>
      </c>
      <c r="V1779">
        <v>241869</v>
      </c>
      <c r="W1779">
        <v>4.0999999999999996</v>
      </c>
      <c r="X1779">
        <v>4</v>
      </c>
      <c r="Y1779" t="s">
        <v>34</v>
      </c>
      <c r="Z1779">
        <v>3.37</v>
      </c>
      <c r="AA1779" t="s">
        <v>35</v>
      </c>
    </row>
    <row r="1780" spans="1:27" x14ac:dyDescent="0.3">
      <c r="A1780" t="s">
        <v>71</v>
      </c>
      <c r="B1780" t="s">
        <v>90</v>
      </c>
      <c r="C1780">
        <v>2022</v>
      </c>
      <c r="D1780" t="s">
        <v>50</v>
      </c>
      <c r="E1780">
        <v>80180.179999999993</v>
      </c>
      <c r="F1780">
        <v>86.6</v>
      </c>
      <c r="G1780">
        <v>329</v>
      </c>
      <c r="H1780">
        <v>52.3</v>
      </c>
      <c r="I1780">
        <v>4.79</v>
      </c>
      <c r="J1780">
        <v>183</v>
      </c>
      <c r="K1780">
        <v>857</v>
      </c>
      <c r="L1780">
        <v>747</v>
      </c>
      <c r="M1780" t="s">
        <v>30</v>
      </c>
      <c r="N1780">
        <v>5</v>
      </c>
      <c r="O1780" t="s">
        <v>31</v>
      </c>
      <c r="P1780">
        <v>76.8</v>
      </c>
      <c r="Q1780">
        <v>2565</v>
      </c>
      <c r="R1780">
        <v>5</v>
      </c>
      <c r="S1780">
        <v>1</v>
      </c>
      <c r="T1780" t="s">
        <v>73</v>
      </c>
      <c r="U1780" t="s">
        <v>38</v>
      </c>
      <c r="V1780">
        <v>170493</v>
      </c>
      <c r="W1780">
        <v>3.6</v>
      </c>
      <c r="X1780">
        <v>3</v>
      </c>
      <c r="Y1780" t="s">
        <v>43</v>
      </c>
      <c r="Z1780">
        <v>3.8</v>
      </c>
      <c r="AA1780" t="s">
        <v>35</v>
      </c>
    </row>
    <row r="1781" spans="1:27" x14ac:dyDescent="0.3">
      <c r="A1781" t="s">
        <v>58</v>
      </c>
      <c r="B1781" t="s">
        <v>59</v>
      </c>
      <c r="C1781">
        <v>2023</v>
      </c>
      <c r="D1781" t="s">
        <v>38</v>
      </c>
      <c r="E1781">
        <v>111693.41</v>
      </c>
      <c r="F1781">
        <v>44.9</v>
      </c>
      <c r="G1781">
        <v>154</v>
      </c>
      <c r="H1781">
        <v>66</v>
      </c>
      <c r="I1781">
        <v>6.74</v>
      </c>
      <c r="J1781">
        <v>144</v>
      </c>
      <c r="K1781">
        <v>636</v>
      </c>
      <c r="L1781">
        <v>581</v>
      </c>
      <c r="M1781" t="s">
        <v>30</v>
      </c>
      <c r="N1781">
        <v>5</v>
      </c>
      <c r="O1781" t="s">
        <v>56</v>
      </c>
      <c r="P1781">
        <v>25.7</v>
      </c>
      <c r="Q1781">
        <v>1500</v>
      </c>
      <c r="R1781">
        <v>4</v>
      </c>
      <c r="S1781">
        <v>1</v>
      </c>
      <c r="T1781" t="s">
        <v>32</v>
      </c>
      <c r="U1781" t="s">
        <v>33</v>
      </c>
      <c r="V1781">
        <v>72096</v>
      </c>
      <c r="W1781">
        <v>3.6</v>
      </c>
      <c r="X1781">
        <v>6</v>
      </c>
      <c r="Y1781" t="s">
        <v>43</v>
      </c>
      <c r="Z1781">
        <v>3.43</v>
      </c>
      <c r="AA1781" t="s">
        <v>35</v>
      </c>
    </row>
    <row r="1782" spans="1:27" x14ac:dyDescent="0.3">
      <c r="A1782" t="s">
        <v>52</v>
      </c>
      <c r="B1782" t="s">
        <v>64</v>
      </c>
      <c r="C1782">
        <v>2026</v>
      </c>
      <c r="D1782" t="s">
        <v>63</v>
      </c>
      <c r="E1782">
        <v>119620.48</v>
      </c>
      <c r="F1782">
        <v>41.3</v>
      </c>
      <c r="G1782">
        <v>150</v>
      </c>
      <c r="H1782">
        <v>231.4</v>
      </c>
      <c r="I1782">
        <v>5.76</v>
      </c>
      <c r="J1782">
        <v>162</v>
      </c>
      <c r="K1782">
        <v>850</v>
      </c>
      <c r="L1782">
        <v>762</v>
      </c>
      <c r="M1782" t="s">
        <v>39</v>
      </c>
      <c r="N1782">
        <v>5</v>
      </c>
      <c r="O1782" t="s">
        <v>46</v>
      </c>
      <c r="P1782">
        <v>64.2</v>
      </c>
      <c r="Q1782">
        <v>1667</v>
      </c>
      <c r="R1782">
        <v>4</v>
      </c>
      <c r="S1782">
        <v>2</v>
      </c>
      <c r="T1782" t="s">
        <v>47</v>
      </c>
      <c r="U1782" t="s">
        <v>33</v>
      </c>
      <c r="V1782">
        <v>186324</v>
      </c>
      <c r="W1782">
        <v>3.5</v>
      </c>
      <c r="X1782">
        <v>5</v>
      </c>
      <c r="Y1782" t="s">
        <v>43</v>
      </c>
      <c r="Z1782">
        <v>3.63</v>
      </c>
      <c r="AA1782" t="s">
        <v>35</v>
      </c>
    </row>
    <row r="1783" spans="1:27" x14ac:dyDescent="0.3">
      <c r="A1783" t="s">
        <v>94</v>
      </c>
      <c r="B1783" t="s">
        <v>125</v>
      </c>
      <c r="C1783">
        <v>2025</v>
      </c>
      <c r="D1783" t="s">
        <v>68</v>
      </c>
      <c r="E1783">
        <v>63113.08</v>
      </c>
      <c r="F1783">
        <v>44</v>
      </c>
      <c r="G1783">
        <v>150</v>
      </c>
      <c r="H1783">
        <v>134.69999999999999</v>
      </c>
      <c r="I1783">
        <v>7.23</v>
      </c>
      <c r="J1783">
        <v>146</v>
      </c>
      <c r="K1783">
        <v>322</v>
      </c>
      <c r="L1783">
        <v>241</v>
      </c>
      <c r="M1783" t="s">
        <v>54</v>
      </c>
      <c r="N1783">
        <v>5</v>
      </c>
      <c r="O1783" t="s">
        <v>46</v>
      </c>
      <c r="P1783">
        <v>68.2</v>
      </c>
      <c r="Q1783">
        <v>1501</v>
      </c>
      <c r="R1783">
        <v>4</v>
      </c>
      <c r="S1783">
        <v>2</v>
      </c>
      <c r="T1783" t="s">
        <v>32</v>
      </c>
      <c r="U1783" t="s">
        <v>42</v>
      </c>
      <c r="V1783">
        <v>79880</v>
      </c>
      <c r="W1783">
        <v>3.2</v>
      </c>
      <c r="X1783">
        <v>7</v>
      </c>
      <c r="Y1783" t="s">
        <v>61</v>
      </c>
      <c r="Z1783">
        <v>3.41</v>
      </c>
      <c r="AA1783" t="s">
        <v>35</v>
      </c>
    </row>
    <row r="1784" spans="1:27" x14ac:dyDescent="0.3">
      <c r="A1784" t="s">
        <v>76</v>
      </c>
      <c r="B1784" t="s">
        <v>117</v>
      </c>
      <c r="C1784">
        <v>2026</v>
      </c>
      <c r="D1784" t="s">
        <v>38</v>
      </c>
      <c r="E1784">
        <v>83199.83</v>
      </c>
      <c r="F1784">
        <v>49.6</v>
      </c>
      <c r="G1784">
        <v>161</v>
      </c>
      <c r="H1784">
        <v>52.9</v>
      </c>
      <c r="I1784">
        <v>7.68</v>
      </c>
      <c r="J1784">
        <v>135</v>
      </c>
      <c r="K1784">
        <v>1000</v>
      </c>
      <c r="L1784">
        <v>924</v>
      </c>
      <c r="M1784" t="s">
        <v>30</v>
      </c>
      <c r="N1784">
        <v>5</v>
      </c>
      <c r="O1784" t="s">
        <v>65</v>
      </c>
      <c r="P1784">
        <v>33.1</v>
      </c>
      <c r="Q1784">
        <v>1500</v>
      </c>
      <c r="R1784">
        <v>3</v>
      </c>
      <c r="S1784">
        <v>0</v>
      </c>
      <c r="T1784" t="s">
        <v>51</v>
      </c>
      <c r="U1784" t="s">
        <v>38</v>
      </c>
      <c r="V1784">
        <v>92496</v>
      </c>
      <c r="W1784">
        <v>3.2</v>
      </c>
      <c r="X1784">
        <v>3</v>
      </c>
      <c r="Y1784" t="s">
        <v>61</v>
      </c>
      <c r="Z1784">
        <v>3.25</v>
      </c>
      <c r="AA1784" t="s">
        <v>35</v>
      </c>
    </row>
    <row r="1785" spans="1:27" x14ac:dyDescent="0.3">
      <c r="A1785" t="s">
        <v>91</v>
      </c>
      <c r="B1785" t="s">
        <v>112</v>
      </c>
      <c r="C1785">
        <v>2023</v>
      </c>
      <c r="D1785" t="s">
        <v>50</v>
      </c>
      <c r="E1785">
        <v>130324.5</v>
      </c>
      <c r="F1785">
        <v>105</v>
      </c>
      <c r="G1785">
        <v>370</v>
      </c>
      <c r="H1785">
        <v>58</v>
      </c>
      <c r="I1785">
        <v>4.3</v>
      </c>
      <c r="J1785">
        <v>186</v>
      </c>
      <c r="K1785">
        <v>1000</v>
      </c>
      <c r="L1785">
        <v>885</v>
      </c>
      <c r="M1785" t="s">
        <v>30</v>
      </c>
      <c r="N1785">
        <v>5</v>
      </c>
      <c r="O1785" t="s">
        <v>65</v>
      </c>
      <c r="P1785">
        <v>25</v>
      </c>
      <c r="Q1785">
        <v>1679</v>
      </c>
      <c r="R1785">
        <v>5</v>
      </c>
      <c r="S1785">
        <v>2</v>
      </c>
      <c r="T1785" t="s">
        <v>32</v>
      </c>
      <c r="U1785" t="s">
        <v>33</v>
      </c>
      <c r="V1785">
        <v>62481</v>
      </c>
      <c r="W1785">
        <v>3.8</v>
      </c>
      <c r="X1785">
        <v>6</v>
      </c>
      <c r="Y1785" t="s">
        <v>43</v>
      </c>
      <c r="Z1785">
        <v>3.52</v>
      </c>
      <c r="AA1785" t="s">
        <v>35</v>
      </c>
    </row>
    <row r="1786" spans="1:27" x14ac:dyDescent="0.3">
      <c r="A1786" t="s">
        <v>91</v>
      </c>
      <c r="B1786" t="s">
        <v>122</v>
      </c>
      <c r="C1786">
        <v>2024</v>
      </c>
      <c r="D1786" t="s">
        <v>38</v>
      </c>
      <c r="E1786">
        <v>92379.17</v>
      </c>
      <c r="F1786">
        <v>50.8</v>
      </c>
      <c r="G1786">
        <v>150</v>
      </c>
      <c r="H1786">
        <v>92.1</v>
      </c>
      <c r="I1786">
        <v>7.5</v>
      </c>
      <c r="J1786">
        <v>136</v>
      </c>
      <c r="K1786">
        <v>781</v>
      </c>
      <c r="L1786">
        <v>690</v>
      </c>
      <c r="M1786" t="s">
        <v>30</v>
      </c>
      <c r="N1786">
        <v>7</v>
      </c>
      <c r="O1786" t="s">
        <v>31</v>
      </c>
      <c r="P1786">
        <v>61.5</v>
      </c>
      <c r="Q1786">
        <v>2455</v>
      </c>
      <c r="R1786">
        <v>5</v>
      </c>
      <c r="S1786">
        <v>1</v>
      </c>
      <c r="T1786" t="s">
        <v>32</v>
      </c>
      <c r="U1786" t="s">
        <v>38</v>
      </c>
      <c r="V1786">
        <v>64158</v>
      </c>
      <c r="W1786">
        <v>3.3</v>
      </c>
      <c r="X1786">
        <v>7</v>
      </c>
      <c r="Y1786" t="s">
        <v>61</v>
      </c>
      <c r="Z1786">
        <v>2.95</v>
      </c>
      <c r="AA1786" t="s">
        <v>35</v>
      </c>
    </row>
    <row r="1787" spans="1:27" x14ac:dyDescent="0.3">
      <c r="A1787" t="s">
        <v>94</v>
      </c>
      <c r="B1787" t="s">
        <v>125</v>
      </c>
      <c r="C1787">
        <v>2025</v>
      </c>
      <c r="D1787" t="s">
        <v>38</v>
      </c>
      <c r="E1787">
        <v>154475.14000000001</v>
      </c>
      <c r="F1787">
        <v>69.7</v>
      </c>
      <c r="G1787">
        <v>246</v>
      </c>
      <c r="H1787">
        <v>132.69999999999999</v>
      </c>
      <c r="I1787">
        <v>6.23</v>
      </c>
      <c r="J1787">
        <v>161</v>
      </c>
      <c r="K1787">
        <v>1000</v>
      </c>
      <c r="L1787">
        <v>879</v>
      </c>
      <c r="M1787" t="s">
        <v>30</v>
      </c>
      <c r="N1787">
        <v>5</v>
      </c>
      <c r="O1787" t="s">
        <v>65</v>
      </c>
      <c r="P1787">
        <v>22.6</v>
      </c>
      <c r="Q1787">
        <v>1646</v>
      </c>
      <c r="R1787">
        <v>5</v>
      </c>
      <c r="S1787">
        <v>2</v>
      </c>
      <c r="T1787" t="s">
        <v>32</v>
      </c>
      <c r="U1787" t="s">
        <v>33</v>
      </c>
      <c r="V1787">
        <v>20728</v>
      </c>
      <c r="W1787">
        <v>3.4</v>
      </c>
      <c r="X1787">
        <v>5</v>
      </c>
      <c r="Y1787" t="s">
        <v>43</v>
      </c>
      <c r="Z1787">
        <v>3.53</v>
      </c>
      <c r="AA1787" t="s">
        <v>35</v>
      </c>
    </row>
    <row r="1788" spans="1:27" x14ac:dyDescent="0.3">
      <c r="A1788" t="s">
        <v>91</v>
      </c>
      <c r="B1788" t="s">
        <v>122</v>
      </c>
      <c r="C1788">
        <v>2024</v>
      </c>
      <c r="D1788" t="s">
        <v>68</v>
      </c>
      <c r="E1788">
        <v>78676.53</v>
      </c>
      <c r="F1788">
        <v>80.3</v>
      </c>
      <c r="G1788">
        <v>292</v>
      </c>
      <c r="H1788">
        <v>142.6</v>
      </c>
      <c r="I1788">
        <v>6.38</v>
      </c>
      <c r="J1788">
        <v>155</v>
      </c>
      <c r="K1788">
        <v>489</v>
      </c>
      <c r="L1788">
        <v>453</v>
      </c>
      <c r="M1788" t="s">
        <v>54</v>
      </c>
      <c r="N1788">
        <v>5</v>
      </c>
      <c r="O1788" t="s">
        <v>56</v>
      </c>
      <c r="P1788">
        <v>22.8</v>
      </c>
      <c r="Q1788">
        <v>1501</v>
      </c>
      <c r="R1788">
        <v>5</v>
      </c>
      <c r="S1788">
        <v>1</v>
      </c>
      <c r="T1788" t="s">
        <v>32</v>
      </c>
      <c r="U1788" t="s">
        <v>38</v>
      </c>
      <c r="V1788">
        <v>28903</v>
      </c>
      <c r="W1788">
        <v>3.5</v>
      </c>
      <c r="X1788">
        <v>6</v>
      </c>
      <c r="Y1788" t="s">
        <v>43</v>
      </c>
      <c r="Z1788">
        <v>3.64</v>
      </c>
      <c r="AA1788" t="s">
        <v>35</v>
      </c>
    </row>
    <row r="1789" spans="1:27" x14ac:dyDescent="0.3">
      <c r="A1789" t="s">
        <v>48</v>
      </c>
      <c r="B1789" t="s">
        <v>88</v>
      </c>
      <c r="C1789">
        <v>2021</v>
      </c>
      <c r="D1789" t="s">
        <v>50</v>
      </c>
      <c r="E1789">
        <v>56383.76</v>
      </c>
      <c r="F1789">
        <v>77.599999999999994</v>
      </c>
      <c r="G1789">
        <v>294</v>
      </c>
      <c r="H1789">
        <v>107.4</v>
      </c>
      <c r="I1789">
        <v>5.95</v>
      </c>
      <c r="J1789">
        <v>162</v>
      </c>
      <c r="K1789">
        <v>689</v>
      </c>
      <c r="L1789">
        <v>647</v>
      </c>
      <c r="M1789" t="s">
        <v>39</v>
      </c>
      <c r="N1789">
        <v>5</v>
      </c>
      <c r="O1789" t="s">
        <v>40</v>
      </c>
      <c r="P1789">
        <v>46.4</v>
      </c>
      <c r="Q1789">
        <v>1920</v>
      </c>
      <c r="R1789">
        <v>5</v>
      </c>
      <c r="S1789">
        <v>1</v>
      </c>
      <c r="T1789" t="s">
        <v>51</v>
      </c>
      <c r="U1789" t="s">
        <v>42</v>
      </c>
      <c r="V1789">
        <v>85632</v>
      </c>
      <c r="W1789">
        <v>3.6</v>
      </c>
      <c r="X1789">
        <v>3</v>
      </c>
      <c r="Y1789" t="s">
        <v>43</v>
      </c>
      <c r="Z1789">
        <v>3.79</v>
      </c>
      <c r="AA1789" t="s">
        <v>35</v>
      </c>
    </row>
    <row r="1790" spans="1:27" x14ac:dyDescent="0.3">
      <c r="A1790" t="s">
        <v>52</v>
      </c>
      <c r="B1790" t="s">
        <v>55</v>
      </c>
      <c r="C1790">
        <v>2025</v>
      </c>
      <c r="D1790" t="s">
        <v>29</v>
      </c>
      <c r="E1790">
        <v>51114.48</v>
      </c>
      <c r="F1790">
        <v>78.3</v>
      </c>
      <c r="G1790">
        <v>274</v>
      </c>
      <c r="H1790">
        <v>222.3</v>
      </c>
      <c r="I1790">
        <v>3.51</v>
      </c>
      <c r="J1790">
        <v>190</v>
      </c>
      <c r="K1790">
        <v>299</v>
      </c>
      <c r="L1790">
        <v>241</v>
      </c>
      <c r="M1790" t="s">
        <v>54</v>
      </c>
      <c r="N1790">
        <v>7</v>
      </c>
      <c r="O1790" t="s">
        <v>40</v>
      </c>
      <c r="P1790">
        <v>62.1</v>
      </c>
      <c r="Q1790">
        <v>2000</v>
      </c>
      <c r="R1790">
        <v>5</v>
      </c>
      <c r="S1790">
        <v>2</v>
      </c>
      <c r="T1790" t="s">
        <v>47</v>
      </c>
      <c r="U1790" t="s">
        <v>42</v>
      </c>
      <c r="V1790">
        <v>484952</v>
      </c>
      <c r="W1790">
        <v>4</v>
      </c>
      <c r="X1790">
        <v>6</v>
      </c>
      <c r="Y1790" t="s">
        <v>34</v>
      </c>
      <c r="Z1790">
        <v>3.5</v>
      </c>
      <c r="AA1790" t="s">
        <v>35</v>
      </c>
    </row>
    <row r="1791" spans="1:27" x14ac:dyDescent="0.3">
      <c r="A1791" t="s">
        <v>76</v>
      </c>
      <c r="B1791" t="s">
        <v>87</v>
      </c>
      <c r="C1791">
        <v>2024</v>
      </c>
      <c r="D1791" t="s">
        <v>29</v>
      </c>
      <c r="E1791">
        <v>44088.19</v>
      </c>
      <c r="F1791">
        <v>81.5</v>
      </c>
      <c r="G1791">
        <v>270</v>
      </c>
      <c r="H1791">
        <v>231.5</v>
      </c>
      <c r="I1791">
        <v>4.01</v>
      </c>
      <c r="J1791">
        <v>188</v>
      </c>
      <c r="K1791">
        <v>402</v>
      </c>
      <c r="L1791">
        <v>391</v>
      </c>
      <c r="M1791" t="s">
        <v>54</v>
      </c>
      <c r="N1791">
        <v>5</v>
      </c>
      <c r="O1791" t="s">
        <v>56</v>
      </c>
      <c r="P1791">
        <v>25.5</v>
      </c>
      <c r="Q1791">
        <v>1685</v>
      </c>
      <c r="R1791">
        <v>3</v>
      </c>
      <c r="S1791">
        <v>0</v>
      </c>
      <c r="T1791" t="s">
        <v>51</v>
      </c>
      <c r="U1791" t="s">
        <v>42</v>
      </c>
      <c r="V1791">
        <v>119102</v>
      </c>
      <c r="W1791">
        <v>3.6</v>
      </c>
      <c r="X1791">
        <v>4</v>
      </c>
      <c r="Y1791" t="s">
        <v>43</v>
      </c>
      <c r="Z1791">
        <v>3.31</v>
      </c>
      <c r="AA1791" t="s">
        <v>35</v>
      </c>
    </row>
    <row r="1792" spans="1:27" x14ac:dyDescent="0.3">
      <c r="A1792" t="s">
        <v>52</v>
      </c>
      <c r="B1792" t="s">
        <v>53</v>
      </c>
      <c r="C1792">
        <v>2023</v>
      </c>
      <c r="D1792" t="s">
        <v>38</v>
      </c>
      <c r="E1792">
        <v>98229.28</v>
      </c>
      <c r="F1792">
        <v>82.6</v>
      </c>
      <c r="G1792">
        <v>290</v>
      </c>
      <c r="H1792">
        <v>268.39999999999998</v>
      </c>
      <c r="I1792">
        <v>7.42</v>
      </c>
      <c r="J1792">
        <v>142</v>
      </c>
      <c r="K1792">
        <v>730</v>
      </c>
      <c r="L1792">
        <v>668</v>
      </c>
      <c r="M1792" t="s">
        <v>54</v>
      </c>
      <c r="N1792">
        <v>7</v>
      </c>
      <c r="O1792" t="s">
        <v>65</v>
      </c>
      <c r="P1792">
        <v>33.9</v>
      </c>
      <c r="Q1792">
        <v>1500</v>
      </c>
      <c r="R1792">
        <v>4</v>
      </c>
      <c r="S1792">
        <v>2</v>
      </c>
      <c r="T1792" t="s">
        <v>47</v>
      </c>
      <c r="U1792" t="s">
        <v>38</v>
      </c>
      <c r="V1792">
        <v>151125</v>
      </c>
      <c r="W1792">
        <v>4.0999999999999996</v>
      </c>
      <c r="X1792">
        <v>4</v>
      </c>
      <c r="Y1792" t="s">
        <v>61</v>
      </c>
      <c r="Z1792">
        <v>3.51</v>
      </c>
      <c r="AA1792" t="s">
        <v>35</v>
      </c>
    </row>
    <row r="1793" spans="1:27" x14ac:dyDescent="0.3">
      <c r="A1793" t="s">
        <v>44</v>
      </c>
      <c r="B1793" t="s">
        <v>110</v>
      </c>
      <c r="C1793">
        <v>2026</v>
      </c>
      <c r="D1793" t="s">
        <v>29</v>
      </c>
      <c r="E1793">
        <v>71801.02</v>
      </c>
      <c r="F1793">
        <v>84.4</v>
      </c>
      <c r="G1793">
        <v>304</v>
      </c>
      <c r="H1793">
        <v>228.3</v>
      </c>
      <c r="I1793">
        <v>2.8</v>
      </c>
      <c r="J1793">
        <v>200</v>
      </c>
      <c r="K1793">
        <v>950</v>
      </c>
      <c r="L1793">
        <v>836</v>
      </c>
      <c r="M1793" t="s">
        <v>30</v>
      </c>
      <c r="N1793">
        <v>7</v>
      </c>
      <c r="O1793" t="s">
        <v>40</v>
      </c>
      <c r="P1793">
        <v>50</v>
      </c>
      <c r="Q1793">
        <v>1829</v>
      </c>
      <c r="R1793">
        <v>4</v>
      </c>
      <c r="S1793">
        <v>1</v>
      </c>
      <c r="T1793" t="s">
        <v>47</v>
      </c>
      <c r="U1793" t="s">
        <v>38</v>
      </c>
      <c r="V1793">
        <v>4745</v>
      </c>
      <c r="W1793">
        <v>3.5</v>
      </c>
      <c r="X1793">
        <v>4</v>
      </c>
      <c r="Y1793" t="s">
        <v>34</v>
      </c>
      <c r="Z1793">
        <v>3.6</v>
      </c>
      <c r="AA1793" t="s">
        <v>69</v>
      </c>
    </row>
    <row r="1794" spans="1:27" x14ac:dyDescent="0.3">
      <c r="A1794" t="s">
        <v>76</v>
      </c>
      <c r="B1794" t="s">
        <v>87</v>
      </c>
      <c r="C1794">
        <v>2024</v>
      </c>
      <c r="D1794" t="s">
        <v>68</v>
      </c>
      <c r="E1794">
        <v>63404.54</v>
      </c>
      <c r="F1794">
        <v>72.2</v>
      </c>
      <c r="G1794">
        <v>253</v>
      </c>
      <c r="H1794">
        <v>88.9</v>
      </c>
      <c r="I1794">
        <v>5.5</v>
      </c>
      <c r="J1794">
        <v>168</v>
      </c>
      <c r="K1794">
        <v>777</v>
      </c>
      <c r="L1794">
        <v>662</v>
      </c>
      <c r="M1794" t="s">
        <v>54</v>
      </c>
      <c r="N1794">
        <v>7</v>
      </c>
      <c r="O1794" t="s">
        <v>65</v>
      </c>
      <c r="P1794">
        <v>29.9</v>
      </c>
      <c r="Q1794">
        <v>1532</v>
      </c>
      <c r="R1794">
        <v>5</v>
      </c>
      <c r="S1794">
        <v>0</v>
      </c>
      <c r="T1794" t="s">
        <v>51</v>
      </c>
      <c r="U1794" t="s">
        <v>42</v>
      </c>
      <c r="V1794">
        <v>79234</v>
      </c>
      <c r="W1794">
        <v>3.5</v>
      </c>
      <c r="X1794">
        <v>3</v>
      </c>
      <c r="Y1794" t="s">
        <v>43</v>
      </c>
      <c r="Z1794">
        <v>3.5</v>
      </c>
      <c r="AA1794" t="s">
        <v>35</v>
      </c>
    </row>
    <row r="1795" spans="1:27" x14ac:dyDescent="0.3">
      <c r="A1795" t="s">
        <v>91</v>
      </c>
      <c r="B1795" t="s">
        <v>97</v>
      </c>
      <c r="C1795">
        <v>2023</v>
      </c>
      <c r="D1795" t="s">
        <v>38</v>
      </c>
      <c r="E1795">
        <v>126296.04</v>
      </c>
      <c r="F1795">
        <v>69.400000000000006</v>
      </c>
      <c r="G1795">
        <v>238</v>
      </c>
      <c r="H1795">
        <v>100.7</v>
      </c>
      <c r="I1795">
        <v>5.91</v>
      </c>
      <c r="J1795">
        <v>158</v>
      </c>
      <c r="K1795">
        <v>1000</v>
      </c>
      <c r="L1795">
        <v>891</v>
      </c>
      <c r="M1795" t="s">
        <v>54</v>
      </c>
      <c r="N1795">
        <v>5</v>
      </c>
      <c r="O1795" t="s">
        <v>31</v>
      </c>
      <c r="P1795">
        <v>56.1</v>
      </c>
      <c r="Q1795">
        <v>2766</v>
      </c>
      <c r="R1795">
        <v>4</v>
      </c>
      <c r="S1795">
        <v>1</v>
      </c>
      <c r="T1795" t="s">
        <v>32</v>
      </c>
      <c r="U1795" t="s">
        <v>33</v>
      </c>
      <c r="V1795">
        <v>27018</v>
      </c>
      <c r="W1795">
        <v>3.7</v>
      </c>
      <c r="X1795">
        <v>8</v>
      </c>
      <c r="Y1795" t="s">
        <v>43</v>
      </c>
      <c r="Z1795">
        <v>3.43</v>
      </c>
      <c r="AA1795" t="s">
        <v>35</v>
      </c>
    </row>
    <row r="1796" spans="1:27" x14ac:dyDescent="0.3">
      <c r="A1796" t="s">
        <v>52</v>
      </c>
      <c r="B1796" t="s">
        <v>64</v>
      </c>
      <c r="C1796">
        <v>2024</v>
      </c>
      <c r="D1796" t="s">
        <v>50</v>
      </c>
      <c r="E1796">
        <v>91117.32</v>
      </c>
      <c r="F1796">
        <v>101</v>
      </c>
      <c r="G1796">
        <v>364</v>
      </c>
      <c r="H1796">
        <v>271.10000000000002</v>
      </c>
      <c r="I1796">
        <v>4.8600000000000003</v>
      </c>
      <c r="J1796">
        <v>172</v>
      </c>
      <c r="K1796">
        <v>639</v>
      </c>
      <c r="L1796">
        <v>640</v>
      </c>
      <c r="M1796" t="s">
        <v>54</v>
      </c>
      <c r="N1796">
        <v>7</v>
      </c>
      <c r="O1796" t="s">
        <v>56</v>
      </c>
      <c r="P1796">
        <v>16.2</v>
      </c>
      <c r="Q1796">
        <v>1500</v>
      </c>
      <c r="R1796">
        <v>4</v>
      </c>
      <c r="S1796">
        <v>2</v>
      </c>
      <c r="T1796" t="s">
        <v>47</v>
      </c>
      <c r="U1796" t="s">
        <v>38</v>
      </c>
      <c r="V1796">
        <v>174122</v>
      </c>
      <c r="W1796">
        <v>4</v>
      </c>
      <c r="X1796">
        <v>5</v>
      </c>
      <c r="Y1796" t="s">
        <v>43</v>
      </c>
      <c r="Z1796">
        <v>3.6</v>
      </c>
      <c r="AA1796" t="s">
        <v>35</v>
      </c>
    </row>
    <row r="1797" spans="1:27" x14ac:dyDescent="0.3">
      <c r="A1797" t="s">
        <v>52</v>
      </c>
      <c r="B1797" t="s">
        <v>80</v>
      </c>
      <c r="C1797">
        <v>2026</v>
      </c>
      <c r="D1797" t="s">
        <v>68</v>
      </c>
      <c r="E1797">
        <v>39888.42</v>
      </c>
      <c r="F1797">
        <v>83.1</v>
      </c>
      <c r="G1797">
        <v>277</v>
      </c>
      <c r="H1797">
        <v>296.8</v>
      </c>
      <c r="I1797">
        <v>7.31</v>
      </c>
      <c r="J1797">
        <v>136</v>
      </c>
      <c r="K1797">
        <v>260</v>
      </c>
      <c r="L1797">
        <v>259</v>
      </c>
      <c r="M1797" t="s">
        <v>30</v>
      </c>
      <c r="N1797">
        <v>5</v>
      </c>
      <c r="O1797" t="s">
        <v>31</v>
      </c>
      <c r="P1797">
        <v>50.5</v>
      </c>
      <c r="Q1797">
        <v>2479</v>
      </c>
      <c r="R1797">
        <v>4</v>
      </c>
      <c r="S1797">
        <v>2</v>
      </c>
      <c r="T1797" t="s">
        <v>47</v>
      </c>
      <c r="U1797" t="s">
        <v>42</v>
      </c>
      <c r="V1797">
        <v>224642</v>
      </c>
      <c r="W1797">
        <v>3.6</v>
      </c>
      <c r="X1797">
        <v>5</v>
      </c>
      <c r="Y1797" t="s">
        <v>61</v>
      </c>
      <c r="Z1797">
        <v>3.33</v>
      </c>
      <c r="AA1797" t="s">
        <v>35</v>
      </c>
    </row>
    <row r="1798" spans="1:27" x14ac:dyDescent="0.3">
      <c r="A1798" t="s">
        <v>44</v>
      </c>
      <c r="B1798" t="s">
        <v>109</v>
      </c>
      <c r="C1798">
        <v>2024</v>
      </c>
      <c r="D1798" t="s">
        <v>38</v>
      </c>
      <c r="E1798">
        <v>75461.19</v>
      </c>
      <c r="F1798">
        <v>77.900000000000006</v>
      </c>
      <c r="G1798">
        <v>275</v>
      </c>
      <c r="H1798">
        <v>102.6</v>
      </c>
      <c r="I1798">
        <v>5.43</v>
      </c>
      <c r="J1798">
        <v>168</v>
      </c>
      <c r="K1798">
        <v>1000</v>
      </c>
      <c r="L1798">
        <v>966</v>
      </c>
      <c r="M1798" t="s">
        <v>30</v>
      </c>
      <c r="N1798">
        <v>5</v>
      </c>
      <c r="O1798" t="s">
        <v>40</v>
      </c>
      <c r="P1798">
        <v>54.4</v>
      </c>
      <c r="Q1798">
        <v>2063</v>
      </c>
      <c r="R1798">
        <v>4</v>
      </c>
      <c r="S1798">
        <v>0</v>
      </c>
      <c r="T1798" t="s">
        <v>47</v>
      </c>
      <c r="U1798" t="s">
        <v>38</v>
      </c>
      <c r="V1798">
        <v>10961</v>
      </c>
      <c r="W1798">
        <v>3.5</v>
      </c>
      <c r="X1798">
        <v>5</v>
      </c>
      <c r="Y1798" t="s">
        <v>43</v>
      </c>
      <c r="Z1798">
        <v>3.53</v>
      </c>
      <c r="AA1798" t="s">
        <v>43</v>
      </c>
    </row>
    <row r="1799" spans="1:27" x14ac:dyDescent="0.3">
      <c r="A1799" t="s">
        <v>52</v>
      </c>
      <c r="B1799" t="s">
        <v>80</v>
      </c>
      <c r="C1799">
        <v>2023</v>
      </c>
      <c r="D1799" t="s">
        <v>29</v>
      </c>
      <c r="E1799">
        <v>182463.57</v>
      </c>
      <c r="F1799">
        <v>109.2</v>
      </c>
      <c r="G1799">
        <v>389</v>
      </c>
      <c r="H1799">
        <v>312.3</v>
      </c>
      <c r="I1799">
        <v>2.97</v>
      </c>
      <c r="J1799">
        <v>200</v>
      </c>
      <c r="K1799">
        <v>1000</v>
      </c>
      <c r="L1799">
        <v>870</v>
      </c>
      <c r="M1799" t="s">
        <v>30</v>
      </c>
      <c r="N1799">
        <v>5</v>
      </c>
      <c r="O1799" t="s">
        <v>31</v>
      </c>
      <c r="P1799">
        <v>71.099999999999994</v>
      </c>
      <c r="Q1799">
        <v>2927</v>
      </c>
      <c r="R1799">
        <v>5</v>
      </c>
      <c r="S1799">
        <v>3</v>
      </c>
      <c r="T1799" t="s">
        <v>47</v>
      </c>
      <c r="U1799" t="s">
        <v>33</v>
      </c>
      <c r="V1799">
        <v>202403</v>
      </c>
      <c r="W1799">
        <v>4</v>
      </c>
      <c r="X1799">
        <v>5</v>
      </c>
      <c r="Y1799" t="s">
        <v>34</v>
      </c>
      <c r="Z1799">
        <v>3.56</v>
      </c>
      <c r="AA1799" t="s">
        <v>35</v>
      </c>
    </row>
    <row r="1800" spans="1:27" x14ac:dyDescent="0.3">
      <c r="A1800" t="s">
        <v>52</v>
      </c>
      <c r="B1800" t="s">
        <v>86</v>
      </c>
      <c r="C1800">
        <v>2023</v>
      </c>
      <c r="D1800" t="s">
        <v>38</v>
      </c>
      <c r="E1800">
        <v>43481.03</v>
      </c>
      <c r="F1800">
        <v>65.2</v>
      </c>
      <c r="G1800">
        <v>217</v>
      </c>
      <c r="H1800">
        <v>246</v>
      </c>
      <c r="I1800">
        <v>7.02</v>
      </c>
      <c r="J1800">
        <v>143</v>
      </c>
      <c r="K1800">
        <v>236</v>
      </c>
      <c r="L1800">
        <v>223</v>
      </c>
      <c r="M1800" t="s">
        <v>54</v>
      </c>
      <c r="N1800">
        <v>5</v>
      </c>
      <c r="O1800" t="s">
        <v>40</v>
      </c>
      <c r="P1800">
        <v>60.9</v>
      </c>
      <c r="Q1800">
        <v>1871</v>
      </c>
      <c r="R1800">
        <v>5</v>
      </c>
      <c r="S1800">
        <v>2</v>
      </c>
      <c r="T1800" t="s">
        <v>47</v>
      </c>
      <c r="U1800" t="s">
        <v>42</v>
      </c>
      <c r="V1800">
        <v>134257</v>
      </c>
      <c r="W1800">
        <v>3.7</v>
      </c>
      <c r="X1800">
        <v>6</v>
      </c>
      <c r="Y1800" t="s">
        <v>61</v>
      </c>
      <c r="Z1800">
        <v>3.33</v>
      </c>
      <c r="AA1800" t="s">
        <v>35</v>
      </c>
    </row>
    <row r="1801" spans="1:27" x14ac:dyDescent="0.3">
      <c r="A1801" t="s">
        <v>52</v>
      </c>
      <c r="B1801" t="s">
        <v>53</v>
      </c>
      <c r="C1801">
        <v>2025</v>
      </c>
      <c r="D1801" t="s">
        <v>63</v>
      </c>
      <c r="E1801">
        <v>70038.710000000006</v>
      </c>
      <c r="F1801">
        <v>65.7</v>
      </c>
      <c r="G1801">
        <v>235</v>
      </c>
      <c r="H1801">
        <v>344.8</v>
      </c>
      <c r="I1801">
        <v>6.65</v>
      </c>
      <c r="J1801">
        <v>149</v>
      </c>
      <c r="K1801">
        <v>510</v>
      </c>
      <c r="L1801">
        <v>448</v>
      </c>
      <c r="M1801" t="s">
        <v>54</v>
      </c>
      <c r="N1801">
        <v>7</v>
      </c>
      <c r="O1801" t="s">
        <v>65</v>
      </c>
      <c r="P1801">
        <v>21.6</v>
      </c>
      <c r="Q1801">
        <v>1837</v>
      </c>
      <c r="R1801">
        <v>5</v>
      </c>
      <c r="S1801">
        <v>3</v>
      </c>
      <c r="T1801" t="s">
        <v>47</v>
      </c>
      <c r="U1801" t="s">
        <v>38</v>
      </c>
      <c r="V1801">
        <v>164008</v>
      </c>
      <c r="W1801">
        <v>3.7</v>
      </c>
      <c r="X1801">
        <v>6</v>
      </c>
      <c r="Y1801" t="s">
        <v>43</v>
      </c>
      <c r="Z1801">
        <v>3.58</v>
      </c>
      <c r="AA1801" t="s">
        <v>35</v>
      </c>
    </row>
    <row r="1802" spans="1:27" x14ac:dyDescent="0.3">
      <c r="A1802" t="s">
        <v>36</v>
      </c>
      <c r="B1802" t="s">
        <v>120</v>
      </c>
      <c r="C1802">
        <v>2024</v>
      </c>
      <c r="D1802" t="s">
        <v>63</v>
      </c>
      <c r="E1802">
        <v>60316.9</v>
      </c>
      <c r="F1802">
        <v>48</v>
      </c>
      <c r="G1802">
        <v>165</v>
      </c>
      <c r="H1802">
        <v>127.7</v>
      </c>
      <c r="I1802">
        <v>7.53</v>
      </c>
      <c r="J1802">
        <v>138</v>
      </c>
      <c r="K1802">
        <v>659</v>
      </c>
      <c r="L1802">
        <v>620</v>
      </c>
      <c r="M1802" t="s">
        <v>54</v>
      </c>
      <c r="N1802">
        <v>7</v>
      </c>
      <c r="O1802" t="s">
        <v>57</v>
      </c>
      <c r="P1802">
        <v>22.2</v>
      </c>
      <c r="Q1802">
        <v>1500</v>
      </c>
      <c r="R1802">
        <v>4</v>
      </c>
      <c r="S1802">
        <v>2</v>
      </c>
      <c r="T1802" t="s">
        <v>41</v>
      </c>
      <c r="U1802" t="s">
        <v>42</v>
      </c>
      <c r="V1802">
        <v>23683</v>
      </c>
      <c r="W1802">
        <v>3.2</v>
      </c>
      <c r="X1802">
        <v>5</v>
      </c>
      <c r="Y1802" t="s">
        <v>61</v>
      </c>
      <c r="Z1802">
        <v>3.44</v>
      </c>
      <c r="AA1802" t="s">
        <v>35</v>
      </c>
    </row>
    <row r="1803" spans="1:27" x14ac:dyDescent="0.3">
      <c r="A1803" t="s">
        <v>44</v>
      </c>
      <c r="B1803" t="s">
        <v>45</v>
      </c>
      <c r="C1803">
        <v>2024</v>
      </c>
      <c r="D1803" t="s">
        <v>68</v>
      </c>
      <c r="E1803">
        <v>46964.58</v>
      </c>
      <c r="F1803">
        <v>62.4</v>
      </c>
      <c r="G1803">
        <v>204</v>
      </c>
      <c r="H1803">
        <v>57.8</v>
      </c>
      <c r="I1803">
        <v>7.81</v>
      </c>
      <c r="J1803">
        <v>140</v>
      </c>
      <c r="K1803">
        <v>566</v>
      </c>
      <c r="L1803">
        <v>525</v>
      </c>
      <c r="M1803" t="s">
        <v>30</v>
      </c>
      <c r="N1803">
        <v>7</v>
      </c>
      <c r="O1803" t="s">
        <v>65</v>
      </c>
      <c r="P1803">
        <v>21.6</v>
      </c>
      <c r="Q1803">
        <v>1530</v>
      </c>
      <c r="R1803">
        <v>5</v>
      </c>
      <c r="S1803">
        <v>1</v>
      </c>
      <c r="T1803" t="s">
        <v>47</v>
      </c>
      <c r="U1803" t="s">
        <v>42</v>
      </c>
      <c r="V1803">
        <v>15168</v>
      </c>
      <c r="W1803">
        <v>3.5</v>
      </c>
      <c r="X1803">
        <v>4</v>
      </c>
      <c r="Y1803" t="s">
        <v>61</v>
      </c>
      <c r="Z1803">
        <v>3.27</v>
      </c>
      <c r="AA1803" t="s">
        <v>43</v>
      </c>
    </row>
    <row r="1804" spans="1:27" x14ac:dyDescent="0.3">
      <c r="A1804" t="s">
        <v>71</v>
      </c>
      <c r="B1804" t="s">
        <v>104</v>
      </c>
      <c r="C1804">
        <v>2021</v>
      </c>
      <c r="D1804" t="s">
        <v>38</v>
      </c>
      <c r="E1804">
        <v>107053.36</v>
      </c>
      <c r="F1804">
        <v>82.6</v>
      </c>
      <c r="G1804">
        <v>300</v>
      </c>
      <c r="H1804">
        <v>135.69999999999999</v>
      </c>
      <c r="I1804">
        <v>5.34</v>
      </c>
      <c r="J1804">
        <v>164</v>
      </c>
      <c r="K1804">
        <v>1000</v>
      </c>
      <c r="L1804">
        <v>856</v>
      </c>
      <c r="M1804" t="s">
        <v>30</v>
      </c>
      <c r="N1804">
        <v>7</v>
      </c>
      <c r="O1804" t="s">
        <v>57</v>
      </c>
      <c r="P1804">
        <v>37.6</v>
      </c>
      <c r="Q1804">
        <v>2029</v>
      </c>
      <c r="R1804">
        <v>3</v>
      </c>
      <c r="S1804">
        <v>0</v>
      </c>
      <c r="T1804" t="s">
        <v>73</v>
      </c>
      <c r="U1804" t="s">
        <v>33</v>
      </c>
      <c r="V1804">
        <v>216609</v>
      </c>
      <c r="W1804">
        <v>3.8</v>
      </c>
      <c r="X1804">
        <v>4</v>
      </c>
      <c r="Y1804" t="s">
        <v>43</v>
      </c>
      <c r="Z1804">
        <v>3.63</v>
      </c>
      <c r="AA1804" t="s">
        <v>35</v>
      </c>
    </row>
    <row r="1805" spans="1:27" x14ac:dyDescent="0.3">
      <c r="A1805" t="s">
        <v>71</v>
      </c>
      <c r="B1805" t="s">
        <v>75</v>
      </c>
      <c r="C1805">
        <v>2023</v>
      </c>
      <c r="D1805" t="s">
        <v>63</v>
      </c>
      <c r="E1805">
        <v>73542.570000000007</v>
      </c>
      <c r="F1805">
        <v>52.6</v>
      </c>
      <c r="G1805">
        <v>178</v>
      </c>
      <c r="H1805">
        <v>76.5</v>
      </c>
      <c r="I1805">
        <v>6.84</v>
      </c>
      <c r="J1805">
        <v>142</v>
      </c>
      <c r="K1805">
        <v>795</v>
      </c>
      <c r="L1805">
        <v>760</v>
      </c>
      <c r="M1805" t="s">
        <v>30</v>
      </c>
      <c r="N1805">
        <v>5</v>
      </c>
      <c r="O1805" t="s">
        <v>56</v>
      </c>
      <c r="P1805">
        <v>26.5</v>
      </c>
      <c r="Q1805">
        <v>1839</v>
      </c>
      <c r="R1805">
        <v>5</v>
      </c>
      <c r="S1805">
        <v>0</v>
      </c>
      <c r="T1805" t="s">
        <v>73</v>
      </c>
      <c r="U1805" t="s">
        <v>38</v>
      </c>
      <c r="V1805">
        <v>164917</v>
      </c>
      <c r="W1805">
        <v>3</v>
      </c>
      <c r="X1805">
        <v>4</v>
      </c>
      <c r="Y1805" t="s">
        <v>43</v>
      </c>
      <c r="Z1805">
        <v>3.38</v>
      </c>
      <c r="AA1805" t="s">
        <v>35</v>
      </c>
    </row>
    <row r="1806" spans="1:27" x14ac:dyDescent="0.3">
      <c r="A1806" t="s">
        <v>71</v>
      </c>
      <c r="B1806" t="s">
        <v>115</v>
      </c>
      <c r="C1806">
        <v>2025</v>
      </c>
      <c r="D1806" t="s">
        <v>68</v>
      </c>
      <c r="E1806">
        <v>52251.33</v>
      </c>
      <c r="F1806">
        <v>63.4</v>
      </c>
      <c r="G1806">
        <v>238</v>
      </c>
      <c r="H1806">
        <v>134</v>
      </c>
      <c r="I1806">
        <v>5.93</v>
      </c>
      <c r="J1806">
        <v>161</v>
      </c>
      <c r="K1806">
        <v>547</v>
      </c>
      <c r="L1806">
        <v>460</v>
      </c>
      <c r="M1806" t="s">
        <v>30</v>
      </c>
      <c r="N1806">
        <v>7</v>
      </c>
      <c r="O1806" t="s">
        <v>46</v>
      </c>
      <c r="P1806">
        <v>63.6</v>
      </c>
      <c r="Q1806">
        <v>1538</v>
      </c>
      <c r="R1806">
        <v>5</v>
      </c>
      <c r="S1806">
        <v>0</v>
      </c>
      <c r="T1806" t="s">
        <v>73</v>
      </c>
      <c r="U1806" t="s">
        <v>42</v>
      </c>
      <c r="V1806">
        <v>174435</v>
      </c>
      <c r="W1806">
        <v>3.2</v>
      </c>
      <c r="X1806">
        <v>3</v>
      </c>
      <c r="Y1806" t="s">
        <v>43</v>
      </c>
      <c r="Z1806">
        <v>3.75</v>
      </c>
      <c r="AA1806" t="s">
        <v>35</v>
      </c>
    </row>
    <row r="1807" spans="1:27" x14ac:dyDescent="0.3">
      <c r="A1807" t="s">
        <v>84</v>
      </c>
      <c r="B1807" t="s">
        <v>106</v>
      </c>
      <c r="C1807">
        <v>2025</v>
      </c>
      <c r="D1807" t="s">
        <v>63</v>
      </c>
      <c r="E1807">
        <v>67752.89</v>
      </c>
      <c r="F1807">
        <v>58.7</v>
      </c>
      <c r="G1807">
        <v>237</v>
      </c>
      <c r="H1807">
        <v>62.3</v>
      </c>
      <c r="I1807">
        <v>5.47</v>
      </c>
      <c r="J1807">
        <v>162</v>
      </c>
      <c r="K1807">
        <v>734</v>
      </c>
      <c r="L1807">
        <v>686</v>
      </c>
      <c r="M1807" t="s">
        <v>39</v>
      </c>
      <c r="N1807">
        <v>5</v>
      </c>
      <c r="O1807" t="s">
        <v>31</v>
      </c>
      <c r="P1807">
        <v>65.400000000000006</v>
      </c>
      <c r="Q1807">
        <v>2613</v>
      </c>
      <c r="R1807">
        <v>5</v>
      </c>
      <c r="S1807">
        <v>0</v>
      </c>
      <c r="T1807" t="s">
        <v>47</v>
      </c>
      <c r="U1807" t="s">
        <v>38</v>
      </c>
      <c r="V1807">
        <v>21665</v>
      </c>
      <c r="W1807">
        <v>3.6</v>
      </c>
      <c r="X1807">
        <v>5</v>
      </c>
      <c r="Y1807" t="s">
        <v>43</v>
      </c>
      <c r="Z1807">
        <v>4.04</v>
      </c>
      <c r="AA1807" t="s">
        <v>35</v>
      </c>
    </row>
    <row r="1808" spans="1:27" x14ac:dyDescent="0.3">
      <c r="A1808" t="s">
        <v>91</v>
      </c>
      <c r="B1808" t="s">
        <v>122</v>
      </c>
      <c r="C1808">
        <v>2025</v>
      </c>
      <c r="D1808" t="s">
        <v>63</v>
      </c>
      <c r="E1808">
        <v>48714.2</v>
      </c>
      <c r="F1808">
        <v>45.4</v>
      </c>
      <c r="G1808">
        <v>161</v>
      </c>
      <c r="H1808">
        <v>90.9</v>
      </c>
      <c r="I1808">
        <v>7.71</v>
      </c>
      <c r="J1808">
        <v>136</v>
      </c>
      <c r="K1808">
        <v>178</v>
      </c>
      <c r="L1808">
        <v>200</v>
      </c>
      <c r="M1808" t="s">
        <v>39</v>
      </c>
      <c r="N1808">
        <v>5</v>
      </c>
      <c r="O1808" t="s">
        <v>46</v>
      </c>
      <c r="P1808">
        <v>74.7</v>
      </c>
      <c r="Q1808">
        <v>1633</v>
      </c>
      <c r="R1808">
        <v>4</v>
      </c>
      <c r="S1808">
        <v>1</v>
      </c>
      <c r="T1808" t="s">
        <v>32</v>
      </c>
      <c r="U1808" t="s">
        <v>42</v>
      </c>
      <c r="V1808">
        <v>75073</v>
      </c>
      <c r="W1808">
        <v>3.2</v>
      </c>
      <c r="X1808">
        <v>6</v>
      </c>
      <c r="Y1808" t="s">
        <v>61</v>
      </c>
      <c r="Z1808">
        <v>3.55</v>
      </c>
      <c r="AA1808" t="s">
        <v>35</v>
      </c>
    </row>
    <row r="1809" spans="1:27" x14ac:dyDescent="0.3">
      <c r="A1809" t="s">
        <v>52</v>
      </c>
      <c r="B1809" t="s">
        <v>86</v>
      </c>
      <c r="C1809">
        <v>2026</v>
      </c>
      <c r="D1809" t="s">
        <v>63</v>
      </c>
      <c r="E1809">
        <v>31180.54</v>
      </c>
      <c r="F1809">
        <v>72.3</v>
      </c>
      <c r="G1809">
        <v>241</v>
      </c>
      <c r="H1809">
        <v>338</v>
      </c>
      <c r="I1809">
        <v>6.7</v>
      </c>
      <c r="J1809">
        <v>142</v>
      </c>
      <c r="K1809">
        <v>208</v>
      </c>
      <c r="L1809">
        <v>200</v>
      </c>
      <c r="M1809" t="s">
        <v>39</v>
      </c>
      <c r="N1809">
        <v>5</v>
      </c>
      <c r="O1809" t="s">
        <v>46</v>
      </c>
      <c r="P1809">
        <v>65.2</v>
      </c>
      <c r="Q1809">
        <v>1525</v>
      </c>
      <c r="R1809">
        <v>4</v>
      </c>
      <c r="S1809">
        <v>2</v>
      </c>
      <c r="T1809" t="s">
        <v>47</v>
      </c>
      <c r="U1809" t="s">
        <v>74</v>
      </c>
      <c r="V1809">
        <v>143060</v>
      </c>
      <c r="W1809">
        <v>3.9</v>
      </c>
      <c r="X1809">
        <v>4</v>
      </c>
      <c r="Y1809" t="s">
        <v>43</v>
      </c>
      <c r="Z1809">
        <v>3.33</v>
      </c>
      <c r="AA1809" t="s">
        <v>35</v>
      </c>
    </row>
    <row r="1810" spans="1:27" x14ac:dyDescent="0.3">
      <c r="A1810" t="s">
        <v>52</v>
      </c>
      <c r="B1810" t="s">
        <v>55</v>
      </c>
      <c r="C1810">
        <v>2025</v>
      </c>
      <c r="D1810" t="s">
        <v>50</v>
      </c>
      <c r="E1810">
        <v>68461.67</v>
      </c>
      <c r="F1810">
        <v>80.8</v>
      </c>
      <c r="G1810">
        <v>305</v>
      </c>
      <c r="H1810">
        <v>310.2</v>
      </c>
      <c r="I1810">
        <v>4.5</v>
      </c>
      <c r="J1810">
        <v>183</v>
      </c>
      <c r="K1810">
        <v>508</v>
      </c>
      <c r="L1810">
        <v>430</v>
      </c>
      <c r="M1810" t="s">
        <v>39</v>
      </c>
      <c r="N1810">
        <v>7</v>
      </c>
      <c r="O1810" t="s">
        <v>57</v>
      </c>
      <c r="P1810">
        <v>19.2</v>
      </c>
      <c r="Q1810">
        <v>1614</v>
      </c>
      <c r="R1810">
        <v>4</v>
      </c>
      <c r="S1810">
        <v>2</v>
      </c>
      <c r="T1810" t="s">
        <v>47</v>
      </c>
      <c r="U1810" t="s">
        <v>38</v>
      </c>
      <c r="V1810">
        <v>443244</v>
      </c>
      <c r="W1810">
        <v>3.9</v>
      </c>
      <c r="X1810">
        <v>4</v>
      </c>
      <c r="Y1810" t="s">
        <v>43</v>
      </c>
      <c r="Z1810">
        <v>3.77</v>
      </c>
      <c r="AA1810" t="s">
        <v>35</v>
      </c>
    </row>
    <row r="1811" spans="1:27" x14ac:dyDescent="0.3">
      <c r="A1811" t="s">
        <v>52</v>
      </c>
      <c r="B1811" t="s">
        <v>64</v>
      </c>
      <c r="C1811">
        <v>2023</v>
      </c>
      <c r="D1811" t="s">
        <v>38</v>
      </c>
      <c r="E1811">
        <v>51643.69</v>
      </c>
      <c r="F1811">
        <v>41.7</v>
      </c>
      <c r="G1811">
        <v>150</v>
      </c>
      <c r="H1811">
        <v>282.3</v>
      </c>
      <c r="I1811">
        <v>6.36</v>
      </c>
      <c r="J1811">
        <v>153</v>
      </c>
      <c r="K1811">
        <v>364</v>
      </c>
      <c r="L1811">
        <v>303</v>
      </c>
      <c r="M1811" t="s">
        <v>30</v>
      </c>
      <c r="N1811">
        <v>5</v>
      </c>
      <c r="O1811" t="s">
        <v>31</v>
      </c>
      <c r="P1811">
        <v>65.8</v>
      </c>
      <c r="Q1811">
        <v>2333</v>
      </c>
      <c r="R1811">
        <v>5</v>
      </c>
      <c r="S1811">
        <v>2</v>
      </c>
      <c r="T1811" t="s">
        <v>47</v>
      </c>
      <c r="U1811" t="s">
        <v>42</v>
      </c>
      <c r="V1811">
        <v>247691</v>
      </c>
      <c r="W1811">
        <v>3.4</v>
      </c>
      <c r="X1811">
        <v>6</v>
      </c>
      <c r="Y1811" t="s">
        <v>43</v>
      </c>
      <c r="Z1811">
        <v>3.6</v>
      </c>
      <c r="AA1811" t="s">
        <v>35</v>
      </c>
    </row>
    <row r="1812" spans="1:27" x14ac:dyDescent="0.3">
      <c r="A1812" t="s">
        <v>91</v>
      </c>
      <c r="B1812" t="s">
        <v>112</v>
      </c>
      <c r="C1812">
        <v>2025</v>
      </c>
      <c r="D1812" t="s">
        <v>68</v>
      </c>
      <c r="E1812">
        <v>66272.639999999999</v>
      </c>
      <c r="F1812">
        <v>70.2</v>
      </c>
      <c r="G1812">
        <v>263</v>
      </c>
      <c r="H1812">
        <v>100.5</v>
      </c>
      <c r="I1812">
        <v>6.96</v>
      </c>
      <c r="J1812">
        <v>144</v>
      </c>
      <c r="K1812">
        <v>418</v>
      </c>
      <c r="L1812">
        <v>412</v>
      </c>
      <c r="M1812" t="s">
        <v>30</v>
      </c>
      <c r="N1812">
        <v>5</v>
      </c>
      <c r="O1812" t="s">
        <v>65</v>
      </c>
      <c r="P1812">
        <v>22.2</v>
      </c>
      <c r="Q1812">
        <v>1554</v>
      </c>
      <c r="R1812">
        <v>4</v>
      </c>
      <c r="S1812">
        <v>1</v>
      </c>
      <c r="T1812" t="s">
        <v>32</v>
      </c>
      <c r="U1812" t="s">
        <v>38</v>
      </c>
      <c r="V1812">
        <v>66889</v>
      </c>
      <c r="W1812">
        <v>3.6</v>
      </c>
      <c r="X1812">
        <v>6</v>
      </c>
      <c r="Y1812" t="s">
        <v>43</v>
      </c>
      <c r="Z1812">
        <v>3.75</v>
      </c>
      <c r="AA1812" t="s">
        <v>35</v>
      </c>
    </row>
    <row r="1813" spans="1:27" x14ac:dyDescent="0.3">
      <c r="A1813" t="s">
        <v>84</v>
      </c>
      <c r="B1813" t="s">
        <v>99</v>
      </c>
      <c r="C1813">
        <v>2025</v>
      </c>
      <c r="D1813" t="s">
        <v>68</v>
      </c>
      <c r="E1813">
        <v>68957.58</v>
      </c>
      <c r="F1813">
        <v>70.099999999999994</v>
      </c>
      <c r="G1813">
        <v>262</v>
      </c>
      <c r="H1813">
        <v>65.599999999999994</v>
      </c>
      <c r="I1813">
        <v>7.66</v>
      </c>
      <c r="J1813">
        <v>142</v>
      </c>
      <c r="K1813">
        <v>719</v>
      </c>
      <c r="L1813">
        <v>687</v>
      </c>
      <c r="M1813" t="s">
        <v>30</v>
      </c>
      <c r="N1813">
        <v>4</v>
      </c>
      <c r="O1813" t="s">
        <v>31</v>
      </c>
      <c r="P1813">
        <v>78.3</v>
      </c>
      <c r="Q1813">
        <v>2809</v>
      </c>
      <c r="R1813">
        <v>5</v>
      </c>
      <c r="S1813">
        <v>1</v>
      </c>
      <c r="T1813" t="s">
        <v>47</v>
      </c>
      <c r="U1813" t="s">
        <v>38</v>
      </c>
      <c r="V1813">
        <v>69276</v>
      </c>
      <c r="W1813">
        <v>3.4</v>
      </c>
      <c r="X1813">
        <v>5</v>
      </c>
      <c r="Y1813" t="s">
        <v>61</v>
      </c>
      <c r="Z1813">
        <v>3.74</v>
      </c>
      <c r="AA1813" t="s">
        <v>35</v>
      </c>
    </row>
    <row r="1814" spans="1:27" x14ac:dyDescent="0.3">
      <c r="A1814" t="s">
        <v>71</v>
      </c>
      <c r="B1814" t="s">
        <v>104</v>
      </c>
      <c r="C1814">
        <v>2024</v>
      </c>
      <c r="D1814" t="s">
        <v>68</v>
      </c>
      <c r="E1814">
        <v>51238.400000000001</v>
      </c>
      <c r="F1814">
        <v>51.6</v>
      </c>
      <c r="G1814">
        <v>185</v>
      </c>
      <c r="H1814">
        <v>122.5</v>
      </c>
      <c r="I1814">
        <v>6.52</v>
      </c>
      <c r="J1814">
        <v>153</v>
      </c>
      <c r="K1814">
        <v>593</v>
      </c>
      <c r="L1814">
        <v>509</v>
      </c>
      <c r="M1814" t="s">
        <v>39</v>
      </c>
      <c r="N1814">
        <v>5</v>
      </c>
      <c r="O1814" t="s">
        <v>56</v>
      </c>
      <c r="P1814">
        <v>24.2</v>
      </c>
      <c r="Q1814">
        <v>1637</v>
      </c>
      <c r="R1814">
        <v>5</v>
      </c>
      <c r="S1814">
        <v>1</v>
      </c>
      <c r="T1814" t="s">
        <v>73</v>
      </c>
      <c r="U1814" t="s">
        <v>42</v>
      </c>
      <c r="V1814">
        <v>242985</v>
      </c>
      <c r="W1814">
        <v>3.5</v>
      </c>
      <c r="X1814">
        <v>3</v>
      </c>
      <c r="Y1814" t="s">
        <v>43</v>
      </c>
      <c r="Z1814">
        <v>3.59</v>
      </c>
      <c r="AA1814" t="s">
        <v>35</v>
      </c>
    </row>
    <row r="1815" spans="1:27" x14ac:dyDescent="0.3">
      <c r="A1815" t="s">
        <v>52</v>
      </c>
      <c r="B1815" t="s">
        <v>55</v>
      </c>
      <c r="C1815">
        <v>2025</v>
      </c>
      <c r="D1815" t="s">
        <v>63</v>
      </c>
      <c r="E1815">
        <v>114587.9</v>
      </c>
      <c r="F1815">
        <v>67.3</v>
      </c>
      <c r="G1815">
        <v>242</v>
      </c>
      <c r="H1815">
        <v>324.39999999999998</v>
      </c>
      <c r="I1815">
        <v>7.79</v>
      </c>
      <c r="J1815">
        <v>120</v>
      </c>
      <c r="K1815">
        <v>860</v>
      </c>
      <c r="L1815">
        <v>798</v>
      </c>
      <c r="M1815" t="s">
        <v>39</v>
      </c>
      <c r="N1815">
        <v>5</v>
      </c>
      <c r="O1815" t="s">
        <v>57</v>
      </c>
      <c r="P1815">
        <v>34.6</v>
      </c>
      <c r="Q1815">
        <v>1534</v>
      </c>
      <c r="R1815">
        <v>3</v>
      </c>
      <c r="S1815">
        <v>2</v>
      </c>
      <c r="T1815" t="s">
        <v>47</v>
      </c>
      <c r="U1815" t="s">
        <v>33</v>
      </c>
      <c r="V1815">
        <v>458139</v>
      </c>
      <c r="W1815">
        <v>3.8</v>
      </c>
      <c r="X1815">
        <v>5</v>
      </c>
      <c r="Y1815" t="s">
        <v>61</v>
      </c>
      <c r="Z1815">
        <v>3.6</v>
      </c>
      <c r="AA1815" t="s">
        <v>35</v>
      </c>
    </row>
    <row r="1816" spans="1:27" x14ac:dyDescent="0.3">
      <c r="A1816" t="s">
        <v>52</v>
      </c>
      <c r="B1816" t="s">
        <v>80</v>
      </c>
      <c r="C1816">
        <v>2024</v>
      </c>
      <c r="D1816" t="s">
        <v>68</v>
      </c>
      <c r="E1816">
        <v>43048</v>
      </c>
      <c r="F1816">
        <v>78.2</v>
      </c>
      <c r="G1816">
        <v>305</v>
      </c>
      <c r="H1816">
        <v>284.8</v>
      </c>
      <c r="I1816">
        <v>5.32</v>
      </c>
      <c r="J1816">
        <v>167</v>
      </c>
      <c r="K1816">
        <v>283</v>
      </c>
      <c r="L1816">
        <v>238</v>
      </c>
      <c r="M1816" t="s">
        <v>39</v>
      </c>
      <c r="N1816">
        <v>7</v>
      </c>
      <c r="O1816" t="s">
        <v>31</v>
      </c>
      <c r="P1816">
        <v>69</v>
      </c>
      <c r="Q1816">
        <v>2507</v>
      </c>
      <c r="R1816">
        <v>5</v>
      </c>
      <c r="S1816">
        <v>2</v>
      </c>
      <c r="T1816" t="s">
        <v>47</v>
      </c>
      <c r="U1816" t="s">
        <v>42</v>
      </c>
      <c r="V1816">
        <v>249983</v>
      </c>
      <c r="W1816">
        <v>3.2</v>
      </c>
      <c r="X1816">
        <v>5</v>
      </c>
      <c r="Y1816" t="s">
        <v>43</v>
      </c>
      <c r="Z1816">
        <v>3.9</v>
      </c>
      <c r="AA1816" t="s">
        <v>35</v>
      </c>
    </row>
    <row r="1817" spans="1:27" x14ac:dyDescent="0.3">
      <c r="A1817" t="s">
        <v>66</v>
      </c>
      <c r="B1817" t="s">
        <v>119</v>
      </c>
      <c r="C1817">
        <v>2025</v>
      </c>
      <c r="D1817" t="s">
        <v>38</v>
      </c>
      <c r="E1817">
        <v>54042</v>
      </c>
      <c r="F1817">
        <v>69.8</v>
      </c>
      <c r="G1817">
        <v>254</v>
      </c>
      <c r="H1817">
        <v>61.6</v>
      </c>
      <c r="I1817">
        <v>6.62</v>
      </c>
      <c r="J1817">
        <v>157</v>
      </c>
      <c r="K1817">
        <v>343</v>
      </c>
      <c r="L1817">
        <v>288</v>
      </c>
      <c r="M1817" t="s">
        <v>54</v>
      </c>
      <c r="N1817">
        <v>5</v>
      </c>
      <c r="O1817" t="s">
        <v>31</v>
      </c>
      <c r="P1817">
        <v>68.2</v>
      </c>
      <c r="Q1817">
        <v>2045</v>
      </c>
      <c r="R1817">
        <v>4</v>
      </c>
      <c r="S1817">
        <v>2</v>
      </c>
      <c r="T1817" t="s">
        <v>47</v>
      </c>
      <c r="U1817" t="s">
        <v>42</v>
      </c>
      <c r="V1817">
        <v>17793</v>
      </c>
      <c r="W1817">
        <v>3.4</v>
      </c>
      <c r="X1817">
        <v>5</v>
      </c>
      <c r="Y1817" t="s">
        <v>43</v>
      </c>
      <c r="Z1817">
        <v>3.64</v>
      </c>
      <c r="AA1817" t="s">
        <v>43</v>
      </c>
    </row>
    <row r="1818" spans="1:27" x14ac:dyDescent="0.3">
      <c r="A1818" t="s">
        <v>71</v>
      </c>
      <c r="B1818" t="s">
        <v>75</v>
      </c>
      <c r="C1818">
        <v>2025</v>
      </c>
      <c r="D1818" t="s">
        <v>38</v>
      </c>
      <c r="E1818">
        <v>34873.269999999997</v>
      </c>
      <c r="F1818">
        <v>63.6</v>
      </c>
      <c r="G1818">
        <v>236</v>
      </c>
      <c r="H1818">
        <v>57.6</v>
      </c>
      <c r="I1818">
        <v>6.36</v>
      </c>
      <c r="J1818">
        <v>149</v>
      </c>
      <c r="K1818">
        <v>380</v>
      </c>
      <c r="L1818">
        <v>328</v>
      </c>
      <c r="M1818" t="s">
        <v>30</v>
      </c>
      <c r="N1818">
        <v>7</v>
      </c>
      <c r="O1818" t="s">
        <v>57</v>
      </c>
      <c r="P1818">
        <v>21.2</v>
      </c>
      <c r="Q1818">
        <v>1500</v>
      </c>
      <c r="R1818">
        <v>4</v>
      </c>
      <c r="S1818">
        <v>0</v>
      </c>
      <c r="T1818" t="s">
        <v>73</v>
      </c>
      <c r="U1818" t="s">
        <v>74</v>
      </c>
      <c r="V1818">
        <v>145087</v>
      </c>
      <c r="W1818">
        <v>3.3</v>
      </c>
      <c r="X1818">
        <v>4</v>
      </c>
      <c r="Y1818" t="s">
        <v>43</v>
      </c>
      <c r="Z1818">
        <v>3.71</v>
      </c>
      <c r="AA1818" t="s">
        <v>35</v>
      </c>
    </row>
    <row r="1819" spans="1:27" x14ac:dyDescent="0.3">
      <c r="A1819" t="s">
        <v>84</v>
      </c>
      <c r="B1819" t="s">
        <v>106</v>
      </c>
      <c r="C1819">
        <v>2025</v>
      </c>
      <c r="D1819" t="s">
        <v>68</v>
      </c>
      <c r="E1819">
        <v>47275.39</v>
      </c>
      <c r="F1819">
        <v>64.900000000000006</v>
      </c>
      <c r="G1819">
        <v>242</v>
      </c>
      <c r="H1819">
        <v>148.9</v>
      </c>
      <c r="I1819">
        <v>5.12</v>
      </c>
      <c r="J1819">
        <v>166</v>
      </c>
      <c r="K1819">
        <v>415</v>
      </c>
      <c r="L1819">
        <v>361</v>
      </c>
      <c r="M1819" t="s">
        <v>39</v>
      </c>
      <c r="N1819">
        <v>5</v>
      </c>
      <c r="O1819" t="s">
        <v>57</v>
      </c>
      <c r="P1819">
        <v>38.200000000000003</v>
      </c>
      <c r="Q1819">
        <v>1509</v>
      </c>
      <c r="R1819">
        <v>3</v>
      </c>
      <c r="S1819">
        <v>1</v>
      </c>
      <c r="T1819" t="s">
        <v>47</v>
      </c>
      <c r="U1819" t="s">
        <v>42</v>
      </c>
      <c r="V1819">
        <v>20597</v>
      </c>
      <c r="W1819">
        <v>3.5</v>
      </c>
      <c r="X1819">
        <v>5</v>
      </c>
      <c r="Y1819" t="s">
        <v>43</v>
      </c>
      <c r="Z1819">
        <v>3.73</v>
      </c>
      <c r="AA1819" t="s">
        <v>35</v>
      </c>
    </row>
    <row r="1820" spans="1:27" x14ac:dyDescent="0.3">
      <c r="A1820" t="s">
        <v>91</v>
      </c>
      <c r="B1820" t="s">
        <v>124</v>
      </c>
      <c r="C1820">
        <v>2024</v>
      </c>
      <c r="D1820" t="s">
        <v>50</v>
      </c>
      <c r="E1820">
        <v>69815.81</v>
      </c>
      <c r="F1820">
        <v>81.099999999999994</v>
      </c>
      <c r="G1820">
        <v>291</v>
      </c>
      <c r="H1820">
        <v>69.8</v>
      </c>
      <c r="I1820">
        <v>5.43</v>
      </c>
      <c r="J1820">
        <v>172</v>
      </c>
      <c r="K1820">
        <v>444</v>
      </c>
      <c r="L1820">
        <v>391</v>
      </c>
      <c r="M1820" t="s">
        <v>39</v>
      </c>
      <c r="N1820">
        <v>7</v>
      </c>
      <c r="O1820" t="s">
        <v>40</v>
      </c>
      <c r="P1820">
        <v>41.1</v>
      </c>
      <c r="Q1820">
        <v>2056</v>
      </c>
      <c r="R1820">
        <v>4</v>
      </c>
      <c r="S1820">
        <v>1</v>
      </c>
      <c r="T1820" t="s">
        <v>32</v>
      </c>
      <c r="U1820" t="s">
        <v>38</v>
      </c>
      <c r="V1820">
        <v>42961</v>
      </c>
      <c r="W1820">
        <v>3.6</v>
      </c>
      <c r="X1820">
        <v>5</v>
      </c>
      <c r="Y1820" t="s">
        <v>43</v>
      </c>
      <c r="Z1820">
        <v>3.59</v>
      </c>
      <c r="AA1820" t="s">
        <v>35</v>
      </c>
    </row>
    <row r="1821" spans="1:27" x14ac:dyDescent="0.3">
      <c r="A1821" t="s">
        <v>27</v>
      </c>
      <c r="B1821" t="s">
        <v>82</v>
      </c>
      <c r="C1821">
        <v>2025</v>
      </c>
      <c r="D1821" t="s">
        <v>50</v>
      </c>
      <c r="E1821">
        <v>95115.92</v>
      </c>
      <c r="F1821">
        <v>83</v>
      </c>
      <c r="G1821">
        <v>275</v>
      </c>
      <c r="H1821">
        <v>136</v>
      </c>
      <c r="I1821">
        <v>5.38</v>
      </c>
      <c r="J1821">
        <v>170</v>
      </c>
      <c r="K1821">
        <v>1000</v>
      </c>
      <c r="L1821">
        <v>873</v>
      </c>
      <c r="M1821" t="s">
        <v>30</v>
      </c>
      <c r="N1821">
        <v>7</v>
      </c>
      <c r="O1821" t="s">
        <v>65</v>
      </c>
      <c r="P1821">
        <v>28</v>
      </c>
      <c r="Q1821">
        <v>1693</v>
      </c>
      <c r="R1821">
        <v>3</v>
      </c>
      <c r="S1821">
        <v>1</v>
      </c>
      <c r="T1821" t="s">
        <v>32</v>
      </c>
      <c r="U1821" t="s">
        <v>38</v>
      </c>
      <c r="V1821">
        <v>223250</v>
      </c>
      <c r="W1821">
        <v>3.5</v>
      </c>
      <c r="X1821">
        <v>4</v>
      </c>
      <c r="Y1821" t="s">
        <v>43</v>
      </c>
      <c r="Z1821">
        <v>3.31</v>
      </c>
      <c r="AA1821" t="s">
        <v>35</v>
      </c>
    </row>
    <row r="1822" spans="1:27" x14ac:dyDescent="0.3">
      <c r="A1822" t="s">
        <v>71</v>
      </c>
      <c r="B1822" t="s">
        <v>115</v>
      </c>
      <c r="C1822">
        <v>2025</v>
      </c>
      <c r="D1822" t="s">
        <v>38</v>
      </c>
      <c r="E1822">
        <v>33846.449999999997</v>
      </c>
      <c r="F1822">
        <v>52.4</v>
      </c>
      <c r="G1822">
        <v>171</v>
      </c>
      <c r="H1822">
        <v>126.2</v>
      </c>
      <c r="I1822">
        <v>7.36</v>
      </c>
      <c r="J1822">
        <v>138</v>
      </c>
      <c r="K1822">
        <v>348</v>
      </c>
      <c r="L1822">
        <v>349</v>
      </c>
      <c r="M1822" t="s">
        <v>39</v>
      </c>
      <c r="N1822">
        <v>5</v>
      </c>
      <c r="O1822" t="s">
        <v>31</v>
      </c>
      <c r="P1822">
        <v>75.5</v>
      </c>
      <c r="Q1822">
        <v>2279</v>
      </c>
      <c r="R1822">
        <v>5</v>
      </c>
      <c r="S1822">
        <v>2</v>
      </c>
      <c r="T1822" t="s">
        <v>73</v>
      </c>
      <c r="U1822" t="s">
        <v>74</v>
      </c>
      <c r="V1822">
        <v>220677</v>
      </c>
      <c r="W1822">
        <v>3.2</v>
      </c>
      <c r="X1822">
        <v>5</v>
      </c>
      <c r="Y1822" t="s">
        <v>61</v>
      </c>
      <c r="Z1822">
        <v>3.26</v>
      </c>
      <c r="AA1822" t="s">
        <v>35</v>
      </c>
    </row>
    <row r="1823" spans="1:27" x14ac:dyDescent="0.3">
      <c r="A1823" t="s">
        <v>52</v>
      </c>
      <c r="B1823" t="s">
        <v>80</v>
      </c>
      <c r="C1823">
        <v>2025</v>
      </c>
      <c r="D1823" t="s">
        <v>38</v>
      </c>
      <c r="E1823">
        <v>98891.22</v>
      </c>
      <c r="F1823">
        <v>78.900000000000006</v>
      </c>
      <c r="G1823">
        <v>301</v>
      </c>
      <c r="H1823">
        <v>269.89999999999998</v>
      </c>
      <c r="I1823">
        <v>6.78</v>
      </c>
      <c r="J1823">
        <v>143</v>
      </c>
      <c r="K1823">
        <v>712</v>
      </c>
      <c r="L1823">
        <v>623</v>
      </c>
      <c r="M1823" t="s">
        <v>39</v>
      </c>
      <c r="N1823">
        <v>5</v>
      </c>
      <c r="O1823" t="s">
        <v>31</v>
      </c>
      <c r="P1823">
        <v>75.400000000000006</v>
      </c>
      <c r="Q1823">
        <v>2642</v>
      </c>
      <c r="R1823">
        <v>4</v>
      </c>
      <c r="S1823">
        <v>2</v>
      </c>
      <c r="T1823" t="s">
        <v>47</v>
      </c>
      <c r="U1823" t="s">
        <v>38</v>
      </c>
      <c r="V1823">
        <v>113008</v>
      </c>
      <c r="W1823">
        <v>3.9</v>
      </c>
      <c r="X1823">
        <v>4</v>
      </c>
      <c r="Y1823" t="s">
        <v>43</v>
      </c>
      <c r="Z1823">
        <v>3.81</v>
      </c>
      <c r="AA1823" t="s">
        <v>35</v>
      </c>
    </row>
    <row r="1824" spans="1:27" x14ac:dyDescent="0.3">
      <c r="A1824" t="s">
        <v>48</v>
      </c>
      <c r="B1824" t="s">
        <v>79</v>
      </c>
      <c r="C1824">
        <v>2020</v>
      </c>
      <c r="D1824" t="s">
        <v>29</v>
      </c>
      <c r="E1824">
        <v>51182.15</v>
      </c>
      <c r="F1824">
        <v>115.1</v>
      </c>
      <c r="G1824">
        <v>444</v>
      </c>
      <c r="H1824">
        <v>158.4</v>
      </c>
      <c r="I1824">
        <v>3.23</v>
      </c>
      <c r="J1824">
        <v>200</v>
      </c>
      <c r="K1824">
        <v>509</v>
      </c>
      <c r="L1824">
        <v>422</v>
      </c>
      <c r="M1824" t="s">
        <v>39</v>
      </c>
      <c r="N1824">
        <v>7</v>
      </c>
      <c r="O1824" t="s">
        <v>46</v>
      </c>
      <c r="P1824">
        <v>78.2</v>
      </c>
      <c r="Q1824">
        <v>1712</v>
      </c>
      <c r="R1824">
        <v>5</v>
      </c>
      <c r="S1824">
        <v>0</v>
      </c>
      <c r="T1824" t="s">
        <v>51</v>
      </c>
      <c r="U1824" t="s">
        <v>42</v>
      </c>
      <c r="V1824">
        <v>106543</v>
      </c>
      <c r="W1824">
        <v>3.8</v>
      </c>
      <c r="X1824">
        <v>4</v>
      </c>
      <c r="Y1824" t="s">
        <v>34</v>
      </c>
      <c r="Z1824">
        <v>3.86</v>
      </c>
      <c r="AA1824" t="s">
        <v>35</v>
      </c>
    </row>
    <row r="1825" spans="1:27" x14ac:dyDescent="0.3">
      <c r="A1825" t="s">
        <v>84</v>
      </c>
      <c r="B1825" t="s">
        <v>89</v>
      </c>
      <c r="C1825">
        <v>2023</v>
      </c>
      <c r="D1825" t="s">
        <v>68</v>
      </c>
      <c r="E1825">
        <v>53190.35</v>
      </c>
      <c r="F1825">
        <v>62.2</v>
      </c>
      <c r="G1825">
        <v>200</v>
      </c>
      <c r="H1825">
        <v>78.099999999999994</v>
      </c>
      <c r="I1825">
        <v>7.05</v>
      </c>
      <c r="J1825">
        <v>148</v>
      </c>
      <c r="K1825">
        <v>511</v>
      </c>
      <c r="L1825">
        <v>461</v>
      </c>
      <c r="M1825" t="s">
        <v>39</v>
      </c>
      <c r="N1825">
        <v>7</v>
      </c>
      <c r="O1825" t="s">
        <v>56</v>
      </c>
      <c r="P1825">
        <v>39</v>
      </c>
      <c r="Q1825">
        <v>1682</v>
      </c>
      <c r="R1825">
        <v>4</v>
      </c>
      <c r="S1825">
        <v>2</v>
      </c>
      <c r="T1825" t="s">
        <v>47</v>
      </c>
      <c r="U1825" t="s">
        <v>42</v>
      </c>
      <c r="V1825">
        <v>73417</v>
      </c>
      <c r="W1825">
        <v>3.1</v>
      </c>
      <c r="X1825">
        <v>4</v>
      </c>
      <c r="Y1825" t="s">
        <v>61</v>
      </c>
      <c r="Z1825">
        <v>3.22</v>
      </c>
      <c r="AA1825" t="s">
        <v>35</v>
      </c>
    </row>
    <row r="1826" spans="1:27" x14ac:dyDescent="0.3">
      <c r="A1826" t="s">
        <v>91</v>
      </c>
      <c r="B1826" t="s">
        <v>122</v>
      </c>
      <c r="C1826">
        <v>2024</v>
      </c>
      <c r="D1826" t="s">
        <v>63</v>
      </c>
      <c r="E1826">
        <v>73900.67</v>
      </c>
      <c r="F1826">
        <v>72.400000000000006</v>
      </c>
      <c r="G1826">
        <v>258</v>
      </c>
      <c r="H1826">
        <v>101.5</v>
      </c>
      <c r="I1826">
        <v>7.83</v>
      </c>
      <c r="J1826">
        <v>134</v>
      </c>
      <c r="K1826">
        <v>438</v>
      </c>
      <c r="L1826">
        <v>406</v>
      </c>
      <c r="M1826" t="s">
        <v>39</v>
      </c>
      <c r="N1826">
        <v>5</v>
      </c>
      <c r="O1826" t="s">
        <v>57</v>
      </c>
      <c r="P1826">
        <v>35.200000000000003</v>
      </c>
      <c r="Q1826">
        <v>1522</v>
      </c>
      <c r="R1826">
        <v>5</v>
      </c>
      <c r="S1826">
        <v>2</v>
      </c>
      <c r="T1826" t="s">
        <v>32</v>
      </c>
      <c r="U1826" t="s">
        <v>38</v>
      </c>
      <c r="V1826">
        <v>78616</v>
      </c>
      <c r="W1826">
        <v>3.2</v>
      </c>
      <c r="X1826">
        <v>6</v>
      </c>
      <c r="Y1826" t="s">
        <v>61</v>
      </c>
      <c r="Z1826">
        <v>3.56</v>
      </c>
      <c r="AA1826" t="s">
        <v>35</v>
      </c>
    </row>
    <row r="1827" spans="1:27" x14ac:dyDescent="0.3">
      <c r="A1827" t="s">
        <v>76</v>
      </c>
      <c r="B1827" t="s">
        <v>77</v>
      </c>
      <c r="C1827">
        <v>2023</v>
      </c>
      <c r="D1827" t="s">
        <v>50</v>
      </c>
      <c r="E1827">
        <v>49376.97</v>
      </c>
      <c r="F1827">
        <v>105.9</v>
      </c>
      <c r="G1827">
        <v>348</v>
      </c>
      <c r="H1827">
        <v>77.3</v>
      </c>
      <c r="I1827">
        <v>4.75</v>
      </c>
      <c r="J1827">
        <v>175</v>
      </c>
      <c r="K1827">
        <v>509</v>
      </c>
      <c r="L1827">
        <v>436</v>
      </c>
      <c r="M1827" t="s">
        <v>39</v>
      </c>
      <c r="N1827">
        <v>7</v>
      </c>
      <c r="O1827" t="s">
        <v>56</v>
      </c>
      <c r="P1827">
        <v>37.4</v>
      </c>
      <c r="Q1827">
        <v>1766</v>
      </c>
      <c r="R1827">
        <v>5</v>
      </c>
      <c r="S1827">
        <v>1</v>
      </c>
      <c r="T1827" t="s">
        <v>51</v>
      </c>
      <c r="U1827" t="s">
        <v>42</v>
      </c>
      <c r="V1827">
        <v>113770</v>
      </c>
      <c r="W1827">
        <v>3.5</v>
      </c>
      <c r="X1827">
        <v>4</v>
      </c>
      <c r="Y1827" t="s">
        <v>43</v>
      </c>
      <c r="Z1827">
        <v>3.29</v>
      </c>
      <c r="AA1827" t="s">
        <v>35</v>
      </c>
    </row>
    <row r="1828" spans="1:27" x14ac:dyDescent="0.3">
      <c r="A1828" t="s">
        <v>52</v>
      </c>
      <c r="B1828" t="s">
        <v>53</v>
      </c>
      <c r="C1828">
        <v>2025</v>
      </c>
      <c r="D1828" t="s">
        <v>38</v>
      </c>
      <c r="E1828">
        <v>129475.2</v>
      </c>
      <c r="F1828">
        <v>46.6</v>
      </c>
      <c r="G1828">
        <v>150</v>
      </c>
      <c r="H1828">
        <v>264.8</v>
      </c>
      <c r="I1828">
        <v>6.99</v>
      </c>
      <c r="J1828">
        <v>144</v>
      </c>
      <c r="K1828">
        <v>897</v>
      </c>
      <c r="L1828">
        <v>779</v>
      </c>
      <c r="M1828" t="s">
        <v>30</v>
      </c>
      <c r="N1828">
        <v>7</v>
      </c>
      <c r="O1828" t="s">
        <v>40</v>
      </c>
      <c r="P1828">
        <v>54.9</v>
      </c>
      <c r="Q1828">
        <v>1856</v>
      </c>
      <c r="R1828">
        <v>4</v>
      </c>
      <c r="S1828">
        <v>2</v>
      </c>
      <c r="T1828" t="s">
        <v>47</v>
      </c>
      <c r="U1828" t="s">
        <v>33</v>
      </c>
      <c r="V1828">
        <v>225901</v>
      </c>
      <c r="W1828">
        <v>3.6</v>
      </c>
      <c r="X1828">
        <v>5</v>
      </c>
      <c r="Y1828" t="s">
        <v>43</v>
      </c>
      <c r="Z1828">
        <v>3.22</v>
      </c>
      <c r="AA1828" t="s">
        <v>35</v>
      </c>
    </row>
    <row r="1829" spans="1:27" x14ac:dyDescent="0.3">
      <c r="A1829" t="s">
        <v>66</v>
      </c>
      <c r="B1829" t="s">
        <v>119</v>
      </c>
      <c r="C1829">
        <v>2023</v>
      </c>
      <c r="D1829" t="s">
        <v>63</v>
      </c>
      <c r="E1829">
        <v>81514.31</v>
      </c>
      <c r="F1829">
        <v>48.1</v>
      </c>
      <c r="G1829">
        <v>186</v>
      </c>
      <c r="H1829">
        <v>57.9</v>
      </c>
      <c r="I1829">
        <v>6.12</v>
      </c>
      <c r="J1829">
        <v>157</v>
      </c>
      <c r="K1829">
        <v>683</v>
      </c>
      <c r="L1829">
        <v>634</v>
      </c>
      <c r="M1829" t="s">
        <v>39</v>
      </c>
      <c r="N1829">
        <v>5</v>
      </c>
      <c r="O1829" t="s">
        <v>56</v>
      </c>
      <c r="P1829">
        <v>27.3</v>
      </c>
      <c r="Q1829">
        <v>1690</v>
      </c>
      <c r="R1829">
        <v>4</v>
      </c>
      <c r="S1829">
        <v>1</v>
      </c>
      <c r="T1829" t="s">
        <v>47</v>
      </c>
      <c r="U1829" t="s">
        <v>38</v>
      </c>
      <c r="V1829">
        <v>16427</v>
      </c>
      <c r="W1829">
        <v>3.4</v>
      </c>
      <c r="X1829">
        <v>3</v>
      </c>
      <c r="Y1829" t="s">
        <v>43</v>
      </c>
      <c r="Z1829">
        <v>3.87</v>
      </c>
      <c r="AA1829" t="s">
        <v>43</v>
      </c>
    </row>
    <row r="1830" spans="1:27" x14ac:dyDescent="0.3">
      <c r="A1830" t="s">
        <v>84</v>
      </c>
      <c r="B1830" t="s">
        <v>99</v>
      </c>
      <c r="C1830">
        <v>2024</v>
      </c>
      <c r="D1830" t="s">
        <v>63</v>
      </c>
      <c r="E1830">
        <v>33054.57</v>
      </c>
      <c r="F1830">
        <v>55.6</v>
      </c>
      <c r="G1830">
        <v>203</v>
      </c>
      <c r="H1830">
        <v>137.19999999999999</v>
      </c>
      <c r="I1830">
        <v>6.73</v>
      </c>
      <c r="J1830">
        <v>145</v>
      </c>
      <c r="K1830">
        <v>173</v>
      </c>
      <c r="L1830">
        <v>200</v>
      </c>
      <c r="M1830" t="s">
        <v>30</v>
      </c>
      <c r="N1830">
        <v>2</v>
      </c>
      <c r="O1830" t="s">
        <v>31</v>
      </c>
      <c r="P1830">
        <v>61</v>
      </c>
      <c r="Q1830">
        <v>2425</v>
      </c>
      <c r="R1830">
        <v>5</v>
      </c>
      <c r="S1830">
        <v>1</v>
      </c>
      <c r="T1830" t="s">
        <v>47</v>
      </c>
      <c r="U1830" t="s">
        <v>74</v>
      </c>
      <c r="V1830">
        <v>77480</v>
      </c>
      <c r="W1830">
        <v>3.1</v>
      </c>
      <c r="X1830">
        <v>3</v>
      </c>
      <c r="Y1830" t="s">
        <v>43</v>
      </c>
      <c r="Z1830">
        <v>3.65</v>
      </c>
      <c r="AA1830" t="s">
        <v>35</v>
      </c>
    </row>
    <row r="1831" spans="1:27" x14ac:dyDescent="0.3">
      <c r="A1831" t="s">
        <v>71</v>
      </c>
      <c r="B1831" t="s">
        <v>104</v>
      </c>
      <c r="C1831">
        <v>2024</v>
      </c>
      <c r="D1831" t="s">
        <v>50</v>
      </c>
      <c r="E1831">
        <v>38277.53</v>
      </c>
      <c r="F1831">
        <v>87.8</v>
      </c>
      <c r="G1831">
        <v>282</v>
      </c>
      <c r="H1831">
        <v>141.6</v>
      </c>
      <c r="I1831">
        <v>4.54</v>
      </c>
      <c r="J1831">
        <v>181</v>
      </c>
      <c r="K1831">
        <v>343</v>
      </c>
      <c r="L1831">
        <v>313</v>
      </c>
      <c r="M1831" t="s">
        <v>54</v>
      </c>
      <c r="N1831">
        <v>5</v>
      </c>
      <c r="O1831" t="s">
        <v>57</v>
      </c>
      <c r="P1831">
        <v>34.1</v>
      </c>
      <c r="Q1831">
        <v>1685</v>
      </c>
      <c r="R1831">
        <v>5</v>
      </c>
      <c r="S1831">
        <v>1</v>
      </c>
      <c r="T1831" t="s">
        <v>73</v>
      </c>
      <c r="U1831" t="s">
        <v>42</v>
      </c>
      <c r="V1831">
        <v>237305</v>
      </c>
      <c r="W1831">
        <v>3.5</v>
      </c>
      <c r="X1831">
        <v>4</v>
      </c>
      <c r="Y1831" t="s">
        <v>43</v>
      </c>
      <c r="Z1831">
        <v>3.21</v>
      </c>
      <c r="AA1831" t="s">
        <v>35</v>
      </c>
    </row>
    <row r="1832" spans="1:27" x14ac:dyDescent="0.3">
      <c r="A1832" t="s">
        <v>142</v>
      </c>
      <c r="B1832">
        <v>3</v>
      </c>
      <c r="C1832">
        <v>2023</v>
      </c>
      <c r="D1832" t="s">
        <v>50</v>
      </c>
      <c r="E1832">
        <v>77182.19</v>
      </c>
      <c r="F1832">
        <v>88.8</v>
      </c>
      <c r="G1832">
        <v>337</v>
      </c>
      <c r="H1832">
        <v>77.900000000000006</v>
      </c>
      <c r="I1832">
        <v>5.68</v>
      </c>
      <c r="J1832">
        <v>160</v>
      </c>
      <c r="K1832">
        <v>442</v>
      </c>
      <c r="L1832">
        <v>379</v>
      </c>
      <c r="M1832" t="s">
        <v>54</v>
      </c>
      <c r="N1832">
        <v>5</v>
      </c>
      <c r="O1832" t="s">
        <v>56</v>
      </c>
      <c r="P1832">
        <v>21.3</v>
      </c>
      <c r="Q1832">
        <v>1500</v>
      </c>
      <c r="R1832">
        <v>5</v>
      </c>
      <c r="S1832">
        <v>0</v>
      </c>
      <c r="T1832" t="s">
        <v>131</v>
      </c>
      <c r="U1832" t="s">
        <v>38</v>
      </c>
      <c r="V1832">
        <v>5412</v>
      </c>
      <c r="W1832">
        <v>3.6</v>
      </c>
      <c r="X1832">
        <v>3</v>
      </c>
      <c r="Y1832" t="s">
        <v>43</v>
      </c>
      <c r="Z1832">
        <v>3.8</v>
      </c>
      <c r="AA1832" t="s">
        <v>43</v>
      </c>
    </row>
    <row r="1833" spans="1:27" x14ac:dyDescent="0.3">
      <c r="A1833" t="s">
        <v>48</v>
      </c>
      <c r="B1833" t="s">
        <v>79</v>
      </c>
      <c r="C1833">
        <v>2025</v>
      </c>
      <c r="D1833" t="s">
        <v>38</v>
      </c>
      <c r="E1833">
        <v>80721.440000000002</v>
      </c>
      <c r="F1833">
        <v>72.900000000000006</v>
      </c>
      <c r="G1833">
        <v>256</v>
      </c>
      <c r="H1833">
        <v>58.9</v>
      </c>
      <c r="I1833">
        <v>6.67</v>
      </c>
      <c r="J1833">
        <v>144</v>
      </c>
      <c r="K1833">
        <v>912</v>
      </c>
      <c r="L1833">
        <v>808</v>
      </c>
      <c r="M1833" t="s">
        <v>54</v>
      </c>
      <c r="N1833">
        <v>5</v>
      </c>
      <c r="O1833" t="s">
        <v>56</v>
      </c>
      <c r="P1833">
        <v>21.1</v>
      </c>
      <c r="Q1833">
        <v>1503</v>
      </c>
      <c r="R1833">
        <v>3</v>
      </c>
      <c r="S1833">
        <v>1</v>
      </c>
      <c r="T1833" t="s">
        <v>51</v>
      </c>
      <c r="U1833" t="s">
        <v>38</v>
      </c>
      <c r="V1833">
        <v>130227</v>
      </c>
      <c r="W1833">
        <v>3.5</v>
      </c>
      <c r="X1833">
        <v>4</v>
      </c>
      <c r="Y1833" t="s">
        <v>43</v>
      </c>
      <c r="Z1833">
        <v>3.51</v>
      </c>
      <c r="AA1833" t="s">
        <v>35</v>
      </c>
    </row>
    <row r="1834" spans="1:27" x14ac:dyDescent="0.3">
      <c r="A1834" t="s">
        <v>48</v>
      </c>
      <c r="B1834" t="s">
        <v>123</v>
      </c>
      <c r="C1834">
        <v>2021</v>
      </c>
      <c r="D1834" t="s">
        <v>38</v>
      </c>
      <c r="E1834">
        <v>36092.980000000003</v>
      </c>
      <c r="F1834">
        <v>41.6</v>
      </c>
      <c r="G1834">
        <v>150</v>
      </c>
      <c r="H1834">
        <v>105.9</v>
      </c>
      <c r="I1834">
        <v>5.2</v>
      </c>
      <c r="J1834">
        <v>170</v>
      </c>
      <c r="K1834">
        <v>254</v>
      </c>
      <c r="L1834">
        <v>233</v>
      </c>
      <c r="M1834" t="s">
        <v>30</v>
      </c>
      <c r="N1834">
        <v>5</v>
      </c>
      <c r="O1834" t="s">
        <v>40</v>
      </c>
      <c r="P1834">
        <v>45.9</v>
      </c>
      <c r="Q1834">
        <v>2561</v>
      </c>
      <c r="R1834">
        <v>5</v>
      </c>
      <c r="S1834">
        <v>1</v>
      </c>
      <c r="T1834" t="s">
        <v>51</v>
      </c>
      <c r="U1834" t="s">
        <v>42</v>
      </c>
      <c r="V1834">
        <v>73706</v>
      </c>
      <c r="W1834">
        <v>3</v>
      </c>
      <c r="X1834">
        <v>3</v>
      </c>
      <c r="Y1834" t="s">
        <v>43</v>
      </c>
      <c r="Z1834">
        <v>3.61</v>
      </c>
      <c r="AA1834" t="s">
        <v>35</v>
      </c>
    </row>
    <row r="1835" spans="1:27" x14ac:dyDescent="0.3">
      <c r="A1835" t="s">
        <v>44</v>
      </c>
      <c r="B1835" t="s">
        <v>110</v>
      </c>
      <c r="C1835">
        <v>2022</v>
      </c>
      <c r="D1835" t="s">
        <v>29</v>
      </c>
      <c r="E1835">
        <v>59493.52</v>
      </c>
      <c r="F1835">
        <v>71.900000000000006</v>
      </c>
      <c r="G1835">
        <v>270</v>
      </c>
      <c r="H1835">
        <v>162.1</v>
      </c>
      <c r="I1835">
        <v>3.04</v>
      </c>
      <c r="J1835">
        <v>200</v>
      </c>
      <c r="K1835">
        <v>761</v>
      </c>
      <c r="L1835">
        <v>683</v>
      </c>
      <c r="M1835" t="s">
        <v>39</v>
      </c>
      <c r="N1835">
        <v>5</v>
      </c>
      <c r="O1835" t="s">
        <v>40</v>
      </c>
      <c r="P1835">
        <v>48.3</v>
      </c>
      <c r="Q1835">
        <v>1650</v>
      </c>
      <c r="R1835">
        <v>3</v>
      </c>
      <c r="S1835">
        <v>0</v>
      </c>
      <c r="T1835" t="s">
        <v>47</v>
      </c>
      <c r="U1835" t="s">
        <v>42</v>
      </c>
      <c r="V1835">
        <v>16751</v>
      </c>
      <c r="W1835">
        <v>3.4</v>
      </c>
      <c r="X1835">
        <v>4</v>
      </c>
      <c r="Y1835" t="s">
        <v>34</v>
      </c>
      <c r="Z1835">
        <v>3.76</v>
      </c>
      <c r="AA1835" t="s">
        <v>43</v>
      </c>
    </row>
    <row r="1836" spans="1:27" x14ac:dyDescent="0.3">
      <c r="A1836" t="s">
        <v>84</v>
      </c>
      <c r="B1836" t="s">
        <v>106</v>
      </c>
      <c r="C1836">
        <v>2023</v>
      </c>
      <c r="D1836" t="s">
        <v>68</v>
      </c>
      <c r="E1836">
        <v>38433.81</v>
      </c>
      <c r="F1836">
        <v>45.5</v>
      </c>
      <c r="G1836">
        <v>152</v>
      </c>
      <c r="H1836">
        <v>93.2</v>
      </c>
      <c r="I1836">
        <v>7.84</v>
      </c>
      <c r="J1836">
        <v>137</v>
      </c>
      <c r="K1836">
        <v>247</v>
      </c>
      <c r="L1836">
        <v>257</v>
      </c>
      <c r="M1836" t="s">
        <v>39</v>
      </c>
      <c r="N1836">
        <v>5</v>
      </c>
      <c r="O1836" t="s">
        <v>31</v>
      </c>
      <c r="P1836">
        <v>76.099999999999994</v>
      </c>
      <c r="Q1836">
        <v>2667</v>
      </c>
      <c r="R1836">
        <v>4</v>
      </c>
      <c r="S1836">
        <v>1</v>
      </c>
      <c r="T1836" t="s">
        <v>47</v>
      </c>
      <c r="U1836" t="s">
        <v>42</v>
      </c>
      <c r="V1836">
        <v>31451</v>
      </c>
      <c r="W1836">
        <v>3.1</v>
      </c>
      <c r="X1836">
        <v>3</v>
      </c>
      <c r="Y1836" t="s">
        <v>61</v>
      </c>
      <c r="Z1836">
        <v>3.34</v>
      </c>
      <c r="AA1836" t="s">
        <v>35</v>
      </c>
    </row>
    <row r="1837" spans="1:27" x14ac:dyDescent="0.3">
      <c r="A1837" t="s">
        <v>91</v>
      </c>
      <c r="B1837" t="s">
        <v>97</v>
      </c>
      <c r="C1837">
        <v>2024</v>
      </c>
      <c r="D1837" t="s">
        <v>29</v>
      </c>
      <c r="E1837">
        <v>73301.490000000005</v>
      </c>
      <c r="F1837">
        <v>109.7</v>
      </c>
      <c r="G1837">
        <v>367</v>
      </c>
      <c r="H1837">
        <v>196.4</v>
      </c>
      <c r="I1837">
        <v>3.4</v>
      </c>
      <c r="J1837">
        <v>200</v>
      </c>
      <c r="K1837">
        <v>489</v>
      </c>
      <c r="L1837">
        <v>443</v>
      </c>
      <c r="M1837" t="s">
        <v>39</v>
      </c>
      <c r="N1837">
        <v>7</v>
      </c>
      <c r="O1837" t="s">
        <v>57</v>
      </c>
      <c r="P1837">
        <v>31.1</v>
      </c>
      <c r="Q1837">
        <v>1547</v>
      </c>
      <c r="R1837">
        <v>5</v>
      </c>
      <c r="S1837">
        <v>1</v>
      </c>
      <c r="T1837" t="s">
        <v>32</v>
      </c>
      <c r="U1837" t="s">
        <v>38</v>
      </c>
      <c r="V1837">
        <v>50214</v>
      </c>
      <c r="W1837">
        <v>3.7</v>
      </c>
      <c r="X1837">
        <v>6</v>
      </c>
      <c r="Y1837" t="s">
        <v>34</v>
      </c>
      <c r="Z1837">
        <v>3.35</v>
      </c>
      <c r="AA1837" t="s">
        <v>35</v>
      </c>
    </row>
    <row r="1838" spans="1:27" x14ac:dyDescent="0.3">
      <c r="A1838" t="s">
        <v>52</v>
      </c>
      <c r="B1838" t="s">
        <v>55</v>
      </c>
      <c r="C1838">
        <v>2025</v>
      </c>
      <c r="D1838" t="s">
        <v>50</v>
      </c>
      <c r="E1838">
        <v>113868.37</v>
      </c>
      <c r="F1838">
        <v>86.6</v>
      </c>
      <c r="G1838">
        <v>301</v>
      </c>
      <c r="H1838">
        <v>250.9</v>
      </c>
      <c r="I1838">
        <v>4.84</v>
      </c>
      <c r="J1838">
        <v>185</v>
      </c>
      <c r="K1838">
        <v>826</v>
      </c>
      <c r="L1838">
        <v>761</v>
      </c>
      <c r="M1838" t="s">
        <v>30</v>
      </c>
      <c r="N1838">
        <v>7</v>
      </c>
      <c r="O1838" t="s">
        <v>65</v>
      </c>
      <c r="P1838">
        <v>24.3</v>
      </c>
      <c r="Q1838">
        <v>1500</v>
      </c>
      <c r="R1838">
        <v>4</v>
      </c>
      <c r="S1838">
        <v>2</v>
      </c>
      <c r="T1838" t="s">
        <v>47</v>
      </c>
      <c r="U1838" t="s">
        <v>33</v>
      </c>
      <c r="V1838">
        <v>455459</v>
      </c>
      <c r="W1838">
        <v>4</v>
      </c>
      <c r="X1838">
        <v>5</v>
      </c>
      <c r="Y1838" t="s">
        <v>43</v>
      </c>
      <c r="Z1838">
        <v>3.48</v>
      </c>
      <c r="AA1838" t="s">
        <v>35</v>
      </c>
    </row>
    <row r="1839" spans="1:27" x14ac:dyDescent="0.3">
      <c r="A1839" t="s">
        <v>71</v>
      </c>
      <c r="B1839" t="s">
        <v>104</v>
      </c>
      <c r="C1839">
        <v>2024</v>
      </c>
      <c r="D1839" t="s">
        <v>38</v>
      </c>
      <c r="E1839">
        <v>100526.02</v>
      </c>
      <c r="F1839">
        <v>84.9</v>
      </c>
      <c r="G1839">
        <v>300</v>
      </c>
      <c r="H1839">
        <v>124.8</v>
      </c>
      <c r="I1839">
        <v>6.95</v>
      </c>
      <c r="J1839">
        <v>147</v>
      </c>
      <c r="K1839">
        <v>1000</v>
      </c>
      <c r="L1839">
        <v>935</v>
      </c>
      <c r="M1839" t="s">
        <v>30</v>
      </c>
      <c r="N1839">
        <v>7</v>
      </c>
      <c r="O1839" t="s">
        <v>56</v>
      </c>
      <c r="P1839">
        <v>25.6</v>
      </c>
      <c r="Q1839">
        <v>1569</v>
      </c>
      <c r="R1839">
        <v>4</v>
      </c>
      <c r="S1839">
        <v>0</v>
      </c>
      <c r="T1839" t="s">
        <v>73</v>
      </c>
      <c r="U1839" t="s">
        <v>33</v>
      </c>
      <c r="V1839">
        <v>178707</v>
      </c>
      <c r="W1839">
        <v>3.5</v>
      </c>
      <c r="X1839">
        <v>4</v>
      </c>
      <c r="Y1839" t="s">
        <v>43</v>
      </c>
      <c r="Z1839">
        <v>3.53</v>
      </c>
      <c r="AA1839" t="s">
        <v>35</v>
      </c>
    </row>
    <row r="1840" spans="1:27" x14ac:dyDescent="0.3">
      <c r="A1840" t="s">
        <v>102</v>
      </c>
      <c r="B1840" t="s">
        <v>103</v>
      </c>
      <c r="C1840">
        <v>2025</v>
      </c>
      <c r="D1840" t="s">
        <v>63</v>
      </c>
      <c r="E1840">
        <v>78088.2</v>
      </c>
      <c r="F1840">
        <v>42.4</v>
      </c>
      <c r="G1840">
        <v>150</v>
      </c>
      <c r="H1840">
        <v>144.6</v>
      </c>
      <c r="I1840">
        <v>5.92</v>
      </c>
      <c r="J1840">
        <v>161</v>
      </c>
      <c r="K1840">
        <v>622</v>
      </c>
      <c r="L1840">
        <v>542</v>
      </c>
      <c r="M1840" t="s">
        <v>30</v>
      </c>
      <c r="N1840">
        <v>5</v>
      </c>
      <c r="O1840" t="s">
        <v>56</v>
      </c>
      <c r="P1840">
        <v>28.6</v>
      </c>
      <c r="Q1840">
        <v>1769</v>
      </c>
      <c r="R1840">
        <v>3</v>
      </c>
      <c r="S1840">
        <v>0</v>
      </c>
      <c r="T1840" t="s">
        <v>47</v>
      </c>
      <c r="U1840" t="s">
        <v>38</v>
      </c>
      <c r="V1840">
        <v>26875</v>
      </c>
      <c r="W1840">
        <v>3.3</v>
      </c>
      <c r="X1840">
        <v>5</v>
      </c>
      <c r="Y1840" t="s">
        <v>43</v>
      </c>
      <c r="Z1840">
        <v>3.54</v>
      </c>
      <c r="AA1840" t="s">
        <v>35</v>
      </c>
    </row>
    <row r="1841" spans="1:27" x14ac:dyDescent="0.3">
      <c r="A1841" t="s">
        <v>71</v>
      </c>
      <c r="B1841" t="s">
        <v>115</v>
      </c>
      <c r="C1841">
        <v>2025</v>
      </c>
      <c r="D1841" t="s">
        <v>29</v>
      </c>
      <c r="E1841">
        <v>101418.24000000001</v>
      </c>
      <c r="F1841">
        <v>74.3</v>
      </c>
      <c r="G1841">
        <v>239</v>
      </c>
      <c r="H1841">
        <v>183.8</v>
      </c>
      <c r="I1841">
        <v>3.67</v>
      </c>
      <c r="J1841">
        <v>200</v>
      </c>
      <c r="K1841">
        <v>1000</v>
      </c>
      <c r="L1841">
        <v>942</v>
      </c>
      <c r="M1841" t="s">
        <v>30</v>
      </c>
      <c r="N1841">
        <v>5</v>
      </c>
      <c r="O1841" t="s">
        <v>56</v>
      </c>
      <c r="P1841">
        <v>17.600000000000001</v>
      </c>
      <c r="Q1841">
        <v>1696</v>
      </c>
      <c r="R1841">
        <v>3</v>
      </c>
      <c r="S1841">
        <v>0</v>
      </c>
      <c r="T1841" t="s">
        <v>73</v>
      </c>
      <c r="U1841" t="s">
        <v>33</v>
      </c>
      <c r="V1841">
        <v>115025</v>
      </c>
      <c r="W1841">
        <v>3.6</v>
      </c>
      <c r="X1841">
        <v>4</v>
      </c>
      <c r="Y1841" t="s">
        <v>34</v>
      </c>
      <c r="Z1841">
        <v>3.22</v>
      </c>
      <c r="AA1841" t="s">
        <v>35</v>
      </c>
    </row>
    <row r="1842" spans="1:27" x14ac:dyDescent="0.3">
      <c r="A1842" t="s">
        <v>27</v>
      </c>
      <c r="B1842" t="s">
        <v>93</v>
      </c>
      <c r="C1842">
        <v>2023</v>
      </c>
      <c r="D1842" t="s">
        <v>38</v>
      </c>
      <c r="E1842">
        <v>99609.58</v>
      </c>
      <c r="F1842">
        <v>83.8</v>
      </c>
      <c r="G1842">
        <v>287</v>
      </c>
      <c r="H1842">
        <v>55.7</v>
      </c>
      <c r="I1842">
        <v>7.43</v>
      </c>
      <c r="J1842">
        <v>141</v>
      </c>
      <c r="K1842">
        <v>1000</v>
      </c>
      <c r="L1842">
        <v>862</v>
      </c>
      <c r="M1842" t="s">
        <v>30</v>
      </c>
      <c r="N1842">
        <v>7</v>
      </c>
      <c r="O1842" t="s">
        <v>57</v>
      </c>
      <c r="P1842">
        <v>20.100000000000001</v>
      </c>
      <c r="Q1842">
        <v>1973</v>
      </c>
      <c r="R1842">
        <v>4</v>
      </c>
      <c r="S1842">
        <v>0</v>
      </c>
      <c r="T1842" t="s">
        <v>32</v>
      </c>
      <c r="U1842" t="s">
        <v>38</v>
      </c>
      <c r="V1842">
        <v>245824</v>
      </c>
      <c r="W1842">
        <v>3.6</v>
      </c>
      <c r="X1842">
        <v>5</v>
      </c>
      <c r="Y1842" t="s">
        <v>61</v>
      </c>
      <c r="Z1842">
        <v>3.42</v>
      </c>
      <c r="AA1842" t="s">
        <v>35</v>
      </c>
    </row>
    <row r="1843" spans="1:27" x14ac:dyDescent="0.3">
      <c r="A1843" t="s">
        <v>27</v>
      </c>
      <c r="B1843" t="s">
        <v>93</v>
      </c>
      <c r="C1843">
        <v>2025</v>
      </c>
      <c r="D1843" t="s">
        <v>63</v>
      </c>
      <c r="E1843">
        <v>66620.77</v>
      </c>
      <c r="F1843">
        <v>53.1</v>
      </c>
      <c r="G1843">
        <v>196</v>
      </c>
      <c r="H1843">
        <v>125.1</v>
      </c>
      <c r="I1843">
        <v>7.65</v>
      </c>
      <c r="J1843">
        <v>132</v>
      </c>
      <c r="K1843">
        <v>710</v>
      </c>
      <c r="L1843">
        <v>644</v>
      </c>
      <c r="M1843" t="s">
        <v>30</v>
      </c>
      <c r="N1843">
        <v>5</v>
      </c>
      <c r="O1843" t="s">
        <v>57</v>
      </c>
      <c r="P1843">
        <v>31.4</v>
      </c>
      <c r="Q1843">
        <v>1570</v>
      </c>
      <c r="R1843">
        <v>5</v>
      </c>
      <c r="S1843">
        <v>0</v>
      </c>
      <c r="T1843" t="s">
        <v>32</v>
      </c>
      <c r="U1843" t="s">
        <v>38</v>
      </c>
      <c r="V1843">
        <v>206717</v>
      </c>
      <c r="W1843">
        <v>3.6</v>
      </c>
      <c r="X1843">
        <v>4</v>
      </c>
      <c r="Y1843" t="s">
        <v>61</v>
      </c>
      <c r="Z1843">
        <v>3.69</v>
      </c>
      <c r="AA1843" t="s">
        <v>35</v>
      </c>
    </row>
    <row r="1844" spans="1:27" x14ac:dyDescent="0.3">
      <c r="A1844" t="s">
        <v>27</v>
      </c>
      <c r="B1844" t="s">
        <v>93</v>
      </c>
      <c r="C1844">
        <v>2021</v>
      </c>
      <c r="D1844" t="s">
        <v>50</v>
      </c>
      <c r="E1844">
        <v>70654.720000000001</v>
      </c>
      <c r="F1844">
        <v>88.4</v>
      </c>
      <c r="G1844">
        <v>317</v>
      </c>
      <c r="H1844">
        <v>84</v>
      </c>
      <c r="I1844">
        <v>4.82</v>
      </c>
      <c r="J1844">
        <v>163</v>
      </c>
      <c r="K1844">
        <v>711</v>
      </c>
      <c r="L1844">
        <v>644</v>
      </c>
      <c r="M1844" t="s">
        <v>39</v>
      </c>
      <c r="N1844">
        <v>7</v>
      </c>
      <c r="O1844" t="s">
        <v>56</v>
      </c>
      <c r="P1844">
        <v>27.6</v>
      </c>
      <c r="Q1844">
        <v>1724</v>
      </c>
      <c r="R1844">
        <v>4</v>
      </c>
      <c r="S1844">
        <v>0</v>
      </c>
      <c r="T1844" t="s">
        <v>32</v>
      </c>
      <c r="U1844" t="s">
        <v>38</v>
      </c>
      <c r="V1844">
        <v>211095</v>
      </c>
      <c r="W1844">
        <v>3.8</v>
      </c>
      <c r="X1844">
        <v>5</v>
      </c>
      <c r="Y1844" t="s">
        <v>43</v>
      </c>
      <c r="Z1844">
        <v>3.59</v>
      </c>
      <c r="AA1844" t="s">
        <v>35</v>
      </c>
    </row>
    <row r="1845" spans="1:27" x14ac:dyDescent="0.3">
      <c r="A1845" t="s">
        <v>48</v>
      </c>
      <c r="B1845" t="s">
        <v>60</v>
      </c>
      <c r="C1845">
        <v>2025</v>
      </c>
      <c r="D1845" t="s">
        <v>29</v>
      </c>
      <c r="E1845">
        <v>110498.55</v>
      </c>
      <c r="F1845">
        <v>107.7</v>
      </c>
      <c r="G1845">
        <v>407</v>
      </c>
      <c r="H1845">
        <v>182.1</v>
      </c>
      <c r="I1845">
        <v>2.85</v>
      </c>
      <c r="J1845">
        <v>200</v>
      </c>
      <c r="K1845">
        <v>1000</v>
      </c>
      <c r="L1845">
        <v>893</v>
      </c>
      <c r="M1845" t="s">
        <v>54</v>
      </c>
      <c r="N1845">
        <v>5</v>
      </c>
      <c r="O1845" t="s">
        <v>40</v>
      </c>
      <c r="P1845">
        <v>53.4</v>
      </c>
      <c r="Q1845">
        <v>1849</v>
      </c>
      <c r="R1845">
        <v>4</v>
      </c>
      <c r="S1845">
        <v>0</v>
      </c>
      <c r="T1845" t="s">
        <v>51</v>
      </c>
      <c r="U1845" t="s">
        <v>33</v>
      </c>
      <c r="V1845">
        <v>55383</v>
      </c>
      <c r="W1845">
        <v>3.9</v>
      </c>
      <c r="X1845">
        <v>4</v>
      </c>
      <c r="Y1845" t="s">
        <v>34</v>
      </c>
      <c r="Z1845">
        <v>3.78</v>
      </c>
      <c r="AA1845" t="s">
        <v>35</v>
      </c>
    </row>
    <row r="1846" spans="1:27" x14ac:dyDescent="0.3">
      <c r="A1846" t="s">
        <v>100</v>
      </c>
      <c r="B1846" t="s">
        <v>118</v>
      </c>
      <c r="C1846">
        <v>2025</v>
      </c>
      <c r="D1846" t="s">
        <v>38</v>
      </c>
      <c r="E1846">
        <v>104953.65</v>
      </c>
      <c r="F1846">
        <v>69</v>
      </c>
      <c r="G1846">
        <v>237</v>
      </c>
      <c r="H1846">
        <v>102.5</v>
      </c>
      <c r="I1846">
        <v>7.78</v>
      </c>
      <c r="J1846">
        <v>132</v>
      </c>
      <c r="K1846">
        <v>1000</v>
      </c>
      <c r="L1846">
        <v>879</v>
      </c>
      <c r="M1846" t="s">
        <v>30</v>
      </c>
      <c r="N1846">
        <v>7</v>
      </c>
      <c r="O1846" t="s">
        <v>65</v>
      </c>
      <c r="P1846">
        <v>34.200000000000003</v>
      </c>
      <c r="Q1846">
        <v>1974</v>
      </c>
      <c r="R1846">
        <v>5</v>
      </c>
      <c r="S1846">
        <v>2</v>
      </c>
      <c r="T1846" t="s">
        <v>73</v>
      </c>
      <c r="U1846" t="s">
        <v>33</v>
      </c>
      <c r="V1846">
        <v>26944</v>
      </c>
      <c r="W1846">
        <v>3.5</v>
      </c>
      <c r="X1846">
        <v>3</v>
      </c>
      <c r="Y1846" t="s">
        <v>61</v>
      </c>
      <c r="Z1846">
        <v>3.43</v>
      </c>
      <c r="AA1846" t="s">
        <v>35</v>
      </c>
    </row>
    <row r="1847" spans="1:27" x14ac:dyDescent="0.3">
      <c r="A1847" t="s">
        <v>71</v>
      </c>
      <c r="B1847" t="s">
        <v>90</v>
      </c>
      <c r="C1847">
        <v>2024</v>
      </c>
      <c r="D1847" t="s">
        <v>50</v>
      </c>
      <c r="E1847">
        <v>42041.16</v>
      </c>
      <c r="F1847">
        <v>108.4</v>
      </c>
      <c r="G1847">
        <v>373</v>
      </c>
      <c r="H1847">
        <v>83.6</v>
      </c>
      <c r="I1847">
        <v>4.95</v>
      </c>
      <c r="J1847">
        <v>176</v>
      </c>
      <c r="K1847">
        <v>422</v>
      </c>
      <c r="L1847">
        <v>409</v>
      </c>
      <c r="M1847" t="s">
        <v>39</v>
      </c>
      <c r="N1847">
        <v>7</v>
      </c>
      <c r="O1847" t="s">
        <v>31</v>
      </c>
      <c r="P1847">
        <v>66.5</v>
      </c>
      <c r="Q1847">
        <v>2360</v>
      </c>
      <c r="R1847">
        <v>3</v>
      </c>
      <c r="S1847">
        <v>0</v>
      </c>
      <c r="T1847" t="s">
        <v>73</v>
      </c>
      <c r="U1847" t="s">
        <v>42</v>
      </c>
      <c r="V1847">
        <v>120124</v>
      </c>
      <c r="W1847">
        <v>3.8</v>
      </c>
      <c r="X1847">
        <v>4</v>
      </c>
      <c r="Y1847" t="s">
        <v>43</v>
      </c>
      <c r="Z1847">
        <v>3.44</v>
      </c>
      <c r="AA1847" t="s">
        <v>35</v>
      </c>
    </row>
    <row r="1848" spans="1:27" x14ac:dyDescent="0.3">
      <c r="A1848" t="s">
        <v>52</v>
      </c>
      <c r="B1848" t="s">
        <v>64</v>
      </c>
      <c r="C1848">
        <v>2025</v>
      </c>
      <c r="D1848" t="s">
        <v>50</v>
      </c>
      <c r="E1848">
        <v>120338.19</v>
      </c>
      <c r="F1848">
        <v>101.1</v>
      </c>
      <c r="G1848">
        <v>324</v>
      </c>
      <c r="H1848">
        <v>304.89999999999998</v>
      </c>
      <c r="I1848">
        <v>5.12</v>
      </c>
      <c r="J1848">
        <v>178</v>
      </c>
      <c r="K1848">
        <v>857</v>
      </c>
      <c r="L1848">
        <v>741</v>
      </c>
      <c r="M1848" t="s">
        <v>54</v>
      </c>
      <c r="N1848">
        <v>7</v>
      </c>
      <c r="O1848" t="s">
        <v>31</v>
      </c>
      <c r="P1848">
        <v>66.5</v>
      </c>
      <c r="Q1848">
        <v>2561</v>
      </c>
      <c r="R1848">
        <v>4</v>
      </c>
      <c r="S1848">
        <v>2</v>
      </c>
      <c r="T1848" t="s">
        <v>47</v>
      </c>
      <c r="U1848" t="s">
        <v>33</v>
      </c>
      <c r="V1848">
        <v>236717</v>
      </c>
      <c r="W1848">
        <v>4.0999999999999996</v>
      </c>
      <c r="X1848">
        <v>5</v>
      </c>
      <c r="Y1848" t="s">
        <v>43</v>
      </c>
      <c r="Z1848">
        <v>3.2</v>
      </c>
      <c r="AA1848" t="s">
        <v>35</v>
      </c>
    </row>
    <row r="1849" spans="1:27" x14ac:dyDescent="0.3">
      <c r="A1849" t="s">
        <v>52</v>
      </c>
      <c r="B1849" t="s">
        <v>55</v>
      </c>
      <c r="C1849">
        <v>2025</v>
      </c>
      <c r="D1849" t="s">
        <v>50</v>
      </c>
      <c r="E1849">
        <v>147345.82</v>
      </c>
      <c r="F1849">
        <v>89.5</v>
      </c>
      <c r="G1849">
        <v>311</v>
      </c>
      <c r="H1849">
        <v>235</v>
      </c>
      <c r="I1849">
        <v>4.4800000000000004</v>
      </c>
      <c r="J1849">
        <v>191</v>
      </c>
      <c r="K1849">
        <v>1000</v>
      </c>
      <c r="L1849">
        <v>893</v>
      </c>
      <c r="M1849" t="s">
        <v>30</v>
      </c>
      <c r="N1849">
        <v>5</v>
      </c>
      <c r="O1849" t="s">
        <v>46</v>
      </c>
      <c r="P1849">
        <v>72</v>
      </c>
      <c r="Q1849">
        <v>1709</v>
      </c>
      <c r="R1849">
        <v>5</v>
      </c>
      <c r="S1849">
        <v>2</v>
      </c>
      <c r="T1849" t="s">
        <v>47</v>
      </c>
      <c r="U1849" t="s">
        <v>33</v>
      </c>
      <c r="V1849">
        <v>458246</v>
      </c>
      <c r="W1849">
        <v>3.7</v>
      </c>
      <c r="X1849">
        <v>5</v>
      </c>
      <c r="Y1849" t="s">
        <v>43</v>
      </c>
      <c r="Z1849">
        <v>3.47</v>
      </c>
      <c r="AA1849" t="s">
        <v>35</v>
      </c>
    </row>
    <row r="1850" spans="1:27" x14ac:dyDescent="0.3">
      <c r="A1850" t="s">
        <v>94</v>
      </c>
      <c r="B1850" t="s">
        <v>95</v>
      </c>
      <c r="C1850">
        <v>2025</v>
      </c>
      <c r="D1850" t="s">
        <v>63</v>
      </c>
      <c r="E1850">
        <v>69716.210000000006</v>
      </c>
      <c r="F1850">
        <v>72.8</v>
      </c>
      <c r="G1850">
        <v>250</v>
      </c>
      <c r="H1850">
        <v>73.8</v>
      </c>
      <c r="I1850">
        <v>7.04</v>
      </c>
      <c r="J1850">
        <v>145</v>
      </c>
      <c r="K1850">
        <v>400</v>
      </c>
      <c r="L1850">
        <v>342</v>
      </c>
      <c r="M1850" t="s">
        <v>30</v>
      </c>
      <c r="N1850">
        <v>5</v>
      </c>
      <c r="O1850" t="s">
        <v>40</v>
      </c>
      <c r="P1850">
        <v>36.4</v>
      </c>
      <c r="Q1850">
        <v>1869</v>
      </c>
      <c r="R1850">
        <v>5</v>
      </c>
      <c r="S1850">
        <v>1</v>
      </c>
      <c r="T1850" t="s">
        <v>32</v>
      </c>
      <c r="U1850" t="s">
        <v>38</v>
      </c>
      <c r="V1850">
        <v>21802</v>
      </c>
      <c r="W1850">
        <v>3.4</v>
      </c>
      <c r="X1850">
        <v>5</v>
      </c>
      <c r="Y1850" t="s">
        <v>61</v>
      </c>
      <c r="Z1850">
        <v>3.43</v>
      </c>
      <c r="AA1850" t="s">
        <v>35</v>
      </c>
    </row>
    <row r="1851" spans="1:27" x14ac:dyDescent="0.3">
      <c r="A1851" t="s">
        <v>91</v>
      </c>
      <c r="B1851" t="s">
        <v>92</v>
      </c>
      <c r="C1851">
        <v>2025</v>
      </c>
      <c r="D1851" t="s">
        <v>38</v>
      </c>
      <c r="E1851">
        <v>88626.17</v>
      </c>
      <c r="F1851">
        <v>42.7</v>
      </c>
      <c r="G1851">
        <v>150</v>
      </c>
      <c r="H1851">
        <v>121</v>
      </c>
      <c r="I1851">
        <v>7.91</v>
      </c>
      <c r="J1851">
        <v>129</v>
      </c>
      <c r="K1851">
        <v>638</v>
      </c>
      <c r="L1851">
        <v>538</v>
      </c>
      <c r="M1851" t="s">
        <v>30</v>
      </c>
      <c r="N1851">
        <v>7</v>
      </c>
      <c r="O1851" t="s">
        <v>57</v>
      </c>
      <c r="P1851">
        <v>28.6</v>
      </c>
      <c r="Q1851">
        <v>1728</v>
      </c>
      <c r="R1851">
        <v>4</v>
      </c>
      <c r="S1851">
        <v>1</v>
      </c>
      <c r="T1851" t="s">
        <v>32</v>
      </c>
      <c r="U1851" t="s">
        <v>38</v>
      </c>
      <c r="V1851">
        <v>40644</v>
      </c>
      <c r="W1851">
        <v>3.5</v>
      </c>
      <c r="X1851">
        <v>7</v>
      </c>
      <c r="Y1851" t="s">
        <v>61</v>
      </c>
      <c r="Z1851">
        <v>3.51</v>
      </c>
      <c r="AA1851" t="s">
        <v>35</v>
      </c>
    </row>
    <row r="1852" spans="1:27" x14ac:dyDescent="0.3">
      <c r="A1852" t="s">
        <v>71</v>
      </c>
      <c r="B1852" t="s">
        <v>96</v>
      </c>
      <c r="C1852">
        <v>2022</v>
      </c>
      <c r="D1852" t="s">
        <v>68</v>
      </c>
      <c r="E1852">
        <v>68088.929999999993</v>
      </c>
      <c r="F1852">
        <v>51.8</v>
      </c>
      <c r="G1852">
        <v>170</v>
      </c>
      <c r="H1852">
        <v>149.80000000000001</v>
      </c>
      <c r="I1852">
        <v>5.24</v>
      </c>
      <c r="J1852">
        <v>173</v>
      </c>
      <c r="K1852">
        <v>757</v>
      </c>
      <c r="L1852">
        <v>731</v>
      </c>
      <c r="M1852" t="s">
        <v>30</v>
      </c>
      <c r="N1852">
        <v>5</v>
      </c>
      <c r="O1852" t="s">
        <v>56</v>
      </c>
      <c r="P1852">
        <v>30.7</v>
      </c>
      <c r="Q1852">
        <v>1668</v>
      </c>
      <c r="R1852">
        <v>4</v>
      </c>
      <c r="S1852">
        <v>1</v>
      </c>
      <c r="T1852" t="s">
        <v>73</v>
      </c>
      <c r="U1852" t="s">
        <v>38</v>
      </c>
      <c r="V1852">
        <v>201225</v>
      </c>
      <c r="W1852">
        <v>3.3</v>
      </c>
      <c r="X1852">
        <v>5</v>
      </c>
      <c r="Y1852" t="s">
        <v>43</v>
      </c>
      <c r="Z1852">
        <v>3.28</v>
      </c>
      <c r="AA1852" t="s">
        <v>35</v>
      </c>
    </row>
    <row r="1853" spans="1:27" x14ac:dyDescent="0.3">
      <c r="A1853" t="s">
        <v>84</v>
      </c>
      <c r="B1853" t="s">
        <v>89</v>
      </c>
      <c r="C1853">
        <v>2024</v>
      </c>
      <c r="D1853" t="s">
        <v>38</v>
      </c>
      <c r="E1853">
        <v>97929.01</v>
      </c>
      <c r="F1853">
        <v>50.3</v>
      </c>
      <c r="G1853">
        <v>198</v>
      </c>
      <c r="H1853">
        <v>106.3</v>
      </c>
      <c r="I1853">
        <v>6.92</v>
      </c>
      <c r="J1853">
        <v>139</v>
      </c>
      <c r="K1853">
        <v>1000</v>
      </c>
      <c r="L1853">
        <v>928</v>
      </c>
      <c r="M1853" t="s">
        <v>54</v>
      </c>
      <c r="N1853">
        <v>7</v>
      </c>
      <c r="O1853" t="s">
        <v>40</v>
      </c>
      <c r="P1853">
        <v>50.1</v>
      </c>
      <c r="Q1853">
        <v>2018</v>
      </c>
      <c r="R1853">
        <v>5</v>
      </c>
      <c r="S1853">
        <v>0</v>
      </c>
      <c r="T1853" t="s">
        <v>47</v>
      </c>
      <c r="U1853" t="s">
        <v>38</v>
      </c>
      <c r="V1853">
        <v>20102</v>
      </c>
      <c r="W1853">
        <v>3.3</v>
      </c>
      <c r="X1853">
        <v>5</v>
      </c>
      <c r="Y1853" t="s">
        <v>43</v>
      </c>
      <c r="Z1853">
        <v>3.94</v>
      </c>
      <c r="AA1853" t="s">
        <v>35</v>
      </c>
    </row>
    <row r="1854" spans="1:27" x14ac:dyDescent="0.3">
      <c r="A1854" t="s">
        <v>58</v>
      </c>
      <c r="B1854" t="s">
        <v>134</v>
      </c>
      <c r="C1854">
        <v>2022</v>
      </c>
      <c r="D1854" t="s">
        <v>50</v>
      </c>
      <c r="E1854">
        <v>118966.22</v>
      </c>
      <c r="F1854">
        <v>83.4</v>
      </c>
      <c r="G1854">
        <v>306</v>
      </c>
      <c r="H1854">
        <v>122.6</v>
      </c>
      <c r="I1854">
        <v>4.7300000000000004</v>
      </c>
      <c r="J1854">
        <v>187</v>
      </c>
      <c r="K1854">
        <v>634</v>
      </c>
      <c r="L1854">
        <v>605</v>
      </c>
      <c r="M1854" t="s">
        <v>54</v>
      </c>
      <c r="N1854">
        <v>5</v>
      </c>
      <c r="O1854" t="s">
        <v>56</v>
      </c>
      <c r="P1854">
        <v>38.1</v>
      </c>
      <c r="Q1854">
        <v>1668</v>
      </c>
      <c r="R1854">
        <v>4</v>
      </c>
      <c r="S1854">
        <v>2</v>
      </c>
      <c r="T1854" t="s">
        <v>32</v>
      </c>
      <c r="U1854" t="s">
        <v>33</v>
      </c>
      <c r="V1854">
        <v>78467</v>
      </c>
      <c r="W1854">
        <v>3.9</v>
      </c>
      <c r="X1854">
        <v>8</v>
      </c>
      <c r="Y1854" t="s">
        <v>43</v>
      </c>
      <c r="Z1854">
        <v>3.67</v>
      </c>
      <c r="AA1854" t="s">
        <v>35</v>
      </c>
    </row>
    <row r="1855" spans="1:27" x14ac:dyDescent="0.3">
      <c r="A1855" t="s">
        <v>58</v>
      </c>
      <c r="B1855" t="s">
        <v>111</v>
      </c>
      <c r="C1855">
        <v>2021</v>
      </c>
      <c r="D1855" t="s">
        <v>29</v>
      </c>
      <c r="E1855">
        <v>167760.51</v>
      </c>
      <c r="F1855">
        <v>110.2</v>
      </c>
      <c r="G1855">
        <v>367</v>
      </c>
      <c r="H1855">
        <v>161</v>
      </c>
      <c r="I1855">
        <v>4.22</v>
      </c>
      <c r="J1855">
        <v>189</v>
      </c>
      <c r="K1855">
        <v>1000</v>
      </c>
      <c r="L1855">
        <v>912</v>
      </c>
      <c r="M1855" t="s">
        <v>54</v>
      </c>
      <c r="N1855">
        <v>7</v>
      </c>
      <c r="O1855" t="s">
        <v>56</v>
      </c>
      <c r="P1855">
        <v>38.9</v>
      </c>
      <c r="Q1855">
        <v>1571</v>
      </c>
      <c r="R1855">
        <v>5</v>
      </c>
      <c r="S1855">
        <v>1</v>
      </c>
      <c r="T1855" t="s">
        <v>32</v>
      </c>
      <c r="U1855" t="s">
        <v>33</v>
      </c>
      <c r="V1855">
        <v>66576</v>
      </c>
      <c r="W1855">
        <v>3.8</v>
      </c>
      <c r="X1855">
        <v>8</v>
      </c>
      <c r="Y1855" t="s">
        <v>43</v>
      </c>
      <c r="Z1855">
        <v>3.33</v>
      </c>
      <c r="AA1855" t="s">
        <v>35</v>
      </c>
    </row>
    <row r="1856" spans="1:27" x14ac:dyDescent="0.3">
      <c r="A1856" t="s">
        <v>102</v>
      </c>
      <c r="B1856" t="s">
        <v>103</v>
      </c>
      <c r="C1856">
        <v>2024</v>
      </c>
      <c r="D1856" t="s">
        <v>29</v>
      </c>
      <c r="E1856">
        <v>105996.52</v>
      </c>
      <c r="F1856">
        <v>77.2</v>
      </c>
      <c r="G1856">
        <v>274</v>
      </c>
      <c r="H1856">
        <v>218.4</v>
      </c>
      <c r="I1856">
        <v>3.13</v>
      </c>
      <c r="J1856">
        <v>196</v>
      </c>
      <c r="K1856">
        <v>1000</v>
      </c>
      <c r="L1856">
        <v>918</v>
      </c>
      <c r="M1856" t="s">
        <v>54</v>
      </c>
      <c r="N1856">
        <v>7</v>
      </c>
      <c r="O1856" t="s">
        <v>56</v>
      </c>
      <c r="P1856">
        <v>16.2</v>
      </c>
      <c r="Q1856">
        <v>1630</v>
      </c>
      <c r="R1856">
        <v>5</v>
      </c>
      <c r="S1856">
        <v>0</v>
      </c>
      <c r="T1856" t="s">
        <v>47</v>
      </c>
      <c r="U1856" t="s">
        <v>33</v>
      </c>
      <c r="V1856">
        <v>1509</v>
      </c>
      <c r="W1856">
        <v>3.6</v>
      </c>
      <c r="X1856">
        <v>5</v>
      </c>
      <c r="Y1856" t="s">
        <v>34</v>
      </c>
      <c r="Z1856">
        <v>3.55</v>
      </c>
      <c r="AA1856" t="s">
        <v>69</v>
      </c>
    </row>
    <row r="1857" spans="1:27" x14ac:dyDescent="0.3">
      <c r="A1857" t="s">
        <v>71</v>
      </c>
      <c r="B1857" t="s">
        <v>96</v>
      </c>
      <c r="C1857">
        <v>2023</v>
      </c>
      <c r="D1857" t="s">
        <v>50</v>
      </c>
      <c r="E1857">
        <v>94064.69</v>
      </c>
      <c r="F1857">
        <v>95.8</v>
      </c>
      <c r="G1857">
        <v>342</v>
      </c>
      <c r="H1857">
        <v>104</v>
      </c>
      <c r="I1857">
        <v>4.95</v>
      </c>
      <c r="J1857">
        <v>180</v>
      </c>
      <c r="K1857">
        <v>1000</v>
      </c>
      <c r="L1857">
        <v>918</v>
      </c>
      <c r="M1857" t="s">
        <v>30</v>
      </c>
      <c r="N1857">
        <v>5</v>
      </c>
      <c r="O1857" t="s">
        <v>56</v>
      </c>
      <c r="P1857">
        <v>37.9</v>
      </c>
      <c r="Q1857">
        <v>1679</v>
      </c>
      <c r="R1857">
        <v>5</v>
      </c>
      <c r="S1857">
        <v>0</v>
      </c>
      <c r="T1857" t="s">
        <v>73</v>
      </c>
      <c r="U1857" t="s">
        <v>38</v>
      </c>
      <c r="V1857">
        <v>117049</v>
      </c>
      <c r="W1857">
        <v>3.6</v>
      </c>
      <c r="X1857">
        <v>5</v>
      </c>
      <c r="Y1857" t="s">
        <v>43</v>
      </c>
      <c r="Z1857">
        <v>3.57</v>
      </c>
      <c r="AA1857" t="s">
        <v>35</v>
      </c>
    </row>
    <row r="1858" spans="1:27" x14ac:dyDescent="0.3">
      <c r="A1858" t="s">
        <v>44</v>
      </c>
      <c r="B1858" t="s">
        <v>110</v>
      </c>
      <c r="C1858">
        <v>2025</v>
      </c>
      <c r="D1858" t="s">
        <v>50</v>
      </c>
      <c r="E1858">
        <v>58372.94</v>
      </c>
      <c r="F1858">
        <v>95.2</v>
      </c>
      <c r="G1858">
        <v>341</v>
      </c>
      <c r="H1858">
        <v>119</v>
      </c>
      <c r="I1858">
        <v>5.77</v>
      </c>
      <c r="J1858">
        <v>159</v>
      </c>
      <c r="K1858">
        <v>790</v>
      </c>
      <c r="L1858">
        <v>762</v>
      </c>
      <c r="M1858" t="s">
        <v>39</v>
      </c>
      <c r="N1858">
        <v>5</v>
      </c>
      <c r="O1858" t="s">
        <v>40</v>
      </c>
      <c r="P1858">
        <v>61.6</v>
      </c>
      <c r="Q1858">
        <v>2173</v>
      </c>
      <c r="R1858">
        <v>5</v>
      </c>
      <c r="S1858">
        <v>1</v>
      </c>
      <c r="T1858" t="s">
        <v>47</v>
      </c>
      <c r="U1858" t="s">
        <v>42</v>
      </c>
      <c r="V1858">
        <v>5246</v>
      </c>
      <c r="W1858">
        <v>3.8</v>
      </c>
      <c r="X1858">
        <v>5</v>
      </c>
      <c r="Y1858" t="s">
        <v>43</v>
      </c>
      <c r="Z1858">
        <v>3.58</v>
      </c>
      <c r="AA1858" t="s">
        <v>43</v>
      </c>
    </row>
    <row r="1859" spans="1:27" x14ac:dyDescent="0.3">
      <c r="A1859" t="s">
        <v>76</v>
      </c>
      <c r="B1859" t="s">
        <v>114</v>
      </c>
      <c r="C1859">
        <v>2025</v>
      </c>
      <c r="D1859" t="s">
        <v>38</v>
      </c>
      <c r="E1859">
        <v>64470.9</v>
      </c>
      <c r="F1859">
        <v>46.6</v>
      </c>
      <c r="G1859">
        <v>166</v>
      </c>
      <c r="H1859">
        <v>128.6</v>
      </c>
      <c r="I1859">
        <v>5.27</v>
      </c>
      <c r="J1859">
        <v>172</v>
      </c>
      <c r="K1859">
        <v>778</v>
      </c>
      <c r="L1859">
        <v>729</v>
      </c>
      <c r="M1859" t="s">
        <v>30</v>
      </c>
      <c r="N1859">
        <v>7</v>
      </c>
      <c r="O1859" t="s">
        <v>65</v>
      </c>
      <c r="P1859">
        <v>17.100000000000001</v>
      </c>
      <c r="Q1859">
        <v>1574</v>
      </c>
      <c r="R1859">
        <v>4</v>
      </c>
      <c r="S1859">
        <v>0</v>
      </c>
      <c r="T1859" t="s">
        <v>51</v>
      </c>
      <c r="U1859" t="s">
        <v>42</v>
      </c>
      <c r="V1859">
        <v>90740</v>
      </c>
      <c r="W1859">
        <v>3.3</v>
      </c>
      <c r="X1859">
        <v>4</v>
      </c>
      <c r="Y1859" t="s">
        <v>43</v>
      </c>
      <c r="Z1859">
        <v>3.56</v>
      </c>
      <c r="AA1859" t="s">
        <v>35</v>
      </c>
    </row>
    <row r="1860" spans="1:27" x14ac:dyDescent="0.3">
      <c r="A1860" t="s">
        <v>58</v>
      </c>
      <c r="B1860" t="s">
        <v>70</v>
      </c>
      <c r="C1860">
        <v>2022</v>
      </c>
      <c r="D1860" t="s">
        <v>50</v>
      </c>
      <c r="E1860">
        <v>140186.97</v>
      </c>
      <c r="F1860">
        <v>89.7</v>
      </c>
      <c r="G1860">
        <v>340</v>
      </c>
      <c r="H1860">
        <v>103.8</v>
      </c>
      <c r="I1860">
        <v>5.28</v>
      </c>
      <c r="J1860">
        <v>162</v>
      </c>
      <c r="K1860">
        <v>842</v>
      </c>
      <c r="L1860">
        <v>758</v>
      </c>
      <c r="M1860" t="s">
        <v>39</v>
      </c>
      <c r="N1860">
        <v>5</v>
      </c>
      <c r="O1860" t="s">
        <v>56</v>
      </c>
      <c r="P1860">
        <v>24.7</v>
      </c>
      <c r="Q1860">
        <v>1500</v>
      </c>
      <c r="R1860">
        <v>4</v>
      </c>
      <c r="S1860">
        <v>1</v>
      </c>
      <c r="T1860" t="s">
        <v>32</v>
      </c>
      <c r="U1860" t="s">
        <v>33</v>
      </c>
      <c r="V1860">
        <v>31832</v>
      </c>
      <c r="W1860">
        <v>4</v>
      </c>
      <c r="X1860">
        <v>8</v>
      </c>
      <c r="Y1860" t="s">
        <v>43</v>
      </c>
      <c r="Z1860">
        <v>3.79</v>
      </c>
      <c r="AA1860" t="s">
        <v>35</v>
      </c>
    </row>
    <row r="1861" spans="1:27" x14ac:dyDescent="0.3">
      <c r="A1861" t="s">
        <v>44</v>
      </c>
      <c r="B1861" t="s">
        <v>126</v>
      </c>
      <c r="C1861">
        <v>2025</v>
      </c>
      <c r="D1861" t="s">
        <v>38</v>
      </c>
      <c r="E1861">
        <v>70759.08</v>
      </c>
      <c r="F1861">
        <v>83.3</v>
      </c>
      <c r="G1861">
        <v>278</v>
      </c>
      <c r="H1861">
        <v>111.1</v>
      </c>
      <c r="I1861">
        <v>6.63</v>
      </c>
      <c r="J1861">
        <v>157</v>
      </c>
      <c r="K1861">
        <v>1000</v>
      </c>
      <c r="L1861">
        <v>910</v>
      </c>
      <c r="M1861" t="s">
        <v>39</v>
      </c>
      <c r="N1861">
        <v>7</v>
      </c>
      <c r="O1861" t="s">
        <v>57</v>
      </c>
      <c r="P1861">
        <v>27.5</v>
      </c>
      <c r="Q1861">
        <v>1500</v>
      </c>
      <c r="R1861">
        <v>4</v>
      </c>
      <c r="S1861">
        <v>0</v>
      </c>
      <c r="T1861" t="s">
        <v>47</v>
      </c>
      <c r="U1861" t="s">
        <v>38</v>
      </c>
      <c r="V1861">
        <v>11923</v>
      </c>
      <c r="W1861">
        <v>3.6</v>
      </c>
      <c r="X1861">
        <v>4</v>
      </c>
      <c r="Y1861" t="s">
        <v>43</v>
      </c>
      <c r="Z1861">
        <v>3.34</v>
      </c>
      <c r="AA1861" t="s">
        <v>43</v>
      </c>
    </row>
    <row r="1862" spans="1:27" x14ac:dyDescent="0.3">
      <c r="A1862" t="s">
        <v>84</v>
      </c>
      <c r="B1862" t="s">
        <v>106</v>
      </c>
      <c r="C1862">
        <v>2025</v>
      </c>
      <c r="D1862" t="s">
        <v>68</v>
      </c>
      <c r="E1862">
        <v>57566.92</v>
      </c>
      <c r="F1862">
        <v>54.3</v>
      </c>
      <c r="G1862">
        <v>184</v>
      </c>
      <c r="H1862">
        <v>70.099999999999994</v>
      </c>
      <c r="I1862">
        <v>7.12</v>
      </c>
      <c r="J1862">
        <v>140</v>
      </c>
      <c r="K1862">
        <v>608</v>
      </c>
      <c r="L1862">
        <v>572</v>
      </c>
      <c r="M1862" t="s">
        <v>39</v>
      </c>
      <c r="N1862">
        <v>5</v>
      </c>
      <c r="O1862" t="s">
        <v>40</v>
      </c>
      <c r="P1862">
        <v>48.4</v>
      </c>
      <c r="Q1862">
        <v>1896</v>
      </c>
      <c r="R1862">
        <v>4</v>
      </c>
      <c r="S1862">
        <v>2</v>
      </c>
      <c r="T1862" t="s">
        <v>47</v>
      </c>
      <c r="U1862" t="s">
        <v>42</v>
      </c>
      <c r="V1862">
        <v>64630</v>
      </c>
      <c r="W1862">
        <v>3.2</v>
      </c>
      <c r="X1862">
        <v>5</v>
      </c>
      <c r="Y1862" t="s">
        <v>61</v>
      </c>
      <c r="Z1862">
        <v>3.39</v>
      </c>
      <c r="AA1862" t="s">
        <v>35</v>
      </c>
    </row>
    <row r="1863" spans="1:27" x14ac:dyDescent="0.3">
      <c r="A1863" t="s">
        <v>91</v>
      </c>
      <c r="B1863" t="s">
        <v>122</v>
      </c>
      <c r="C1863">
        <v>2026</v>
      </c>
      <c r="D1863" t="s">
        <v>50</v>
      </c>
      <c r="E1863">
        <v>125686.6</v>
      </c>
      <c r="F1863">
        <v>91.1</v>
      </c>
      <c r="G1863">
        <v>335</v>
      </c>
      <c r="H1863">
        <v>93</v>
      </c>
      <c r="I1863">
        <v>5.83</v>
      </c>
      <c r="J1863">
        <v>160</v>
      </c>
      <c r="K1863">
        <v>1000</v>
      </c>
      <c r="L1863">
        <v>891</v>
      </c>
      <c r="M1863" t="s">
        <v>30</v>
      </c>
      <c r="N1863">
        <v>5</v>
      </c>
      <c r="O1863" t="s">
        <v>31</v>
      </c>
      <c r="P1863">
        <v>65.5</v>
      </c>
      <c r="Q1863">
        <v>2713</v>
      </c>
      <c r="R1863">
        <v>5</v>
      </c>
      <c r="S1863">
        <v>1</v>
      </c>
      <c r="T1863" t="s">
        <v>32</v>
      </c>
      <c r="U1863" t="s">
        <v>33</v>
      </c>
      <c r="V1863">
        <v>50691</v>
      </c>
      <c r="W1863">
        <v>3.7</v>
      </c>
      <c r="X1863">
        <v>6</v>
      </c>
      <c r="Y1863" t="s">
        <v>43</v>
      </c>
      <c r="Z1863">
        <v>3.68</v>
      </c>
      <c r="AA1863" t="s">
        <v>35</v>
      </c>
    </row>
    <row r="1864" spans="1:27" x14ac:dyDescent="0.3">
      <c r="A1864" t="s">
        <v>52</v>
      </c>
      <c r="B1864" t="s">
        <v>64</v>
      </c>
      <c r="C1864">
        <v>2024</v>
      </c>
      <c r="D1864" t="s">
        <v>29</v>
      </c>
      <c r="E1864">
        <v>64261.34</v>
      </c>
      <c r="F1864">
        <v>116.7</v>
      </c>
      <c r="G1864">
        <v>433</v>
      </c>
      <c r="H1864">
        <v>322.7</v>
      </c>
      <c r="I1864">
        <v>2.86</v>
      </c>
      <c r="J1864">
        <v>200</v>
      </c>
      <c r="K1864">
        <v>402</v>
      </c>
      <c r="L1864">
        <v>369</v>
      </c>
      <c r="M1864" t="s">
        <v>39</v>
      </c>
      <c r="N1864">
        <v>5</v>
      </c>
      <c r="O1864" t="s">
        <v>56</v>
      </c>
      <c r="P1864">
        <v>18.5</v>
      </c>
      <c r="Q1864">
        <v>1894</v>
      </c>
      <c r="R1864">
        <v>3</v>
      </c>
      <c r="S1864">
        <v>2</v>
      </c>
      <c r="T1864" t="s">
        <v>47</v>
      </c>
      <c r="U1864" t="s">
        <v>42</v>
      </c>
      <c r="V1864">
        <v>145470</v>
      </c>
      <c r="W1864">
        <v>4.0999999999999996</v>
      </c>
      <c r="X1864">
        <v>5</v>
      </c>
      <c r="Y1864" t="s">
        <v>34</v>
      </c>
      <c r="Z1864">
        <v>3.71</v>
      </c>
      <c r="AA1864" t="s">
        <v>35</v>
      </c>
    </row>
    <row r="1865" spans="1:27" x14ac:dyDescent="0.3">
      <c r="A1865" t="s">
        <v>48</v>
      </c>
      <c r="B1865" t="s">
        <v>49</v>
      </c>
      <c r="C1865">
        <v>2023</v>
      </c>
      <c r="D1865" t="s">
        <v>63</v>
      </c>
      <c r="E1865">
        <v>31014.43</v>
      </c>
      <c r="F1865">
        <v>43.7</v>
      </c>
      <c r="G1865">
        <v>167</v>
      </c>
      <c r="H1865">
        <v>135.5</v>
      </c>
      <c r="I1865">
        <v>6.68</v>
      </c>
      <c r="J1865">
        <v>149</v>
      </c>
      <c r="K1865">
        <v>200</v>
      </c>
      <c r="L1865">
        <v>200</v>
      </c>
      <c r="M1865" t="s">
        <v>30</v>
      </c>
      <c r="N1865">
        <v>5</v>
      </c>
      <c r="O1865" t="s">
        <v>40</v>
      </c>
      <c r="P1865">
        <v>45.5</v>
      </c>
      <c r="Q1865">
        <v>2106</v>
      </c>
      <c r="R1865">
        <v>5</v>
      </c>
      <c r="S1865">
        <v>1</v>
      </c>
      <c r="T1865" t="s">
        <v>51</v>
      </c>
      <c r="U1865" t="s">
        <v>74</v>
      </c>
      <c r="V1865">
        <v>68930</v>
      </c>
      <c r="W1865">
        <v>3.1</v>
      </c>
      <c r="X1865">
        <v>4</v>
      </c>
      <c r="Y1865" t="s">
        <v>43</v>
      </c>
      <c r="Z1865">
        <v>3.82</v>
      </c>
      <c r="AA1865" t="s">
        <v>35</v>
      </c>
    </row>
    <row r="1866" spans="1:27" x14ac:dyDescent="0.3">
      <c r="A1866" t="s">
        <v>142</v>
      </c>
      <c r="B1866">
        <v>3</v>
      </c>
      <c r="C1866">
        <v>2024</v>
      </c>
      <c r="D1866" t="s">
        <v>68</v>
      </c>
      <c r="E1866">
        <v>116528.23</v>
      </c>
      <c r="F1866">
        <v>75.599999999999994</v>
      </c>
      <c r="G1866">
        <v>282</v>
      </c>
      <c r="H1866">
        <v>77.2</v>
      </c>
      <c r="I1866">
        <v>7.01</v>
      </c>
      <c r="J1866">
        <v>144</v>
      </c>
      <c r="K1866">
        <v>886</v>
      </c>
      <c r="L1866">
        <v>811</v>
      </c>
      <c r="M1866" t="s">
        <v>30</v>
      </c>
      <c r="N1866">
        <v>5</v>
      </c>
      <c r="O1866" t="s">
        <v>31</v>
      </c>
      <c r="P1866">
        <v>76.900000000000006</v>
      </c>
      <c r="Q1866">
        <v>2331</v>
      </c>
      <c r="R1866">
        <v>4</v>
      </c>
      <c r="S1866">
        <v>1</v>
      </c>
      <c r="T1866" t="s">
        <v>131</v>
      </c>
      <c r="U1866" t="s">
        <v>33</v>
      </c>
      <c r="V1866">
        <v>14704</v>
      </c>
      <c r="W1866">
        <v>3.6</v>
      </c>
      <c r="X1866">
        <v>4</v>
      </c>
      <c r="Y1866" t="s">
        <v>61</v>
      </c>
      <c r="Z1866">
        <v>3.73</v>
      </c>
      <c r="AA1866" t="s">
        <v>43</v>
      </c>
    </row>
    <row r="1867" spans="1:27" x14ac:dyDescent="0.3">
      <c r="A1867" t="s">
        <v>100</v>
      </c>
      <c r="B1867" t="s">
        <v>127</v>
      </c>
      <c r="C1867">
        <v>2024</v>
      </c>
      <c r="D1867" t="s">
        <v>29</v>
      </c>
      <c r="E1867">
        <v>144156.68</v>
      </c>
      <c r="F1867">
        <v>92.7</v>
      </c>
      <c r="G1867">
        <v>331</v>
      </c>
      <c r="H1867">
        <v>163.80000000000001</v>
      </c>
      <c r="I1867">
        <v>2.82</v>
      </c>
      <c r="J1867">
        <v>200</v>
      </c>
      <c r="K1867">
        <v>1000</v>
      </c>
      <c r="L1867">
        <v>847</v>
      </c>
      <c r="M1867" t="s">
        <v>30</v>
      </c>
      <c r="N1867">
        <v>5</v>
      </c>
      <c r="O1867" t="s">
        <v>56</v>
      </c>
      <c r="P1867">
        <v>23.3</v>
      </c>
      <c r="Q1867">
        <v>1500</v>
      </c>
      <c r="R1867">
        <v>5</v>
      </c>
      <c r="S1867">
        <v>0</v>
      </c>
      <c r="T1867" t="s">
        <v>73</v>
      </c>
      <c r="U1867" t="s">
        <v>33</v>
      </c>
      <c r="V1867">
        <v>28598</v>
      </c>
      <c r="W1867">
        <v>3.8</v>
      </c>
      <c r="X1867">
        <v>3</v>
      </c>
      <c r="Y1867" t="s">
        <v>34</v>
      </c>
      <c r="Z1867">
        <v>3.57</v>
      </c>
      <c r="AA1867" t="s">
        <v>35</v>
      </c>
    </row>
    <row r="1868" spans="1:27" x14ac:dyDescent="0.3">
      <c r="A1868" t="s">
        <v>52</v>
      </c>
      <c r="B1868" t="s">
        <v>86</v>
      </c>
      <c r="C1868">
        <v>2024</v>
      </c>
      <c r="D1868" t="s">
        <v>63</v>
      </c>
      <c r="E1868">
        <v>97305.17</v>
      </c>
      <c r="F1868">
        <v>40.9</v>
      </c>
      <c r="G1868">
        <v>150</v>
      </c>
      <c r="H1868">
        <v>341.6</v>
      </c>
      <c r="I1868">
        <v>6.29</v>
      </c>
      <c r="J1868">
        <v>158</v>
      </c>
      <c r="K1868">
        <v>732</v>
      </c>
      <c r="L1868">
        <v>658</v>
      </c>
      <c r="M1868" t="s">
        <v>39</v>
      </c>
      <c r="N1868">
        <v>7</v>
      </c>
      <c r="O1868" t="s">
        <v>46</v>
      </c>
      <c r="P1868">
        <v>77.3</v>
      </c>
      <c r="Q1868">
        <v>1545</v>
      </c>
      <c r="R1868">
        <v>3</v>
      </c>
      <c r="S1868">
        <v>3</v>
      </c>
      <c r="T1868" t="s">
        <v>47</v>
      </c>
      <c r="U1868" t="s">
        <v>38</v>
      </c>
      <c r="V1868">
        <v>135420</v>
      </c>
      <c r="W1868">
        <v>3.4</v>
      </c>
      <c r="X1868">
        <v>5</v>
      </c>
      <c r="Y1868" t="s">
        <v>43</v>
      </c>
      <c r="Z1868">
        <v>3.67</v>
      </c>
      <c r="AA1868" t="s">
        <v>35</v>
      </c>
    </row>
    <row r="1869" spans="1:27" x14ac:dyDescent="0.3">
      <c r="A1869" t="s">
        <v>52</v>
      </c>
      <c r="B1869" t="s">
        <v>80</v>
      </c>
      <c r="C1869">
        <v>2021</v>
      </c>
      <c r="D1869" t="s">
        <v>63</v>
      </c>
      <c r="E1869">
        <v>64613.56</v>
      </c>
      <c r="F1869">
        <v>49.8</v>
      </c>
      <c r="G1869">
        <v>175</v>
      </c>
      <c r="H1869">
        <v>218.9</v>
      </c>
      <c r="I1869">
        <v>7.79</v>
      </c>
      <c r="J1869">
        <v>130</v>
      </c>
      <c r="K1869">
        <v>429</v>
      </c>
      <c r="L1869">
        <v>370</v>
      </c>
      <c r="M1869" t="s">
        <v>54</v>
      </c>
      <c r="N1869">
        <v>5</v>
      </c>
      <c r="O1869" t="s">
        <v>31</v>
      </c>
      <c r="P1869">
        <v>57.4</v>
      </c>
      <c r="Q1869">
        <v>2450</v>
      </c>
      <c r="R1869">
        <v>4</v>
      </c>
      <c r="S1869">
        <v>3</v>
      </c>
      <c r="T1869" t="s">
        <v>47</v>
      </c>
      <c r="U1869" t="s">
        <v>42</v>
      </c>
      <c r="V1869">
        <v>243316</v>
      </c>
      <c r="W1869">
        <v>3.5</v>
      </c>
      <c r="X1869">
        <v>5</v>
      </c>
      <c r="Y1869" t="s">
        <v>61</v>
      </c>
      <c r="Z1869">
        <v>3.51</v>
      </c>
      <c r="AA1869" t="s">
        <v>35</v>
      </c>
    </row>
    <row r="1870" spans="1:27" x14ac:dyDescent="0.3">
      <c r="A1870" t="s">
        <v>52</v>
      </c>
      <c r="B1870" t="s">
        <v>55</v>
      </c>
      <c r="C1870">
        <v>2024</v>
      </c>
      <c r="D1870" t="s">
        <v>38</v>
      </c>
      <c r="E1870">
        <v>142240.31</v>
      </c>
      <c r="F1870">
        <v>46.3</v>
      </c>
      <c r="G1870">
        <v>166</v>
      </c>
      <c r="H1870">
        <v>245.7</v>
      </c>
      <c r="I1870">
        <v>5.49</v>
      </c>
      <c r="J1870">
        <v>152</v>
      </c>
      <c r="K1870">
        <v>1000</v>
      </c>
      <c r="L1870">
        <v>929</v>
      </c>
      <c r="M1870" t="s">
        <v>54</v>
      </c>
      <c r="N1870">
        <v>5</v>
      </c>
      <c r="O1870" t="s">
        <v>31</v>
      </c>
      <c r="P1870">
        <v>60.1</v>
      </c>
      <c r="Q1870">
        <v>2813</v>
      </c>
      <c r="R1870">
        <v>5</v>
      </c>
      <c r="S1870">
        <v>2</v>
      </c>
      <c r="T1870" t="s">
        <v>47</v>
      </c>
      <c r="U1870" t="s">
        <v>33</v>
      </c>
      <c r="V1870">
        <v>461025</v>
      </c>
      <c r="W1870">
        <v>3.5</v>
      </c>
      <c r="X1870">
        <v>6</v>
      </c>
      <c r="Y1870" t="s">
        <v>43</v>
      </c>
      <c r="Z1870">
        <v>3.59</v>
      </c>
      <c r="AA1870" t="s">
        <v>35</v>
      </c>
    </row>
    <row r="1871" spans="1:27" x14ac:dyDescent="0.3">
      <c r="A1871" t="s">
        <v>44</v>
      </c>
      <c r="B1871" t="s">
        <v>62</v>
      </c>
      <c r="C1871">
        <v>2023</v>
      </c>
      <c r="D1871" t="s">
        <v>68</v>
      </c>
      <c r="E1871">
        <v>45534.53</v>
      </c>
      <c r="F1871">
        <v>61.3</v>
      </c>
      <c r="G1871">
        <v>201</v>
      </c>
      <c r="H1871">
        <v>148.1</v>
      </c>
      <c r="I1871">
        <v>7.67</v>
      </c>
      <c r="J1871">
        <v>130</v>
      </c>
      <c r="K1871">
        <v>476</v>
      </c>
      <c r="L1871">
        <v>404</v>
      </c>
      <c r="M1871" t="s">
        <v>30</v>
      </c>
      <c r="N1871">
        <v>7</v>
      </c>
      <c r="O1871" t="s">
        <v>65</v>
      </c>
      <c r="P1871">
        <v>38.9</v>
      </c>
      <c r="Q1871">
        <v>1500</v>
      </c>
      <c r="R1871">
        <v>5</v>
      </c>
      <c r="S1871">
        <v>2</v>
      </c>
      <c r="T1871" t="s">
        <v>47</v>
      </c>
      <c r="U1871" t="s">
        <v>42</v>
      </c>
      <c r="V1871">
        <v>7422</v>
      </c>
      <c r="W1871">
        <v>3.3</v>
      </c>
      <c r="X1871">
        <v>3</v>
      </c>
      <c r="Y1871" t="s">
        <v>61</v>
      </c>
      <c r="Z1871">
        <v>3.28</v>
      </c>
      <c r="AA1871" t="s">
        <v>43</v>
      </c>
    </row>
    <row r="1872" spans="1:27" x14ac:dyDescent="0.3">
      <c r="A1872" t="s">
        <v>84</v>
      </c>
      <c r="B1872" t="s">
        <v>99</v>
      </c>
      <c r="C1872">
        <v>2024</v>
      </c>
      <c r="D1872" t="s">
        <v>50</v>
      </c>
      <c r="E1872">
        <v>88743.58</v>
      </c>
      <c r="F1872">
        <v>80.099999999999994</v>
      </c>
      <c r="G1872">
        <v>265</v>
      </c>
      <c r="H1872">
        <v>69.599999999999994</v>
      </c>
      <c r="I1872">
        <v>4.68</v>
      </c>
      <c r="J1872">
        <v>187</v>
      </c>
      <c r="K1872">
        <v>1000</v>
      </c>
      <c r="L1872">
        <v>902</v>
      </c>
      <c r="M1872" t="s">
        <v>39</v>
      </c>
      <c r="N1872">
        <v>2</v>
      </c>
      <c r="O1872" t="s">
        <v>31</v>
      </c>
      <c r="P1872">
        <v>78</v>
      </c>
      <c r="Q1872">
        <v>2611</v>
      </c>
      <c r="R1872">
        <v>5</v>
      </c>
      <c r="S1872">
        <v>0</v>
      </c>
      <c r="T1872" t="s">
        <v>47</v>
      </c>
      <c r="U1872" t="s">
        <v>38</v>
      </c>
      <c r="V1872">
        <v>63330</v>
      </c>
      <c r="W1872">
        <v>3.6</v>
      </c>
      <c r="X1872">
        <v>4</v>
      </c>
      <c r="Y1872" t="s">
        <v>43</v>
      </c>
      <c r="Z1872">
        <v>3.31</v>
      </c>
      <c r="AA1872" t="s">
        <v>35</v>
      </c>
    </row>
    <row r="1873" spans="1:27" x14ac:dyDescent="0.3">
      <c r="A1873" t="s">
        <v>71</v>
      </c>
      <c r="B1873" t="s">
        <v>104</v>
      </c>
      <c r="C1873">
        <v>2021</v>
      </c>
      <c r="D1873" t="s">
        <v>68</v>
      </c>
      <c r="E1873">
        <v>36671.61</v>
      </c>
      <c r="F1873">
        <v>51.7</v>
      </c>
      <c r="G1873">
        <v>195</v>
      </c>
      <c r="H1873">
        <v>147.1</v>
      </c>
      <c r="I1873">
        <v>5.93</v>
      </c>
      <c r="J1873">
        <v>166</v>
      </c>
      <c r="K1873">
        <v>378</v>
      </c>
      <c r="L1873">
        <v>358</v>
      </c>
      <c r="M1873" t="s">
        <v>39</v>
      </c>
      <c r="N1873">
        <v>7</v>
      </c>
      <c r="O1873" t="s">
        <v>31</v>
      </c>
      <c r="P1873">
        <v>51.5</v>
      </c>
      <c r="Q1873">
        <v>2585</v>
      </c>
      <c r="R1873">
        <v>4</v>
      </c>
      <c r="S1873">
        <v>1</v>
      </c>
      <c r="T1873" t="s">
        <v>73</v>
      </c>
      <c r="U1873" t="s">
        <v>42</v>
      </c>
      <c r="V1873">
        <v>112221</v>
      </c>
      <c r="W1873">
        <v>3.4</v>
      </c>
      <c r="X1873">
        <v>4</v>
      </c>
      <c r="Y1873" t="s">
        <v>43</v>
      </c>
      <c r="Z1873">
        <v>3.77</v>
      </c>
      <c r="AA1873" t="s">
        <v>35</v>
      </c>
    </row>
    <row r="1874" spans="1:27" x14ac:dyDescent="0.3">
      <c r="A1874" t="s">
        <v>76</v>
      </c>
      <c r="B1874" t="s">
        <v>114</v>
      </c>
      <c r="C1874">
        <v>2025</v>
      </c>
      <c r="D1874" t="s">
        <v>68</v>
      </c>
      <c r="E1874">
        <v>37110.33</v>
      </c>
      <c r="F1874">
        <v>75.5</v>
      </c>
      <c r="G1874">
        <v>266</v>
      </c>
      <c r="H1874">
        <v>79.400000000000006</v>
      </c>
      <c r="I1874">
        <v>7.93</v>
      </c>
      <c r="J1874">
        <v>130</v>
      </c>
      <c r="K1874">
        <v>269</v>
      </c>
      <c r="L1874">
        <v>275</v>
      </c>
      <c r="M1874" t="s">
        <v>30</v>
      </c>
      <c r="N1874">
        <v>7</v>
      </c>
      <c r="O1874" t="s">
        <v>56</v>
      </c>
      <c r="P1874">
        <v>31.6</v>
      </c>
      <c r="Q1874">
        <v>1594</v>
      </c>
      <c r="R1874">
        <v>5</v>
      </c>
      <c r="S1874">
        <v>1</v>
      </c>
      <c r="T1874" t="s">
        <v>51</v>
      </c>
      <c r="U1874" t="s">
        <v>42</v>
      </c>
      <c r="V1874">
        <v>143597</v>
      </c>
      <c r="W1874">
        <v>3.5</v>
      </c>
      <c r="X1874">
        <v>4</v>
      </c>
      <c r="Y1874" t="s">
        <v>61</v>
      </c>
      <c r="Z1874">
        <v>3.52</v>
      </c>
      <c r="AA1874" t="s">
        <v>35</v>
      </c>
    </row>
    <row r="1875" spans="1:27" x14ac:dyDescent="0.3">
      <c r="A1875" t="s">
        <v>58</v>
      </c>
      <c r="B1875" t="s">
        <v>134</v>
      </c>
      <c r="C1875">
        <v>2025</v>
      </c>
      <c r="D1875" t="s">
        <v>29</v>
      </c>
      <c r="E1875">
        <v>103655.43</v>
      </c>
      <c r="F1875">
        <v>79.599999999999994</v>
      </c>
      <c r="G1875">
        <v>307</v>
      </c>
      <c r="H1875">
        <v>201.7</v>
      </c>
      <c r="I1875">
        <v>3.25</v>
      </c>
      <c r="J1875">
        <v>197</v>
      </c>
      <c r="K1875">
        <v>574</v>
      </c>
      <c r="L1875">
        <v>523</v>
      </c>
      <c r="M1875" t="s">
        <v>54</v>
      </c>
      <c r="N1875">
        <v>7</v>
      </c>
      <c r="O1875" t="s">
        <v>46</v>
      </c>
      <c r="P1875">
        <v>62.1</v>
      </c>
      <c r="Q1875">
        <v>1865</v>
      </c>
      <c r="R1875">
        <v>4</v>
      </c>
      <c r="S1875">
        <v>2</v>
      </c>
      <c r="T1875" t="s">
        <v>32</v>
      </c>
      <c r="U1875" t="s">
        <v>33</v>
      </c>
      <c r="V1875">
        <v>54248</v>
      </c>
      <c r="W1875">
        <v>3.9</v>
      </c>
      <c r="X1875">
        <v>8</v>
      </c>
      <c r="Y1875" t="s">
        <v>34</v>
      </c>
      <c r="Z1875">
        <v>3.86</v>
      </c>
      <c r="AA1875" t="s">
        <v>35</v>
      </c>
    </row>
    <row r="1876" spans="1:27" x14ac:dyDescent="0.3">
      <c r="A1876" t="s">
        <v>44</v>
      </c>
      <c r="B1876" t="s">
        <v>62</v>
      </c>
      <c r="C1876">
        <v>2024</v>
      </c>
      <c r="D1876" t="s">
        <v>29</v>
      </c>
      <c r="E1876">
        <v>41328.5</v>
      </c>
      <c r="F1876">
        <v>93.2</v>
      </c>
      <c r="G1876">
        <v>342</v>
      </c>
      <c r="H1876">
        <v>182.4</v>
      </c>
      <c r="I1876">
        <v>4.37</v>
      </c>
      <c r="J1876">
        <v>186</v>
      </c>
      <c r="K1876">
        <v>448</v>
      </c>
      <c r="L1876">
        <v>355</v>
      </c>
      <c r="M1876" t="s">
        <v>54</v>
      </c>
      <c r="N1876">
        <v>5</v>
      </c>
      <c r="O1876" t="s">
        <v>56</v>
      </c>
      <c r="P1876">
        <v>26.7</v>
      </c>
      <c r="Q1876">
        <v>1818</v>
      </c>
      <c r="R1876">
        <v>5</v>
      </c>
      <c r="S1876">
        <v>2</v>
      </c>
      <c r="T1876" t="s">
        <v>47</v>
      </c>
      <c r="U1876" t="s">
        <v>42</v>
      </c>
      <c r="V1876">
        <v>18258</v>
      </c>
      <c r="W1876">
        <v>3.9</v>
      </c>
      <c r="X1876">
        <v>4</v>
      </c>
      <c r="Y1876" t="s">
        <v>43</v>
      </c>
      <c r="Z1876">
        <v>3.67</v>
      </c>
      <c r="AA1876" t="s">
        <v>43</v>
      </c>
    </row>
    <row r="1877" spans="1:27" x14ac:dyDescent="0.3">
      <c r="A1877" t="s">
        <v>48</v>
      </c>
      <c r="B1877" t="s">
        <v>79</v>
      </c>
      <c r="C1877">
        <v>2025</v>
      </c>
      <c r="D1877" t="s">
        <v>63</v>
      </c>
      <c r="E1877">
        <v>28245.98</v>
      </c>
      <c r="F1877">
        <v>68.8</v>
      </c>
      <c r="G1877">
        <v>222</v>
      </c>
      <c r="H1877">
        <v>54.1</v>
      </c>
      <c r="I1877">
        <v>5.42</v>
      </c>
      <c r="J1877">
        <v>171</v>
      </c>
      <c r="K1877">
        <v>171</v>
      </c>
      <c r="L1877">
        <v>200</v>
      </c>
      <c r="M1877" t="s">
        <v>54</v>
      </c>
      <c r="N1877">
        <v>5</v>
      </c>
      <c r="O1877" t="s">
        <v>65</v>
      </c>
      <c r="P1877">
        <v>37.200000000000003</v>
      </c>
      <c r="Q1877">
        <v>1730</v>
      </c>
      <c r="R1877">
        <v>4</v>
      </c>
      <c r="S1877">
        <v>0</v>
      </c>
      <c r="T1877" t="s">
        <v>51</v>
      </c>
      <c r="U1877" t="s">
        <v>74</v>
      </c>
      <c r="V1877">
        <v>75515</v>
      </c>
      <c r="W1877">
        <v>3.3</v>
      </c>
      <c r="X1877">
        <v>4</v>
      </c>
      <c r="Y1877" t="s">
        <v>43</v>
      </c>
      <c r="Z1877">
        <v>3.23</v>
      </c>
      <c r="AA1877" t="s">
        <v>35</v>
      </c>
    </row>
    <row r="1878" spans="1:27" x14ac:dyDescent="0.3">
      <c r="A1878" t="s">
        <v>48</v>
      </c>
      <c r="B1878" t="s">
        <v>60</v>
      </c>
      <c r="C1878">
        <v>2025</v>
      </c>
      <c r="D1878" t="s">
        <v>63</v>
      </c>
      <c r="E1878">
        <v>55056.42</v>
      </c>
      <c r="F1878">
        <v>81</v>
      </c>
      <c r="G1878">
        <v>274</v>
      </c>
      <c r="H1878">
        <v>99.8</v>
      </c>
      <c r="I1878">
        <v>6.27</v>
      </c>
      <c r="J1878">
        <v>160</v>
      </c>
      <c r="K1878">
        <v>541</v>
      </c>
      <c r="L1878">
        <v>502</v>
      </c>
      <c r="M1878" t="s">
        <v>54</v>
      </c>
      <c r="N1878">
        <v>7</v>
      </c>
      <c r="O1878" t="s">
        <v>57</v>
      </c>
      <c r="P1878">
        <v>20.3</v>
      </c>
      <c r="Q1878">
        <v>1500</v>
      </c>
      <c r="R1878">
        <v>4</v>
      </c>
      <c r="S1878">
        <v>0</v>
      </c>
      <c r="T1878" t="s">
        <v>51</v>
      </c>
      <c r="U1878" t="s">
        <v>42</v>
      </c>
      <c r="V1878">
        <v>118841</v>
      </c>
      <c r="W1878">
        <v>3.4</v>
      </c>
      <c r="X1878">
        <v>3</v>
      </c>
      <c r="Y1878" t="s">
        <v>43</v>
      </c>
      <c r="Z1878">
        <v>3.38</v>
      </c>
      <c r="AA1878" t="s">
        <v>35</v>
      </c>
    </row>
    <row r="1879" spans="1:27" x14ac:dyDescent="0.3">
      <c r="A1879" t="s">
        <v>76</v>
      </c>
      <c r="B1879" t="s">
        <v>77</v>
      </c>
      <c r="C1879">
        <v>2024</v>
      </c>
      <c r="D1879" t="s">
        <v>38</v>
      </c>
      <c r="E1879">
        <v>69523.19</v>
      </c>
      <c r="F1879">
        <v>77.900000000000006</v>
      </c>
      <c r="G1879">
        <v>274</v>
      </c>
      <c r="H1879">
        <v>115.1</v>
      </c>
      <c r="I1879">
        <v>6.78</v>
      </c>
      <c r="J1879">
        <v>145</v>
      </c>
      <c r="K1879">
        <v>852</v>
      </c>
      <c r="L1879">
        <v>751</v>
      </c>
      <c r="M1879" t="s">
        <v>54</v>
      </c>
      <c r="N1879">
        <v>7</v>
      </c>
      <c r="O1879" t="s">
        <v>56</v>
      </c>
      <c r="P1879">
        <v>18.399999999999999</v>
      </c>
      <c r="Q1879">
        <v>1807</v>
      </c>
      <c r="R1879">
        <v>4</v>
      </c>
      <c r="S1879">
        <v>2</v>
      </c>
      <c r="T1879" t="s">
        <v>51</v>
      </c>
      <c r="U1879" t="s">
        <v>38</v>
      </c>
      <c r="V1879">
        <v>133082</v>
      </c>
      <c r="W1879">
        <v>3.5</v>
      </c>
      <c r="X1879">
        <v>4</v>
      </c>
      <c r="Y1879" t="s">
        <v>43</v>
      </c>
      <c r="Z1879">
        <v>3.52</v>
      </c>
      <c r="AA1879" t="s">
        <v>35</v>
      </c>
    </row>
    <row r="1880" spans="1:27" x14ac:dyDescent="0.3">
      <c r="A1880" t="s">
        <v>71</v>
      </c>
      <c r="B1880" t="s">
        <v>75</v>
      </c>
      <c r="C1880">
        <v>2024</v>
      </c>
      <c r="D1880" t="s">
        <v>50</v>
      </c>
      <c r="E1880">
        <v>25253.73</v>
      </c>
      <c r="F1880">
        <v>99.1</v>
      </c>
      <c r="G1880">
        <v>355</v>
      </c>
      <c r="H1880">
        <v>139.69999999999999</v>
      </c>
      <c r="I1880">
        <v>5.45</v>
      </c>
      <c r="J1880">
        <v>167</v>
      </c>
      <c r="K1880">
        <v>197</v>
      </c>
      <c r="L1880">
        <v>200</v>
      </c>
      <c r="M1880" t="s">
        <v>39</v>
      </c>
      <c r="N1880">
        <v>7</v>
      </c>
      <c r="O1880" t="s">
        <v>46</v>
      </c>
      <c r="P1880">
        <v>73.400000000000006</v>
      </c>
      <c r="Q1880">
        <v>1891</v>
      </c>
      <c r="R1880">
        <v>4</v>
      </c>
      <c r="S1880">
        <v>0</v>
      </c>
      <c r="T1880" t="s">
        <v>73</v>
      </c>
      <c r="U1880" t="s">
        <v>74</v>
      </c>
      <c r="V1880">
        <v>158999</v>
      </c>
      <c r="W1880">
        <v>3.6</v>
      </c>
      <c r="X1880">
        <v>4</v>
      </c>
      <c r="Y1880" t="s">
        <v>43</v>
      </c>
      <c r="Z1880">
        <v>3.58</v>
      </c>
      <c r="AA1880" t="s">
        <v>35</v>
      </c>
    </row>
    <row r="1881" spans="1:27" x14ac:dyDescent="0.3">
      <c r="A1881" t="s">
        <v>48</v>
      </c>
      <c r="B1881" t="s">
        <v>49</v>
      </c>
      <c r="C1881">
        <v>2022</v>
      </c>
      <c r="D1881" t="s">
        <v>50</v>
      </c>
      <c r="E1881">
        <v>89447.77</v>
      </c>
      <c r="F1881">
        <v>97.2</v>
      </c>
      <c r="G1881">
        <v>328</v>
      </c>
      <c r="H1881">
        <v>73.099999999999994</v>
      </c>
      <c r="I1881">
        <v>4.03</v>
      </c>
      <c r="J1881">
        <v>187</v>
      </c>
      <c r="K1881">
        <v>1000</v>
      </c>
      <c r="L1881">
        <v>921</v>
      </c>
      <c r="M1881" t="s">
        <v>39</v>
      </c>
      <c r="N1881">
        <v>5</v>
      </c>
      <c r="O1881" t="s">
        <v>40</v>
      </c>
      <c r="P1881">
        <v>69.599999999999994</v>
      </c>
      <c r="Q1881">
        <v>2041</v>
      </c>
      <c r="R1881">
        <v>5</v>
      </c>
      <c r="S1881">
        <v>0</v>
      </c>
      <c r="T1881" t="s">
        <v>51</v>
      </c>
      <c r="U1881" t="s">
        <v>38</v>
      </c>
      <c r="V1881">
        <v>135902</v>
      </c>
      <c r="W1881">
        <v>3.7</v>
      </c>
      <c r="X1881">
        <v>4</v>
      </c>
      <c r="Y1881" t="s">
        <v>43</v>
      </c>
      <c r="Z1881">
        <v>3.37</v>
      </c>
      <c r="AA1881" t="s">
        <v>35</v>
      </c>
    </row>
    <row r="1882" spans="1:27" x14ac:dyDescent="0.3">
      <c r="A1882" t="s">
        <v>91</v>
      </c>
      <c r="B1882" t="s">
        <v>112</v>
      </c>
      <c r="C1882">
        <v>2025</v>
      </c>
      <c r="D1882" t="s">
        <v>63</v>
      </c>
      <c r="E1882">
        <v>76098.899999999994</v>
      </c>
      <c r="F1882">
        <v>67.8</v>
      </c>
      <c r="G1882">
        <v>221</v>
      </c>
      <c r="H1882">
        <v>149.80000000000001</v>
      </c>
      <c r="I1882">
        <v>6.59</v>
      </c>
      <c r="J1882">
        <v>150</v>
      </c>
      <c r="K1882">
        <v>535</v>
      </c>
      <c r="L1882">
        <v>453</v>
      </c>
      <c r="M1882" t="s">
        <v>39</v>
      </c>
      <c r="N1882">
        <v>5</v>
      </c>
      <c r="O1882" t="s">
        <v>40</v>
      </c>
      <c r="P1882">
        <v>40.4</v>
      </c>
      <c r="Q1882">
        <v>1969</v>
      </c>
      <c r="R1882">
        <v>5</v>
      </c>
      <c r="S1882">
        <v>1</v>
      </c>
      <c r="T1882" t="s">
        <v>32</v>
      </c>
      <c r="U1882" t="s">
        <v>38</v>
      </c>
      <c r="V1882">
        <v>36766</v>
      </c>
      <c r="W1882">
        <v>3.4</v>
      </c>
      <c r="X1882">
        <v>8</v>
      </c>
      <c r="Y1882" t="s">
        <v>43</v>
      </c>
      <c r="Z1882">
        <v>3.26</v>
      </c>
      <c r="AA1882" t="s">
        <v>35</v>
      </c>
    </row>
    <row r="1883" spans="1:27" x14ac:dyDescent="0.3">
      <c r="A1883" t="s">
        <v>94</v>
      </c>
      <c r="B1883" t="s">
        <v>125</v>
      </c>
      <c r="C1883">
        <v>2024</v>
      </c>
      <c r="D1883" t="s">
        <v>63</v>
      </c>
      <c r="E1883">
        <v>103666.6</v>
      </c>
      <c r="F1883">
        <v>66.400000000000006</v>
      </c>
      <c r="G1883">
        <v>243</v>
      </c>
      <c r="H1883">
        <v>142.19999999999999</v>
      </c>
      <c r="I1883">
        <v>6.98</v>
      </c>
      <c r="J1883">
        <v>141</v>
      </c>
      <c r="K1883">
        <v>742</v>
      </c>
      <c r="L1883">
        <v>633</v>
      </c>
      <c r="M1883" t="s">
        <v>39</v>
      </c>
      <c r="N1883">
        <v>5</v>
      </c>
      <c r="O1883" t="s">
        <v>31</v>
      </c>
      <c r="P1883">
        <v>64.099999999999994</v>
      </c>
      <c r="Q1883">
        <v>2348</v>
      </c>
      <c r="R1883">
        <v>4</v>
      </c>
      <c r="S1883">
        <v>2</v>
      </c>
      <c r="T1883" t="s">
        <v>32</v>
      </c>
      <c r="U1883" t="s">
        <v>33</v>
      </c>
      <c r="V1883">
        <v>59232</v>
      </c>
      <c r="W1883">
        <v>3.4</v>
      </c>
      <c r="X1883">
        <v>6</v>
      </c>
      <c r="Y1883" t="s">
        <v>43</v>
      </c>
      <c r="Z1883">
        <v>3.66</v>
      </c>
      <c r="AA1883" t="s">
        <v>35</v>
      </c>
    </row>
    <row r="1884" spans="1:27" x14ac:dyDescent="0.3">
      <c r="A1884" t="s">
        <v>91</v>
      </c>
      <c r="B1884" t="s">
        <v>124</v>
      </c>
      <c r="C1884">
        <v>2024</v>
      </c>
      <c r="D1884" t="s">
        <v>68</v>
      </c>
      <c r="E1884">
        <v>86675.29</v>
      </c>
      <c r="F1884">
        <v>62.4</v>
      </c>
      <c r="G1884">
        <v>204</v>
      </c>
      <c r="H1884">
        <v>145.80000000000001</v>
      </c>
      <c r="I1884">
        <v>5.0999999999999996</v>
      </c>
      <c r="J1884">
        <v>172</v>
      </c>
      <c r="K1884">
        <v>640</v>
      </c>
      <c r="L1884">
        <v>578</v>
      </c>
      <c r="M1884" t="s">
        <v>39</v>
      </c>
      <c r="N1884">
        <v>5</v>
      </c>
      <c r="O1884" t="s">
        <v>31</v>
      </c>
      <c r="P1884">
        <v>67.2</v>
      </c>
      <c r="Q1884">
        <v>2345</v>
      </c>
      <c r="R1884">
        <v>4</v>
      </c>
      <c r="S1884">
        <v>2</v>
      </c>
      <c r="T1884" t="s">
        <v>32</v>
      </c>
      <c r="U1884" t="s">
        <v>38</v>
      </c>
      <c r="V1884">
        <v>72572</v>
      </c>
      <c r="W1884">
        <v>3.4</v>
      </c>
      <c r="X1884">
        <v>8</v>
      </c>
      <c r="Y1884" t="s">
        <v>43</v>
      </c>
      <c r="Z1884">
        <v>3.27</v>
      </c>
      <c r="AA1884" t="s">
        <v>35</v>
      </c>
    </row>
    <row r="1885" spans="1:27" x14ac:dyDescent="0.3">
      <c r="A1885" t="s">
        <v>44</v>
      </c>
      <c r="B1885" t="s">
        <v>109</v>
      </c>
      <c r="C1885">
        <v>2021</v>
      </c>
      <c r="D1885" t="s">
        <v>68</v>
      </c>
      <c r="E1885">
        <v>64473.77</v>
      </c>
      <c r="F1885">
        <v>77.599999999999994</v>
      </c>
      <c r="G1885">
        <v>293</v>
      </c>
      <c r="H1885">
        <v>135.5</v>
      </c>
      <c r="I1885">
        <v>6.86</v>
      </c>
      <c r="J1885">
        <v>143</v>
      </c>
      <c r="K1885">
        <v>834</v>
      </c>
      <c r="L1885">
        <v>769</v>
      </c>
      <c r="M1885" t="s">
        <v>39</v>
      </c>
      <c r="N1885">
        <v>5</v>
      </c>
      <c r="O1885" t="s">
        <v>31</v>
      </c>
      <c r="P1885">
        <v>66</v>
      </c>
      <c r="Q1885">
        <v>2241</v>
      </c>
      <c r="R1885">
        <v>4</v>
      </c>
      <c r="S1885">
        <v>0</v>
      </c>
      <c r="T1885" t="s">
        <v>47</v>
      </c>
      <c r="U1885" t="s">
        <v>42</v>
      </c>
      <c r="V1885">
        <v>9147</v>
      </c>
      <c r="W1885">
        <v>3.7</v>
      </c>
      <c r="X1885">
        <v>4</v>
      </c>
      <c r="Y1885" t="s">
        <v>43</v>
      </c>
      <c r="Z1885">
        <v>3.78</v>
      </c>
      <c r="AA1885" t="s">
        <v>43</v>
      </c>
    </row>
    <row r="1886" spans="1:27" x14ac:dyDescent="0.3">
      <c r="A1886" t="s">
        <v>52</v>
      </c>
      <c r="B1886" t="s">
        <v>80</v>
      </c>
      <c r="C1886">
        <v>2025</v>
      </c>
      <c r="D1886" t="s">
        <v>63</v>
      </c>
      <c r="E1886">
        <v>55743.68</v>
      </c>
      <c r="F1886">
        <v>46.8</v>
      </c>
      <c r="G1886">
        <v>183</v>
      </c>
      <c r="H1886">
        <v>220.8</v>
      </c>
      <c r="I1886">
        <v>5.76</v>
      </c>
      <c r="J1886">
        <v>168</v>
      </c>
      <c r="K1886">
        <v>398</v>
      </c>
      <c r="L1886">
        <v>339</v>
      </c>
      <c r="M1886" t="s">
        <v>30</v>
      </c>
      <c r="N1886">
        <v>5</v>
      </c>
      <c r="O1886" t="s">
        <v>31</v>
      </c>
      <c r="P1886">
        <v>52.1</v>
      </c>
      <c r="Q1886">
        <v>2748</v>
      </c>
      <c r="R1886">
        <v>4</v>
      </c>
      <c r="S1886">
        <v>2</v>
      </c>
      <c r="T1886" t="s">
        <v>47</v>
      </c>
      <c r="U1886" t="s">
        <v>42</v>
      </c>
      <c r="V1886">
        <v>237895</v>
      </c>
      <c r="W1886">
        <v>3.3</v>
      </c>
      <c r="X1886">
        <v>5</v>
      </c>
      <c r="Y1886" t="s">
        <v>43</v>
      </c>
      <c r="Z1886">
        <v>3.91</v>
      </c>
      <c r="AA1886" t="s">
        <v>35</v>
      </c>
    </row>
    <row r="1887" spans="1:27" x14ac:dyDescent="0.3">
      <c r="A1887" t="s">
        <v>76</v>
      </c>
      <c r="B1887" t="s">
        <v>117</v>
      </c>
      <c r="C1887">
        <v>2025</v>
      </c>
      <c r="D1887" t="s">
        <v>29</v>
      </c>
      <c r="E1887">
        <v>72352.97</v>
      </c>
      <c r="F1887">
        <v>86.6</v>
      </c>
      <c r="G1887">
        <v>289</v>
      </c>
      <c r="H1887">
        <v>157.1</v>
      </c>
      <c r="I1887">
        <v>3.15</v>
      </c>
      <c r="J1887">
        <v>200</v>
      </c>
      <c r="K1887">
        <v>921</v>
      </c>
      <c r="L1887">
        <v>811</v>
      </c>
      <c r="M1887" t="s">
        <v>54</v>
      </c>
      <c r="N1887">
        <v>5</v>
      </c>
      <c r="O1887" t="s">
        <v>46</v>
      </c>
      <c r="P1887">
        <v>63.6</v>
      </c>
      <c r="Q1887">
        <v>1868</v>
      </c>
      <c r="R1887">
        <v>3</v>
      </c>
      <c r="S1887">
        <v>0</v>
      </c>
      <c r="T1887" t="s">
        <v>51</v>
      </c>
      <c r="U1887" t="s">
        <v>38</v>
      </c>
      <c r="V1887">
        <v>107166</v>
      </c>
      <c r="W1887">
        <v>3.5</v>
      </c>
      <c r="X1887">
        <v>4</v>
      </c>
      <c r="Y1887" t="s">
        <v>34</v>
      </c>
      <c r="Z1887">
        <v>3.34</v>
      </c>
      <c r="AA1887" t="s">
        <v>35</v>
      </c>
    </row>
    <row r="1888" spans="1:27" x14ac:dyDescent="0.3">
      <c r="A1888" t="s">
        <v>52</v>
      </c>
      <c r="B1888" t="s">
        <v>53</v>
      </c>
      <c r="C1888">
        <v>2024</v>
      </c>
      <c r="D1888" t="s">
        <v>29</v>
      </c>
      <c r="E1888">
        <v>92846.92</v>
      </c>
      <c r="F1888">
        <v>75.3</v>
      </c>
      <c r="G1888">
        <v>265</v>
      </c>
      <c r="H1888">
        <v>226.2</v>
      </c>
      <c r="I1888">
        <v>4.28</v>
      </c>
      <c r="J1888">
        <v>180</v>
      </c>
      <c r="K1888">
        <v>653</v>
      </c>
      <c r="L1888">
        <v>618</v>
      </c>
      <c r="M1888" t="s">
        <v>54</v>
      </c>
      <c r="N1888">
        <v>5</v>
      </c>
      <c r="O1888" t="s">
        <v>65</v>
      </c>
      <c r="P1888">
        <v>21.8</v>
      </c>
      <c r="Q1888">
        <v>1500</v>
      </c>
      <c r="R1888">
        <v>3</v>
      </c>
      <c r="S1888">
        <v>2</v>
      </c>
      <c r="T1888" t="s">
        <v>47</v>
      </c>
      <c r="U1888" t="s">
        <v>38</v>
      </c>
      <c r="V1888">
        <v>187727</v>
      </c>
      <c r="W1888">
        <v>3.9</v>
      </c>
      <c r="X1888">
        <v>4</v>
      </c>
      <c r="Y1888" t="s">
        <v>43</v>
      </c>
      <c r="Z1888">
        <v>3.52</v>
      </c>
      <c r="AA1888" t="s">
        <v>35</v>
      </c>
    </row>
    <row r="1889" spans="1:27" x14ac:dyDescent="0.3">
      <c r="A1889" t="s">
        <v>71</v>
      </c>
      <c r="B1889" t="s">
        <v>104</v>
      </c>
      <c r="C1889">
        <v>2025</v>
      </c>
      <c r="D1889" t="s">
        <v>63</v>
      </c>
      <c r="E1889">
        <v>64952.61</v>
      </c>
      <c r="F1889">
        <v>79.2</v>
      </c>
      <c r="G1889">
        <v>299</v>
      </c>
      <c r="H1889">
        <v>135.5</v>
      </c>
      <c r="I1889">
        <v>7.42</v>
      </c>
      <c r="J1889">
        <v>144</v>
      </c>
      <c r="K1889">
        <v>769</v>
      </c>
      <c r="L1889">
        <v>669</v>
      </c>
      <c r="M1889" t="s">
        <v>30</v>
      </c>
      <c r="N1889">
        <v>7</v>
      </c>
      <c r="O1889" t="s">
        <v>57</v>
      </c>
      <c r="P1889">
        <v>35</v>
      </c>
      <c r="Q1889">
        <v>1563</v>
      </c>
      <c r="R1889">
        <v>5</v>
      </c>
      <c r="S1889">
        <v>2</v>
      </c>
      <c r="T1889" t="s">
        <v>73</v>
      </c>
      <c r="U1889" t="s">
        <v>42</v>
      </c>
      <c r="V1889">
        <v>246706</v>
      </c>
      <c r="W1889">
        <v>3.8</v>
      </c>
      <c r="X1889">
        <v>4</v>
      </c>
      <c r="Y1889" t="s">
        <v>61</v>
      </c>
      <c r="Z1889">
        <v>3.78</v>
      </c>
      <c r="AA1889" t="s">
        <v>35</v>
      </c>
    </row>
    <row r="1890" spans="1:27" x14ac:dyDescent="0.3">
      <c r="A1890" t="s">
        <v>44</v>
      </c>
      <c r="B1890" t="s">
        <v>110</v>
      </c>
      <c r="C1890">
        <v>2024</v>
      </c>
      <c r="D1890" t="s">
        <v>63</v>
      </c>
      <c r="E1890">
        <v>32869.42</v>
      </c>
      <c r="F1890">
        <v>73.8</v>
      </c>
      <c r="G1890">
        <v>276</v>
      </c>
      <c r="H1890">
        <v>87.4</v>
      </c>
      <c r="I1890">
        <v>5.87</v>
      </c>
      <c r="J1890">
        <v>157</v>
      </c>
      <c r="K1890">
        <v>282</v>
      </c>
      <c r="L1890">
        <v>288</v>
      </c>
      <c r="M1890" t="s">
        <v>39</v>
      </c>
      <c r="N1890">
        <v>5</v>
      </c>
      <c r="O1890" t="s">
        <v>40</v>
      </c>
      <c r="P1890">
        <v>40</v>
      </c>
      <c r="Q1890">
        <v>2125</v>
      </c>
      <c r="R1890">
        <v>3</v>
      </c>
      <c r="S1890">
        <v>0</v>
      </c>
      <c r="T1890" t="s">
        <v>47</v>
      </c>
      <c r="U1890" t="s">
        <v>74</v>
      </c>
      <c r="V1890">
        <v>10258</v>
      </c>
      <c r="W1890">
        <v>3.6</v>
      </c>
      <c r="X1890">
        <v>4</v>
      </c>
      <c r="Y1890" t="s">
        <v>43</v>
      </c>
      <c r="Z1890">
        <v>3.74</v>
      </c>
      <c r="AA1890" t="s">
        <v>43</v>
      </c>
    </row>
    <row r="1891" spans="1:27" x14ac:dyDescent="0.3">
      <c r="A1891" t="s">
        <v>129</v>
      </c>
      <c r="B1891" t="s">
        <v>143</v>
      </c>
      <c r="C1891">
        <v>2022</v>
      </c>
      <c r="D1891" t="s">
        <v>63</v>
      </c>
      <c r="E1891">
        <v>46215.01</v>
      </c>
      <c r="F1891">
        <v>45.9</v>
      </c>
      <c r="G1891">
        <v>150</v>
      </c>
      <c r="H1891">
        <v>127.8</v>
      </c>
      <c r="I1891">
        <v>5.43</v>
      </c>
      <c r="J1891">
        <v>165</v>
      </c>
      <c r="K1891">
        <v>215</v>
      </c>
      <c r="L1891">
        <v>200</v>
      </c>
      <c r="M1891" t="s">
        <v>39</v>
      </c>
      <c r="N1891">
        <v>5</v>
      </c>
      <c r="O1891" t="s">
        <v>56</v>
      </c>
      <c r="P1891">
        <v>20.7</v>
      </c>
      <c r="Q1891">
        <v>1790</v>
      </c>
      <c r="R1891">
        <v>5</v>
      </c>
      <c r="S1891">
        <v>1</v>
      </c>
      <c r="T1891" t="s">
        <v>131</v>
      </c>
      <c r="U1891" t="s">
        <v>42</v>
      </c>
      <c r="V1891">
        <v>17974</v>
      </c>
      <c r="W1891">
        <v>3.3</v>
      </c>
      <c r="X1891">
        <v>3</v>
      </c>
      <c r="Y1891" t="s">
        <v>43</v>
      </c>
      <c r="Z1891">
        <v>3.27</v>
      </c>
      <c r="AA1891" t="s">
        <v>43</v>
      </c>
    </row>
    <row r="1892" spans="1:27" x14ac:dyDescent="0.3">
      <c r="A1892" t="s">
        <v>52</v>
      </c>
      <c r="B1892" t="s">
        <v>53</v>
      </c>
      <c r="C1892">
        <v>2025</v>
      </c>
      <c r="D1892" t="s">
        <v>38</v>
      </c>
      <c r="E1892">
        <v>109716.37</v>
      </c>
      <c r="F1892">
        <v>72.900000000000006</v>
      </c>
      <c r="G1892">
        <v>254</v>
      </c>
      <c r="H1892">
        <v>269</v>
      </c>
      <c r="I1892">
        <v>7.48</v>
      </c>
      <c r="J1892">
        <v>140</v>
      </c>
      <c r="K1892">
        <v>761</v>
      </c>
      <c r="L1892">
        <v>696</v>
      </c>
      <c r="M1892" t="s">
        <v>30</v>
      </c>
      <c r="N1892">
        <v>7</v>
      </c>
      <c r="O1892" t="s">
        <v>31</v>
      </c>
      <c r="P1892">
        <v>75.7</v>
      </c>
      <c r="Q1892">
        <v>2588</v>
      </c>
      <c r="R1892">
        <v>5</v>
      </c>
      <c r="S1892">
        <v>2</v>
      </c>
      <c r="T1892" t="s">
        <v>47</v>
      </c>
      <c r="U1892" t="s">
        <v>33</v>
      </c>
      <c r="V1892">
        <v>176733</v>
      </c>
      <c r="W1892">
        <v>3.8</v>
      </c>
      <c r="X1892">
        <v>4</v>
      </c>
      <c r="Y1892" t="s">
        <v>61</v>
      </c>
      <c r="Z1892">
        <v>3.48</v>
      </c>
      <c r="AA1892" t="s">
        <v>35</v>
      </c>
    </row>
    <row r="1893" spans="1:27" x14ac:dyDescent="0.3">
      <c r="A1893" t="s">
        <v>27</v>
      </c>
      <c r="B1893" t="s">
        <v>78</v>
      </c>
      <c r="C1893">
        <v>2022</v>
      </c>
      <c r="D1893" t="s">
        <v>50</v>
      </c>
      <c r="E1893">
        <v>82795.09</v>
      </c>
      <c r="F1893">
        <v>103.2</v>
      </c>
      <c r="G1893">
        <v>345</v>
      </c>
      <c r="H1893">
        <v>103.7</v>
      </c>
      <c r="I1893">
        <v>4.66</v>
      </c>
      <c r="J1893">
        <v>181</v>
      </c>
      <c r="K1893">
        <v>931</v>
      </c>
      <c r="L1893">
        <v>861</v>
      </c>
      <c r="M1893" t="s">
        <v>30</v>
      </c>
      <c r="N1893">
        <v>7</v>
      </c>
      <c r="O1893" t="s">
        <v>57</v>
      </c>
      <c r="P1893">
        <v>20.5</v>
      </c>
      <c r="Q1893">
        <v>1581</v>
      </c>
      <c r="R1893">
        <v>4</v>
      </c>
      <c r="S1893">
        <v>0</v>
      </c>
      <c r="T1893" t="s">
        <v>32</v>
      </c>
      <c r="U1893" t="s">
        <v>38</v>
      </c>
      <c r="V1893">
        <v>263434</v>
      </c>
      <c r="W1893">
        <v>3.5</v>
      </c>
      <c r="X1893">
        <v>5</v>
      </c>
      <c r="Y1893" t="s">
        <v>43</v>
      </c>
      <c r="Z1893">
        <v>3.34</v>
      </c>
      <c r="AA1893" t="s">
        <v>35</v>
      </c>
    </row>
    <row r="1894" spans="1:27" x14ac:dyDescent="0.3">
      <c r="A1894" t="s">
        <v>84</v>
      </c>
      <c r="B1894" t="s">
        <v>85</v>
      </c>
      <c r="C1894">
        <v>2026</v>
      </c>
      <c r="D1894" t="s">
        <v>50</v>
      </c>
      <c r="E1894">
        <v>61924.92</v>
      </c>
      <c r="F1894">
        <v>108.2</v>
      </c>
      <c r="G1894">
        <v>354</v>
      </c>
      <c r="H1894">
        <v>77.3</v>
      </c>
      <c r="I1894">
        <v>5.13</v>
      </c>
      <c r="J1894">
        <v>168</v>
      </c>
      <c r="K1894">
        <v>651</v>
      </c>
      <c r="L1894">
        <v>587</v>
      </c>
      <c r="M1894" t="s">
        <v>39</v>
      </c>
      <c r="N1894">
        <v>7</v>
      </c>
      <c r="O1894" t="s">
        <v>46</v>
      </c>
      <c r="P1894">
        <v>68.3</v>
      </c>
      <c r="Q1894">
        <v>1684</v>
      </c>
      <c r="R1894">
        <v>4</v>
      </c>
      <c r="S1894">
        <v>1</v>
      </c>
      <c r="T1894" t="s">
        <v>47</v>
      </c>
      <c r="U1894" t="s">
        <v>42</v>
      </c>
      <c r="V1894">
        <v>37462</v>
      </c>
      <c r="W1894">
        <v>3.8</v>
      </c>
      <c r="X1894">
        <v>5</v>
      </c>
      <c r="Y1894" t="s">
        <v>43</v>
      </c>
      <c r="Z1894">
        <v>3.27</v>
      </c>
      <c r="AA1894" t="s">
        <v>35</v>
      </c>
    </row>
    <row r="1895" spans="1:27" x14ac:dyDescent="0.3">
      <c r="A1895" t="s">
        <v>71</v>
      </c>
      <c r="B1895" t="s">
        <v>90</v>
      </c>
      <c r="C1895">
        <v>2025</v>
      </c>
      <c r="D1895" t="s">
        <v>50</v>
      </c>
      <c r="E1895">
        <v>51480.21</v>
      </c>
      <c r="F1895">
        <v>84.7</v>
      </c>
      <c r="G1895">
        <v>320</v>
      </c>
      <c r="H1895">
        <v>50.9</v>
      </c>
      <c r="I1895">
        <v>5.99</v>
      </c>
      <c r="J1895">
        <v>158</v>
      </c>
      <c r="K1895">
        <v>596</v>
      </c>
      <c r="L1895">
        <v>507</v>
      </c>
      <c r="M1895" t="s">
        <v>30</v>
      </c>
      <c r="N1895">
        <v>5</v>
      </c>
      <c r="O1895" t="s">
        <v>56</v>
      </c>
      <c r="P1895">
        <v>21.7</v>
      </c>
      <c r="Q1895">
        <v>1730</v>
      </c>
      <c r="R1895">
        <v>5</v>
      </c>
      <c r="S1895">
        <v>0</v>
      </c>
      <c r="T1895" t="s">
        <v>73</v>
      </c>
      <c r="U1895" t="s">
        <v>42</v>
      </c>
      <c r="V1895">
        <v>132415</v>
      </c>
      <c r="W1895">
        <v>3.4</v>
      </c>
      <c r="X1895">
        <v>5</v>
      </c>
      <c r="Y1895" t="s">
        <v>43</v>
      </c>
      <c r="Z1895">
        <v>3.78</v>
      </c>
      <c r="AA1895" t="s">
        <v>35</v>
      </c>
    </row>
    <row r="1896" spans="1:27" x14ac:dyDescent="0.3">
      <c r="A1896" t="s">
        <v>48</v>
      </c>
      <c r="B1896" t="s">
        <v>49</v>
      </c>
      <c r="C1896">
        <v>2026</v>
      </c>
      <c r="D1896" t="s">
        <v>68</v>
      </c>
      <c r="E1896">
        <v>75695.59</v>
      </c>
      <c r="F1896">
        <v>58.1</v>
      </c>
      <c r="G1896">
        <v>208</v>
      </c>
      <c r="H1896">
        <v>85.2</v>
      </c>
      <c r="I1896">
        <v>6.28</v>
      </c>
      <c r="J1896">
        <v>151</v>
      </c>
      <c r="K1896">
        <v>904</v>
      </c>
      <c r="L1896">
        <v>810</v>
      </c>
      <c r="M1896" t="s">
        <v>30</v>
      </c>
      <c r="N1896">
        <v>5</v>
      </c>
      <c r="O1896" t="s">
        <v>40</v>
      </c>
      <c r="P1896">
        <v>56.3</v>
      </c>
      <c r="Q1896">
        <v>1910</v>
      </c>
      <c r="R1896">
        <v>4</v>
      </c>
      <c r="S1896">
        <v>2</v>
      </c>
      <c r="T1896" t="s">
        <v>51</v>
      </c>
      <c r="U1896" t="s">
        <v>38</v>
      </c>
      <c r="V1896">
        <v>99994</v>
      </c>
      <c r="W1896">
        <v>3.4</v>
      </c>
      <c r="X1896">
        <v>4</v>
      </c>
      <c r="Y1896" t="s">
        <v>43</v>
      </c>
      <c r="Z1896">
        <v>3.58</v>
      </c>
      <c r="AA1896" t="s">
        <v>35</v>
      </c>
    </row>
    <row r="1897" spans="1:27" x14ac:dyDescent="0.3">
      <c r="A1897" t="s">
        <v>44</v>
      </c>
      <c r="B1897" t="s">
        <v>62</v>
      </c>
      <c r="C1897">
        <v>2023</v>
      </c>
      <c r="D1897" t="s">
        <v>63</v>
      </c>
      <c r="E1897">
        <v>30572.73</v>
      </c>
      <c r="F1897">
        <v>55.2</v>
      </c>
      <c r="G1897">
        <v>208</v>
      </c>
      <c r="H1897">
        <v>113.6</v>
      </c>
      <c r="I1897">
        <v>7.82</v>
      </c>
      <c r="J1897">
        <v>134</v>
      </c>
      <c r="K1897">
        <v>222</v>
      </c>
      <c r="L1897">
        <v>209</v>
      </c>
      <c r="M1897" t="s">
        <v>30</v>
      </c>
      <c r="N1897">
        <v>7</v>
      </c>
      <c r="O1897" t="s">
        <v>57</v>
      </c>
      <c r="P1897">
        <v>34.1</v>
      </c>
      <c r="Q1897">
        <v>1561</v>
      </c>
      <c r="R1897">
        <v>4</v>
      </c>
      <c r="S1897">
        <v>0</v>
      </c>
      <c r="T1897" t="s">
        <v>47</v>
      </c>
      <c r="U1897" t="s">
        <v>74</v>
      </c>
      <c r="V1897">
        <v>13459</v>
      </c>
      <c r="W1897">
        <v>3.3</v>
      </c>
      <c r="X1897">
        <v>4</v>
      </c>
      <c r="Y1897" t="s">
        <v>61</v>
      </c>
      <c r="Z1897">
        <v>3.77</v>
      </c>
      <c r="AA1897" t="s">
        <v>43</v>
      </c>
    </row>
    <row r="1898" spans="1:27" x14ac:dyDescent="0.3">
      <c r="A1898" t="s">
        <v>48</v>
      </c>
      <c r="B1898" t="s">
        <v>49</v>
      </c>
      <c r="C1898">
        <v>2021</v>
      </c>
      <c r="D1898" t="s">
        <v>29</v>
      </c>
      <c r="E1898">
        <v>92296.55</v>
      </c>
      <c r="F1898">
        <v>118.8</v>
      </c>
      <c r="G1898">
        <v>403</v>
      </c>
      <c r="H1898">
        <v>218.8</v>
      </c>
      <c r="I1898">
        <v>3.5</v>
      </c>
      <c r="J1898">
        <v>197</v>
      </c>
      <c r="K1898">
        <v>1000</v>
      </c>
      <c r="L1898">
        <v>906</v>
      </c>
      <c r="M1898" t="s">
        <v>54</v>
      </c>
      <c r="N1898">
        <v>5</v>
      </c>
      <c r="O1898" t="s">
        <v>40</v>
      </c>
      <c r="P1898">
        <v>49.7</v>
      </c>
      <c r="Q1898">
        <v>2329</v>
      </c>
      <c r="R1898">
        <v>5</v>
      </c>
      <c r="S1898">
        <v>0</v>
      </c>
      <c r="T1898" t="s">
        <v>51</v>
      </c>
      <c r="U1898" t="s">
        <v>38</v>
      </c>
      <c r="V1898">
        <v>79309</v>
      </c>
      <c r="W1898">
        <v>4</v>
      </c>
      <c r="X1898">
        <v>4</v>
      </c>
      <c r="Y1898" t="s">
        <v>34</v>
      </c>
      <c r="Z1898">
        <v>3.39</v>
      </c>
      <c r="AA1898" t="s">
        <v>35</v>
      </c>
    </row>
    <row r="1899" spans="1:27" x14ac:dyDescent="0.3">
      <c r="A1899" t="s">
        <v>52</v>
      </c>
      <c r="B1899" t="s">
        <v>64</v>
      </c>
      <c r="C1899">
        <v>2023</v>
      </c>
      <c r="D1899" t="s">
        <v>63</v>
      </c>
      <c r="E1899">
        <v>41460.269999999997</v>
      </c>
      <c r="F1899">
        <v>53.8</v>
      </c>
      <c r="G1899">
        <v>191</v>
      </c>
      <c r="H1899">
        <v>277</v>
      </c>
      <c r="I1899">
        <v>6.4</v>
      </c>
      <c r="J1899">
        <v>155</v>
      </c>
      <c r="K1899">
        <v>277</v>
      </c>
      <c r="L1899">
        <v>278</v>
      </c>
      <c r="M1899" t="s">
        <v>54</v>
      </c>
      <c r="N1899">
        <v>5</v>
      </c>
      <c r="O1899" t="s">
        <v>46</v>
      </c>
      <c r="P1899">
        <v>78.400000000000006</v>
      </c>
      <c r="Q1899">
        <v>1500</v>
      </c>
      <c r="R1899">
        <v>4</v>
      </c>
      <c r="S1899">
        <v>2</v>
      </c>
      <c r="T1899" t="s">
        <v>47</v>
      </c>
      <c r="U1899" t="s">
        <v>42</v>
      </c>
      <c r="V1899">
        <v>119951</v>
      </c>
      <c r="W1899">
        <v>3.6</v>
      </c>
      <c r="X1899">
        <v>4</v>
      </c>
      <c r="Y1899" t="s">
        <v>43</v>
      </c>
      <c r="Z1899">
        <v>3.55</v>
      </c>
      <c r="AA1899" t="s">
        <v>35</v>
      </c>
    </row>
    <row r="1900" spans="1:27" x14ac:dyDescent="0.3">
      <c r="A1900" t="s">
        <v>27</v>
      </c>
      <c r="B1900" t="s">
        <v>93</v>
      </c>
      <c r="C1900">
        <v>2025</v>
      </c>
      <c r="D1900" t="s">
        <v>68</v>
      </c>
      <c r="E1900">
        <v>53934.12</v>
      </c>
      <c r="F1900">
        <v>54.5</v>
      </c>
      <c r="G1900">
        <v>187</v>
      </c>
      <c r="H1900">
        <v>68.5</v>
      </c>
      <c r="I1900">
        <v>6.33</v>
      </c>
      <c r="J1900">
        <v>143</v>
      </c>
      <c r="K1900">
        <v>534</v>
      </c>
      <c r="L1900">
        <v>464</v>
      </c>
      <c r="M1900" t="s">
        <v>39</v>
      </c>
      <c r="N1900">
        <v>7</v>
      </c>
      <c r="O1900" t="s">
        <v>65</v>
      </c>
      <c r="P1900">
        <v>33.700000000000003</v>
      </c>
      <c r="Q1900">
        <v>1763</v>
      </c>
      <c r="R1900">
        <v>5</v>
      </c>
      <c r="S1900">
        <v>1</v>
      </c>
      <c r="T1900" t="s">
        <v>32</v>
      </c>
      <c r="U1900" t="s">
        <v>42</v>
      </c>
      <c r="V1900">
        <v>220093</v>
      </c>
      <c r="W1900">
        <v>3.4</v>
      </c>
      <c r="X1900">
        <v>3</v>
      </c>
      <c r="Y1900" t="s">
        <v>43</v>
      </c>
      <c r="Z1900">
        <v>3.43</v>
      </c>
      <c r="AA1900" t="s">
        <v>35</v>
      </c>
    </row>
    <row r="1901" spans="1:27" x14ac:dyDescent="0.3">
      <c r="A1901" t="s">
        <v>84</v>
      </c>
      <c r="B1901" t="s">
        <v>106</v>
      </c>
      <c r="C1901">
        <v>2024</v>
      </c>
      <c r="D1901" t="s">
        <v>38</v>
      </c>
      <c r="E1901">
        <v>86809.78</v>
      </c>
      <c r="F1901">
        <v>64</v>
      </c>
      <c r="G1901">
        <v>201</v>
      </c>
      <c r="H1901">
        <v>144.5</v>
      </c>
      <c r="I1901">
        <v>7.58</v>
      </c>
      <c r="J1901">
        <v>126</v>
      </c>
      <c r="K1901">
        <v>1000</v>
      </c>
      <c r="L1901">
        <v>931</v>
      </c>
      <c r="M1901" t="s">
        <v>30</v>
      </c>
      <c r="N1901">
        <v>7</v>
      </c>
      <c r="O1901" t="s">
        <v>31</v>
      </c>
      <c r="P1901">
        <v>78.599999999999994</v>
      </c>
      <c r="Q1901">
        <v>2676</v>
      </c>
      <c r="R1901">
        <v>4</v>
      </c>
      <c r="S1901">
        <v>2</v>
      </c>
      <c r="T1901" t="s">
        <v>47</v>
      </c>
      <c r="U1901" t="s">
        <v>38</v>
      </c>
      <c r="V1901">
        <v>40976</v>
      </c>
      <c r="W1901">
        <v>3</v>
      </c>
      <c r="X1901">
        <v>3</v>
      </c>
      <c r="Y1901" t="s">
        <v>61</v>
      </c>
      <c r="Z1901">
        <v>3.14</v>
      </c>
      <c r="AA1901" t="s">
        <v>35</v>
      </c>
    </row>
    <row r="1902" spans="1:27" x14ac:dyDescent="0.3">
      <c r="A1902" t="s">
        <v>48</v>
      </c>
      <c r="B1902" t="s">
        <v>88</v>
      </c>
      <c r="C1902">
        <v>2024</v>
      </c>
      <c r="D1902" t="s">
        <v>29</v>
      </c>
      <c r="E1902">
        <v>107669.85</v>
      </c>
      <c r="F1902">
        <v>101.4</v>
      </c>
      <c r="G1902">
        <v>345</v>
      </c>
      <c r="H1902">
        <v>247.6</v>
      </c>
      <c r="I1902">
        <v>2.61</v>
      </c>
      <c r="J1902">
        <v>200</v>
      </c>
      <c r="K1902">
        <v>1000</v>
      </c>
      <c r="L1902">
        <v>905</v>
      </c>
      <c r="M1902" t="s">
        <v>30</v>
      </c>
      <c r="N1902">
        <v>7</v>
      </c>
      <c r="O1902" t="s">
        <v>40</v>
      </c>
      <c r="P1902">
        <v>42.4</v>
      </c>
      <c r="Q1902">
        <v>1870</v>
      </c>
      <c r="R1902">
        <v>5</v>
      </c>
      <c r="S1902">
        <v>0</v>
      </c>
      <c r="T1902" t="s">
        <v>51</v>
      </c>
      <c r="U1902" t="s">
        <v>33</v>
      </c>
      <c r="V1902">
        <v>128063</v>
      </c>
      <c r="W1902">
        <v>4.2</v>
      </c>
      <c r="X1902">
        <v>4</v>
      </c>
      <c r="Y1902" t="s">
        <v>34</v>
      </c>
      <c r="Z1902">
        <v>3.4</v>
      </c>
      <c r="AA1902" t="s">
        <v>35</v>
      </c>
    </row>
    <row r="1903" spans="1:27" x14ac:dyDescent="0.3">
      <c r="A1903" t="s">
        <v>52</v>
      </c>
      <c r="B1903" t="s">
        <v>80</v>
      </c>
      <c r="C1903">
        <v>2025</v>
      </c>
      <c r="D1903" t="s">
        <v>38</v>
      </c>
      <c r="E1903">
        <v>113505.79</v>
      </c>
      <c r="F1903">
        <v>80.7</v>
      </c>
      <c r="G1903">
        <v>286</v>
      </c>
      <c r="H1903">
        <v>323.10000000000002</v>
      </c>
      <c r="I1903">
        <v>6.52</v>
      </c>
      <c r="J1903">
        <v>155</v>
      </c>
      <c r="K1903">
        <v>854</v>
      </c>
      <c r="L1903">
        <v>760</v>
      </c>
      <c r="M1903" t="s">
        <v>54</v>
      </c>
      <c r="N1903">
        <v>5</v>
      </c>
      <c r="O1903" t="s">
        <v>31</v>
      </c>
      <c r="P1903">
        <v>51.4</v>
      </c>
      <c r="Q1903">
        <v>2737</v>
      </c>
      <c r="R1903">
        <v>4</v>
      </c>
      <c r="S1903">
        <v>3</v>
      </c>
      <c r="T1903" t="s">
        <v>47</v>
      </c>
      <c r="U1903" t="s">
        <v>33</v>
      </c>
      <c r="V1903">
        <v>162101</v>
      </c>
      <c r="W1903">
        <v>3.9</v>
      </c>
      <c r="X1903">
        <v>5</v>
      </c>
      <c r="Y1903" t="s">
        <v>43</v>
      </c>
      <c r="Z1903">
        <v>3.54</v>
      </c>
      <c r="AA1903" t="s">
        <v>35</v>
      </c>
    </row>
    <row r="1904" spans="1:27" x14ac:dyDescent="0.3">
      <c r="A1904" t="s">
        <v>44</v>
      </c>
      <c r="B1904" t="s">
        <v>45</v>
      </c>
      <c r="C1904">
        <v>2024</v>
      </c>
      <c r="D1904" t="s">
        <v>68</v>
      </c>
      <c r="E1904">
        <v>37659.35</v>
      </c>
      <c r="F1904">
        <v>52.6</v>
      </c>
      <c r="G1904">
        <v>166</v>
      </c>
      <c r="H1904">
        <v>66.3</v>
      </c>
      <c r="I1904">
        <v>6.06</v>
      </c>
      <c r="J1904">
        <v>154</v>
      </c>
      <c r="K1904">
        <v>425</v>
      </c>
      <c r="L1904">
        <v>341</v>
      </c>
      <c r="M1904" t="s">
        <v>30</v>
      </c>
      <c r="N1904">
        <v>7</v>
      </c>
      <c r="O1904" t="s">
        <v>65</v>
      </c>
      <c r="P1904">
        <v>29.7</v>
      </c>
      <c r="Q1904">
        <v>1500</v>
      </c>
      <c r="R1904">
        <v>5</v>
      </c>
      <c r="S1904">
        <v>0</v>
      </c>
      <c r="T1904" t="s">
        <v>47</v>
      </c>
      <c r="U1904" t="s">
        <v>42</v>
      </c>
      <c r="V1904">
        <v>14766</v>
      </c>
      <c r="W1904">
        <v>3.2</v>
      </c>
      <c r="X1904">
        <v>4</v>
      </c>
      <c r="Y1904" t="s">
        <v>43</v>
      </c>
      <c r="Z1904">
        <v>3.16</v>
      </c>
      <c r="AA1904" t="s">
        <v>43</v>
      </c>
    </row>
    <row r="1905" spans="1:27" x14ac:dyDescent="0.3">
      <c r="A1905" t="s">
        <v>52</v>
      </c>
      <c r="B1905" t="s">
        <v>80</v>
      </c>
      <c r="C1905">
        <v>2025</v>
      </c>
      <c r="D1905" t="s">
        <v>50</v>
      </c>
      <c r="E1905">
        <v>118632.47</v>
      </c>
      <c r="F1905">
        <v>86.9</v>
      </c>
      <c r="G1905">
        <v>300</v>
      </c>
      <c r="H1905">
        <v>238.9</v>
      </c>
      <c r="I1905">
        <v>4.75</v>
      </c>
      <c r="J1905">
        <v>168</v>
      </c>
      <c r="K1905">
        <v>867</v>
      </c>
      <c r="L1905">
        <v>784</v>
      </c>
      <c r="M1905" t="s">
        <v>39</v>
      </c>
      <c r="N1905">
        <v>5</v>
      </c>
      <c r="O1905" t="s">
        <v>31</v>
      </c>
      <c r="P1905">
        <v>62.8</v>
      </c>
      <c r="Q1905">
        <v>2731</v>
      </c>
      <c r="R1905">
        <v>5</v>
      </c>
      <c r="S1905">
        <v>2</v>
      </c>
      <c r="T1905" t="s">
        <v>47</v>
      </c>
      <c r="U1905" t="s">
        <v>33</v>
      </c>
      <c r="V1905">
        <v>209669</v>
      </c>
      <c r="W1905">
        <v>4</v>
      </c>
      <c r="X1905">
        <v>5</v>
      </c>
      <c r="Y1905" t="s">
        <v>43</v>
      </c>
      <c r="Z1905">
        <v>3.45</v>
      </c>
      <c r="AA1905" t="s">
        <v>35</v>
      </c>
    </row>
    <row r="1906" spans="1:27" x14ac:dyDescent="0.3">
      <c r="A1906" t="s">
        <v>44</v>
      </c>
      <c r="B1906" t="s">
        <v>109</v>
      </c>
      <c r="C1906">
        <v>2026</v>
      </c>
      <c r="D1906" t="s">
        <v>38</v>
      </c>
      <c r="E1906">
        <v>71451.17</v>
      </c>
      <c r="F1906">
        <v>77</v>
      </c>
      <c r="G1906">
        <v>267</v>
      </c>
      <c r="H1906">
        <v>102.3</v>
      </c>
      <c r="I1906">
        <v>7.57</v>
      </c>
      <c r="J1906">
        <v>130</v>
      </c>
      <c r="K1906">
        <v>979</v>
      </c>
      <c r="L1906">
        <v>856</v>
      </c>
      <c r="M1906" t="s">
        <v>30</v>
      </c>
      <c r="N1906">
        <v>7</v>
      </c>
      <c r="O1906" t="s">
        <v>46</v>
      </c>
      <c r="P1906">
        <v>71.5</v>
      </c>
      <c r="Q1906">
        <v>1633</v>
      </c>
      <c r="R1906">
        <v>5</v>
      </c>
      <c r="S1906">
        <v>0</v>
      </c>
      <c r="T1906" t="s">
        <v>47</v>
      </c>
      <c r="U1906" t="s">
        <v>38</v>
      </c>
      <c r="V1906">
        <v>1367</v>
      </c>
      <c r="W1906">
        <v>3.5</v>
      </c>
      <c r="X1906">
        <v>3</v>
      </c>
      <c r="Y1906" t="s">
        <v>61</v>
      </c>
      <c r="Z1906">
        <v>3.47</v>
      </c>
      <c r="AA1906" t="s">
        <v>69</v>
      </c>
    </row>
    <row r="1907" spans="1:27" x14ac:dyDescent="0.3">
      <c r="A1907" t="s">
        <v>52</v>
      </c>
      <c r="B1907" t="s">
        <v>64</v>
      </c>
      <c r="C1907">
        <v>2025</v>
      </c>
      <c r="D1907" t="s">
        <v>63</v>
      </c>
      <c r="E1907">
        <v>66113.759999999995</v>
      </c>
      <c r="F1907">
        <v>42.6</v>
      </c>
      <c r="G1907">
        <v>168</v>
      </c>
      <c r="H1907">
        <v>261</v>
      </c>
      <c r="I1907">
        <v>7.33</v>
      </c>
      <c r="J1907">
        <v>137</v>
      </c>
      <c r="K1907">
        <v>469</v>
      </c>
      <c r="L1907">
        <v>481</v>
      </c>
      <c r="M1907" t="s">
        <v>54</v>
      </c>
      <c r="N1907">
        <v>7</v>
      </c>
      <c r="O1907" t="s">
        <v>65</v>
      </c>
      <c r="P1907">
        <v>34</v>
      </c>
      <c r="Q1907">
        <v>1665</v>
      </c>
      <c r="R1907">
        <v>4</v>
      </c>
      <c r="S1907">
        <v>2</v>
      </c>
      <c r="T1907" t="s">
        <v>47</v>
      </c>
      <c r="U1907" t="s">
        <v>38</v>
      </c>
      <c r="V1907">
        <v>185813</v>
      </c>
      <c r="W1907">
        <v>3.3</v>
      </c>
      <c r="X1907">
        <v>5</v>
      </c>
      <c r="Y1907" t="s">
        <v>61</v>
      </c>
      <c r="Z1907">
        <v>3.94</v>
      </c>
      <c r="AA1907" t="s">
        <v>35</v>
      </c>
    </row>
    <row r="1908" spans="1:27" x14ac:dyDescent="0.3">
      <c r="A1908" t="s">
        <v>36</v>
      </c>
      <c r="B1908" t="s">
        <v>120</v>
      </c>
      <c r="C1908">
        <v>2022</v>
      </c>
      <c r="D1908" t="s">
        <v>38</v>
      </c>
      <c r="E1908">
        <v>46862.78</v>
      </c>
      <c r="F1908">
        <v>63.4</v>
      </c>
      <c r="G1908">
        <v>215</v>
      </c>
      <c r="H1908">
        <v>101.5</v>
      </c>
      <c r="I1908">
        <v>6.6</v>
      </c>
      <c r="J1908">
        <v>151</v>
      </c>
      <c r="K1908">
        <v>390</v>
      </c>
      <c r="L1908">
        <v>345</v>
      </c>
      <c r="M1908" t="s">
        <v>30</v>
      </c>
      <c r="N1908">
        <v>7</v>
      </c>
      <c r="O1908" t="s">
        <v>65</v>
      </c>
      <c r="P1908">
        <v>26.9</v>
      </c>
      <c r="Q1908">
        <v>1614</v>
      </c>
      <c r="R1908">
        <v>5</v>
      </c>
      <c r="S1908">
        <v>0</v>
      </c>
      <c r="T1908" t="s">
        <v>41</v>
      </c>
      <c r="U1908" t="s">
        <v>42</v>
      </c>
      <c r="V1908">
        <v>1920</v>
      </c>
      <c r="W1908">
        <v>3.4</v>
      </c>
      <c r="X1908">
        <v>4</v>
      </c>
      <c r="Y1908" t="s">
        <v>43</v>
      </c>
      <c r="Z1908">
        <v>3.39</v>
      </c>
      <c r="AA1908" t="s">
        <v>69</v>
      </c>
    </row>
    <row r="1909" spans="1:27" x14ac:dyDescent="0.3">
      <c r="A1909" t="s">
        <v>27</v>
      </c>
      <c r="B1909" t="s">
        <v>93</v>
      </c>
      <c r="C1909">
        <v>2023</v>
      </c>
      <c r="D1909" t="s">
        <v>29</v>
      </c>
      <c r="E1909">
        <v>70444.740000000005</v>
      </c>
      <c r="F1909">
        <v>90.5</v>
      </c>
      <c r="G1909">
        <v>338</v>
      </c>
      <c r="H1909">
        <v>176.8</v>
      </c>
      <c r="I1909">
        <v>4.38</v>
      </c>
      <c r="J1909">
        <v>185</v>
      </c>
      <c r="K1909">
        <v>775</v>
      </c>
      <c r="L1909">
        <v>702</v>
      </c>
      <c r="M1909" t="s">
        <v>39</v>
      </c>
      <c r="N1909">
        <v>7</v>
      </c>
      <c r="O1909" t="s">
        <v>31</v>
      </c>
      <c r="P1909">
        <v>67.099999999999994</v>
      </c>
      <c r="Q1909">
        <v>2184</v>
      </c>
      <c r="R1909">
        <v>4</v>
      </c>
      <c r="S1909">
        <v>2</v>
      </c>
      <c r="T1909" t="s">
        <v>32</v>
      </c>
      <c r="U1909" t="s">
        <v>38</v>
      </c>
      <c r="V1909">
        <v>214221</v>
      </c>
      <c r="W1909">
        <v>3.7</v>
      </c>
      <c r="X1909">
        <v>4</v>
      </c>
      <c r="Y1909" t="s">
        <v>43</v>
      </c>
      <c r="Z1909">
        <v>3.73</v>
      </c>
      <c r="AA1909" t="s">
        <v>35</v>
      </c>
    </row>
    <row r="1910" spans="1:27" x14ac:dyDescent="0.3">
      <c r="A1910" t="s">
        <v>71</v>
      </c>
      <c r="B1910" t="s">
        <v>115</v>
      </c>
      <c r="C1910">
        <v>2022</v>
      </c>
      <c r="D1910" t="s">
        <v>50</v>
      </c>
      <c r="E1910">
        <v>77020.14</v>
      </c>
      <c r="F1910">
        <v>86.6</v>
      </c>
      <c r="G1910">
        <v>333</v>
      </c>
      <c r="H1910">
        <v>87.9</v>
      </c>
      <c r="I1910">
        <v>5.6</v>
      </c>
      <c r="J1910">
        <v>161</v>
      </c>
      <c r="K1910">
        <v>792</v>
      </c>
      <c r="L1910">
        <v>733</v>
      </c>
      <c r="M1910" t="s">
        <v>39</v>
      </c>
      <c r="N1910">
        <v>5</v>
      </c>
      <c r="O1910" t="s">
        <v>46</v>
      </c>
      <c r="P1910">
        <v>74.400000000000006</v>
      </c>
      <c r="Q1910">
        <v>1500</v>
      </c>
      <c r="R1910">
        <v>5</v>
      </c>
      <c r="S1910">
        <v>1</v>
      </c>
      <c r="T1910" t="s">
        <v>73</v>
      </c>
      <c r="U1910" t="s">
        <v>38</v>
      </c>
      <c r="V1910">
        <v>167490</v>
      </c>
      <c r="W1910">
        <v>3.6</v>
      </c>
      <c r="X1910">
        <v>4</v>
      </c>
      <c r="Y1910" t="s">
        <v>43</v>
      </c>
      <c r="Z1910">
        <v>3.85</v>
      </c>
      <c r="AA1910" t="s">
        <v>35</v>
      </c>
    </row>
    <row r="1911" spans="1:27" x14ac:dyDescent="0.3">
      <c r="A1911" t="s">
        <v>52</v>
      </c>
      <c r="B1911" t="s">
        <v>64</v>
      </c>
      <c r="C1911">
        <v>2025</v>
      </c>
      <c r="D1911" t="s">
        <v>29</v>
      </c>
      <c r="E1911">
        <v>169177.37</v>
      </c>
      <c r="F1911">
        <v>89.9</v>
      </c>
      <c r="G1911">
        <v>303</v>
      </c>
      <c r="H1911">
        <v>309.60000000000002</v>
      </c>
      <c r="I1911">
        <v>3.53</v>
      </c>
      <c r="J1911">
        <v>200</v>
      </c>
      <c r="K1911">
        <v>1000</v>
      </c>
      <c r="L1911">
        <v>898</v>
      </c>
      <c r="M1911" t="s">
        <v>54</v>
      </c>
      <c r="N1911">
        <v>7</v>
      </c>
      <c r="O1911" t="s">
        <v>40</v>
      </c>
      <c r="P1911">
        <v>66.8</v>
      </c>
      <c r="Q1911">
        <v>2131</v>
      </c>
      <c r="R1911">
        <v>4</v>
      </c>
      <c r="S1911">
        <v>3</v>
      </c>
      <c r="T1911" t="s">
        <v>47</v>
      </c>
      <c r="U1911" t="s">
        <v>33</v>
      </c>
      <c r="V1911">
        <v>130032</v>
      </c>
      <c r="W1911">
        <v>3.7</v>
      </c>
      <c r="X1911">
        <v>6</v>
      </c>
      <c r="Y1911" t="s">
        <v>34</v>
      </c>
      <c r="Z1911">
        <v>3.37</v>
      </c>
      <c r="AA1911" t="s">
        <v>35</v>
      </c>
    </row>
    <row r="1912" spans="1:27" x14ac:dyDescent="0.3">
      <c r="A1912" t="s">
        <v>71</v>
      </c>
      <c r="B1912" t="s">
        <v>75</v>
      </c>
      <c r="C1912">
        <v>2025</v>
      </c>
      <c r="D1912" t="s">
        <v>63</v>
      </c>
      <c r="E1912">
        <v>39603.870000000003</v>
      </c>
      <c r="F1912">
        <v>75.099999999999994</v>
      </c>
      <c r="G1912">
        <v>266</v>
      </c>
      <c r="H1912">
        <v>100.7</v>
      </c>
      <c r="I1912">
        <v>5.93</v>
      </c>
      <c r="J1912">
        <v>158</v>
      </c>
      <c r="K1912">
        <v>525</v>
      </c>
      <c r="L1912">
        <v>432</v>
      </c>
      <c r="M1912" t="s">
        <v>30</v>
      </c>
      <c r="N1912">
        <v>5</v>
      </c>
      <c r="O1912" t="s">
        <v>46</v>
      </c>
      <c r="P1912">
        <v>76.7</v>
      </c>
      <c r="Q1912">
        <v>1754</v>
      </c>
      <c r="R1912">
        <v>5</v>
      </c>
      <c r="S1912">
        <v>0</v>
      </c>
      <c r="T1912" t="s">
        <v>73</v>
      </c>
      <c r="U1912" t="s">
        <v>42</v>
      </c>
      <c r="V1912">
        <v>195375</v>
      </c>
      <c r="W1912">
        <v>3.5</v>
      </c>
      <c r="X1912">
        <v>4</v>
      </c>
      <c r="Y1912" t="s">
        <v>43</v>
      </c>
      <c r="Z1912">
        <v>3.54</v>
      </c>
      <c r="AA1912" t="s">
        <v>35</v>
      </c>
    </row>
    <row r="1913" spans="1:27" x14ac:dyDescent="0.3">
      <c r="A1913" t="s">
        <v>94</v>
      </c>
      <c r="B1913" t="s">
        <v>125</v>
      </c>
      <c r="C1913">
        <v>2023</v>
      </c>
      <c r="D1913" t="s">
        <v>63</v>
      </c>
      <c r="E1913">
        <v>48523.32</v>
      </c>
      <c r="F1913">
        <v>82.6</v>
      </c>
      <c r="G1913">
        <v>283</v>
      </c>
      <c r="H1913">
        <v>91.7</v>
      </c>
      <c r="I1913">
        <v>7.19</v>
      </c>
      <c r="J1913">
        <v>137</v>
      </c>
      <c r="K1913">
        <v>157</v>
      </c>
      <c r="L1913">
        <v>200</v>
      </c>
      <c r="M1913" t="s">
        <v>30</v>
      </c>
      <c r="N1913">
        <v>5</v>
      </c>
      <c r="O1913" t="s">
        <v>40</v>
      </c>
      <c r="P1913">
        <v>55.9</v>
      </c>
      <c r="Q1913">
        <v>2208</v>
      </c>
      <c r="R1913">
        <v>5</v>
      </c>
      <c r="S1913">
        <v>2</v>
      </c>
      <c r="T1913" t="s">
        <v>32</v>
      </c>
      <c r="U1913" t="s">
        <v>42</v>
      </c>
      <c r="V1913">
        <v>57366</v>
      </c>
      <c r="W1913">
        <v>3.6</v>
      </c>
      <c r="X1913">
        <v>6</v>
      </c>
      <c r="Y1913" t="s">
        <v>61</v>
      </c>
      <c r="Z1913">
        <v>3.43</v>
      </c>
      <c r="AA1913" t="s">
        <v>35</v>
      </c>
    </row>
    <row r="1914" spans="1:27" x14ac:dyDescent="0.3">
      <c r="A1914" t="s">
        <v>139</v>
      </c>
      <c r="B1914" t="s">
        <v>140</v>
      </c>
      <c r="C1914">
        <v>2021</v>
      </c>
      <c r="D1914" t="s">
        <v>50</v>
      </c>
      <c r="E1914">
        <v>49221.78</v>
      </c>
      <c r="F1914">
        <v>80.400000000000006</v>
      </c>
      <c r="G1914">
        <v>266</v>
      </c>
      <c r="H1914">
        <v>104.9</v>
      </c>
      <c r="I1914">
        <v>4.6500000000000004</v>
      </c>
      <c r="J1914">
        <v>176</v>
      </c>
      <c r="K1914">
        <v>353</v>
      </c>
      <c r="L1914">
        <v>314</v>
      </c>
      <c r="M1914" t="s">
        <v>30</v>
      </c>
      <c r="N1914">
        <v>5</v>
      </c>
      <c r="O1914" t="s">
        <v>56</v>
      </c>
      <c r="P1914">
        <v>28.7</v>
      </c>
      <c r="Q1914">
        <v>1717</v>
      </c>
      <c r="R1914">
        <v>5</v>
      </c>
      <c r="S1914">
        <v>2</v>
      </c>
      <c r="T1914" t="s">
        <v>73</v>
      </c>
      <c r="U1914" t="s">
        <v>42</v>
      </c>
      <c r="V1914">
        <v>23659</v>
      </c>
      <c r="W1914">
        <v>3.6</v>
      </c>
      <c r="X1914">
        <v>3</v>
      </c>
      <c r="Y1914" t="s">
        <v>43</v>
      </c>
      <c r="Z1914">
        <v>3.31</v>
      </c>
      <c r="AA1914" t="s">
        <v>35</v>
      </c>
    </row>
    <row r="1915" spans="1:27" x14ac:dyDescent="0.3">
      <c r="A1915" t="s">
        <v>27</v>
      </c>
      <c r="B1915" t="s">
        <v>93</v>
      </c>
      <c r="C1915">
        <v>2023</v>
      </c>
      <c r="D1915" t="s">
        <v>38</v>
      </c>
      <c r="E1915">
        <v>57817.4</v>
      </c>
      <c r="F1915">
        <v>40.4</v>
      </c>
      <c r="G1915">
        <v>167</v>
      </c>
      <c r="H1915">
        <v>88.6</v>
      </c>
      <c r="I1915">
        <v>5.78</v>
      </c>
      <c r="J1915">
        <v>156</v>
      </c>
      <c r="K1915">
        <v>536</v>
      </c>
      <c r="L1915">
        <v>511</v>
      </c>
      <c r="M1915" t="s">
        <v>30</v>
      </c>
      <c r="N1915">
        <v>5</v>
      </c>
      <c r="O1915" t="s">
        <v>31</v>
      </c>
      <c r="P1915">
        <v>70.7</v>
      </c>
      <c r="Q1915">
        <v>2281</v>
      </c>
      <c r="R1915">
        <v>5</v>
      </c>
      <c r="S1915">
        <v>1</v>
      </c>
      <c r="T1915" t="s">
        <v>32</v>
      </c>
      <c r="U1915" t="s">
        <v>42</v>
      </c>
      <c r="V1915">
        <v>227778</v>
      </c>
      <c r="W1915">
        <v>3.4</v>
      </c>
      <c r="X1915">
        <v>3</v>
      </c>
      <c r="Y1915" t="s">
        <v>43</v>
      </c>
      <c r="Z1915">
        <v>4.13</v>
      </c>
      <c r="AA1915" t="s">
        <v>35</v>
      </c>
    </row>
    <row r="1916" spans="1:27" x14ac:dyDescent="0.3">
      <c r="A1916" t="s">
        <v>27</v>
      </c>
      <c r="B1916" t="s">
        <v>28</v>
      </c>
      <c r="C1916">
        <v>2020</v>
      </c>
      <c r="D1916" t="s">
        <v>68</v>
      </c>
      <c r="E1916">
        <v>72240.69</v>
      </c>
      <c r="F1916">
        <v>59.6</v>
      </c>
      <c r="G1916">
        <v>178</v>
      </c>
      <c r="H1916">
        <v>99.9</v>
      </c>
      <c r="I1916">
        <v>6.94</v>
      </c>
      <c r="J1916">
        <v>143</v>
      </c>
      <c r="K1916">
        <v>750</v>
      </c>
      <c r="L1916">
        <v>689</v>
      </c>
      <c r="M1916" t="s">
        <v>39</v>
      </c>
      <c r="N1916">
        <v>5</v>
      </c>
      <c r="O1916" t="s">
        <v>65</v>
      </c>
      <c r="P1916">
        <v>34.799999999999997</v>
      </c>
      <c r="Q1916">
        <v>1734</v>
      </c>
      <c r="R1916">
        <v>4</v>
      </c>
      <c r="S1916">
        <v>1</v>
      </c>
      <c r="T1916" t="s">
        <v>32</v>
      </c>
      <c r="U1916" t="s">
        <v>38</v>
      </c>
      <c r="V1916">
        <v>255858</v>
      </c>
      <c r="W1916">
        <v>3.3</v>
      </c>
      <c r="X1916">
        <v>3</v>
      </c>
      <c r="Y1916" t="s">
        <v>43</v>
      </c>
      <c r="Z1916">
        <v>2.99</v>
      </c>
      <c r="AA1916" t="s">
        <v>35</v>
      </c>
    </row>
    <row r="1917" spans="1:27" x14ac:dyDescent="0.3">
      <c r="A1917" t="s">
        <v>44</v>
      </c>
      <c r="B1917" t="s">
        <v>110</v>
      </c>
      <c r="C1917">
        <v>2022</v>
      </c>
      <c r="D1917" t="s">
        <v>38</v>
      </c>
      <c r="E1917">
        <v>82968.06</v>
      </c>
      <c r="F1917">
        <v>75.400000000000006</v>
      </c>
      <c r="G1917">
        <v>253</v>
      </c>
      <c r="H1917">
        <v>145.5</v>
      </c>
      <c r="I1917">
        <v>5.92</v>
      </c>
      <c r="J1917">
        <v>163</v>
      </c>
      <c r="K1917">
        <v>1000</v>
      </c>
      <c r="L1917">
        <v>913</v>
      </c>
      <c r="M1917" t="s">
        <v>30</v>
      </c>
      <c r="N1917">
        <v>7</v>
      </c>
      <c r="O1917" t="s">
        <v>40</v>
      </c>
      <c r="P1917">
        <v>36.1</v>
      </c>
      <c r="Q1917">
        <v>2053</v>
      </c>
      <c r="R1917">
        <v>4</v>
      </c>
      <c r="S1917">
        <v>0</v>
      </c>
      <c r="T1917" t="s">
        <v>47</v>
      </c>
      <c r="U1917" t="s">
        <v>38</v>
      </c>
      <c r="V1917">
        <v>7825</v>
      </c>
      <c r="W1917">
        <v>3.4</v>
      </c>
      <c r="X1917">
        <v>4</v>
      </c>
      <c r="Y1917" t="s">
        <v>43</v>
      </c>
      <c r="Z1917">
        <v>3.36</v>
      </c>
      <c r="AA1917" t="s">
        <v>43</v>
      </c>
    </row>
    <row r="1918" spans="1:27" x14ac:dyDescent="0.3">
      <c r="A1918" t="s">
        <v>94</v>
      </c>
      <c r="B1918" t="s">
        <v>116</v>
      </c>
      <c r="C1918">
        <v>2023</v>
      </c>
      <c r="D1918" t="s">
        <v>50</v>
      </c>
      <c r="E1918">
        <v>82135.990000000005</v>
      </c>
      <c r="F1918">
        <v>78.3</v>
      </c>
      <c r="G1918">
        <v>272</v>
      </c>
      <c r="H1918">
        <v>70.7</v>
      </c>
      <c r="I1918">
        <v>4.67</v>
      </c>
      <c r="J1918">
        <v>170</v>
      </c>
      <c r="K1918">
        <v>456</v>
      </c>
      <c r="L1918">
        <v>415</v>
      </c>
      <c r="M1918" t="s">
        <v>30</v>
      </c>
      <c r="N1918">
        <v>5</v>
      </c>
      <c r="O1918" t="s">
        <v>65</v>
      </c>
      <c r="P1918">
        <v>35.799999999999997</v>
      </c>
      <c r="Q1918">
        <v>1600</v>
      </c>
      <c r="R1918">
        <v>4</v>
      </c>
      <c r="S1918">
        <v>1</v>
      </c>
      <c r="T1918" t="s">
        <v>32</v>
      </c>
      <c r="U1918" t="s">
        <v>38</v>
      </c>
      <c r="V1918">
        <v>56851</v>
      </c>
      <c r="W1918">
        <v>3.7</v>
      </c>
      <c r="X1918">
        <v>6</v>
      </c>
      <c r="Y1918" t="s">
        <v>43</v>
      </c>
      <c r="Z1918">
        <v>3.47</v>
      </c>
      <c r="AA1918" t="s">
        <v>35</v>
      </c>
    </row>
    <row r="1919" spans="1:27" x14ac:dyDescent="0.3">
      <c r="A1919" t="s">
        <v>48</v>
      </c>
      <c r="B1919" t="s">
        <v>88</v>
      </c>
      <c r="C1919">
        <v>2020</v>
      </c>
      <c r="D1919" t="s">
        <v>63</v>
      </c>
      <c r="E1919">
        <v>33055.17</v>
      </c>
      <c r="F1919">
        <v>58.2</v>
      </c>
      <c r="G1919">
        <v>200</v>
      </c>
      <c r="H1919">
        <v>83.2</v>
      </c>
      <c r="I1919">
        <v>6.11</v>
      </c>
      <c r="J1919">
        <v>158</v>
      </c>
      <c r="K1919">
        <v>176</v>
      </c>
      <c r="L1919">
        <v>200</v>
      </c>
      <c r="M1919" t="s">
        <v>30</v>
      </c>
      <c r="N1919">
        <v>7</v>
      </c>
      <c r="O1919" t="s">
        <v>40</v>
      </c>
      <c r="P1919">
        <v>55.5</v>
      </c>
      <c r="Q1919">
        <v>2035</v>
      </c>
      <c r="R1919">
        <v>4</v>
      </c>
      <c r="S1919">
        <v>0</v>
      </c>
      <c r="T1919" t="s">
        <v>51</v>
      </c>
      <c r="U1919" t="s">
        <v>74</v>
      </c>
      <c r="V1919">
        <v>139463</v>
      </c>
      <c r="W1919">
        <v>3.3</v>
      </c>
      <c r="X1919">
        <v>3</v>
      </c>
      <c r="Y1919" t="s">
        <v>43</v>
      </c>
      <c r="Z1919">
        <v>3.44</v>
      </c>
      <c r="AA1919" t="s">
        <v>35</v>
      </c>
    </row>
    <row r="1920" spans="1:27" x14ac:dyDescent="0.3">
      <c r="A1920" t="s">
        <v>27</v>
      </c>
      <c r="B1920" t="s">
        <v>78</v>
      </c>
      <c r="C1920">
        <v>2022</v>
      </c>
      <c r="D1920" t="s">
        <v>29</v>
      </c>
      <c r="E1920">
        <v>97372.99</v>
      </c>
      <c r="F1920">
        <v>74.099999999999994</v>
      </c>
      <c r="G1920">
        <v>240</v>
      </c>
      <c r="H1920">
        <v>226</v>
      </c>
      <c r="I1920">
        <v>2.5</v>
      </c>
      <c r="J1920">
        <v>200</v>
      </c>
      <c r="K1920">
        <v>1000</v>
      </c>
      <c r="L1920">
        <v>878</v>
      </c>
      <c r="M1920" t="s">
        <v>30</v>
      </c>
      <c r="N1920">
        <v>5</v>
      </c>
      <c r="O1920" t="s">
        <v>65</v>
      </c>
      <c r="P1920">
        <v>26</v>
      </c>
      <c r="Q1920">
        <v>1616</v>
      </c>
      <c r="R1920">
        <v>4</v>
      </c>
      <c r="S1920">
        <v>0</v>
      </c>
      <c r="T1920" t="s">
        <v>32</v>
      </c>
      <c r="U1920" t="s">
        <v>38</v>
      </c>
      <c r="V1920">
        <v>246097</v>
      </c>
      <c r="W1920">
        <v>3.3</v>
      </c>
      <c r="X1920">
        <v>4</v>
      </c>
      <c r="Y1920" t="s">
        <v>34</v>
      </c>
      <c r="Z1920">
        <v>3.24</v>
      </c>
      <c r="AA1920" t="s">
        <v>35</v>
      </c>
    </row>
    <row r="1921" spans="1:27" x14ac:dyDescent="0.3">
      <c r="A1921" t="s">
        <v>27</v>
      </c>
      <c r="B1921" t="s">
        <v>93</v>
      </c>
      <c r="C1921">
        <v>2024</v>
      </c>
      <c r="D1921" t="s">
        <v>50</v>
      </c>
      <c r="E1921">
        <v>62606.34</v>
      </c>
      <c r="F1921">
        <v>101.2</v>
      </c>
      <c r="G1921">
        <v>370</v>
      </c>
      <c r="H1921">
        <v>104.7</v>
      </c>
      <c r="I1921">
        <v>4.37</v>
      </c>
      <c r="J1921">
        <v>186</v>
      </c>
      <c r="K1921">
        <v>640</v>
      </c>
      <c r="L1921">
        <v>593</v>
      </c>
      <c r="M1921" t="s">
        <v>54</v>
      </c>
      <c r="N1921">
        <v>5</v>
      </c>
      <c r="O1921" t="s">
        <v>57</v>
      </c>
      <c r="P1921">
        <v>27.3</v>
      </c>
      <c r="Q1921">
        <v>1892</v>
      </c>
      <c r="R1921">
        <v>4</v>
      </c>
      <c r="S1921">
        <v>0</v>
      </c>
      <c r="T1921" t="s">
        <v>32</v>
      </c>
      <c r="U1921" t="s">
        <v>42</v>
      </c>
      <c r="V1921">
        <v>233529</v>
      </c>
      <c r="W1921">
        <v>3.8</v>
      </c>
      <c r="X1921">
        <v>3</v>
      </c>
      <c r="Y1921" t="s">
        <v>43</v>
      </c>
      <c r="Z1921">
        <v>3.66</v>
      </c>
      <c r="AA1921" t="s">
        <v>35</v>
      </c>
    </row>
    <row r="1922" spans="1:27" x14ac:dyDescent="0.3">
      <c r="A1922" t="s">
        <v>44</v>
      </c>
      <c r="B1922" t="s">
        <v>126</v>
      </c>
      <c r="C1922">
        <v>2024</v>
      </c>
      <c r="D1922" t="s">
        <v>38</v>
      </c>
      <c r="E1922">
        <v>80871.59</v>
      </c>
      <c r="F1922">
        <v>62.6</v>
      </c>
      <c r="G1922">
        <v>196</v>
      </c>
      <c r="H1922">
        <v>135.19999999999999</v>
      </c>
      <c r="I1922">
        <v>5.27</v>
      </c>
      <c r="J1922">
        <v>170</v>
      </c>
      <c r="K1922">
        <v>1000</v>
      </c>
      <c r="L1922">
        <v>911</v>
      </c>
      <c r="M1922" t="s">
        <v>30</v>
      </c>
      <c r="N1922">
        <v>5</v>
      </c>
      <c r="O1922" t="s">
        <v>56</v>
      </c>
      <c r="P1922">
        <v>15.1</v>
      </c>
      <c r="Q1922">
        <v>1778</v>
      </c>
      <c r="R1922">
        <v>3</v>
      </c>
      <c r="S1922">
        <v>1</v>
      </c>
      <c r="T1922" t="s">
        <v>47</v>
      </c>
      <c r="U1922" t="s">
        <v>38</v>
      </c>
      <c r="V1922">
        <v>24840</v>
      </c>
      <c r="W1922">
        <v>3.5</v>
      </c>
      <c r="X1922">
        <v>3</v>
      </c>
      <c r="Y1922" t="s">
        <v>43</v>
      </c>
      <c r="Z1922">
        <v>3.13</v>
      </c>
      <c r="AA1922" t="s">
        <v>35</v>
      </c>
    </row>
    <row r="1923" spans="1:27" x14ac:dyDescent="0.3">
      <c r="A1923" t="s">
        <v>52</v>
      </c>
      <c r="B1923" t="s">
        <v>53</v>
      </c>
      <c r="C1923">
        <v>2025</v>
      </c>
      <c r="D1923" t="s">
        <v>68</v>
      </c>
      <c r="E1923">
        <v>27829.58</v>
      </c>
      <c r="F1923">
        <v>72.900000000000006</v>
      </c>
      <c r="G1923">
        <v>249</v>
      </c>
      <c r="H1923">
        <v>215.3</v>
      </c>
      <c r="I1923">
        <v>5.62</v>
      </c>
      <c r="J1923">
        <v>177</v>
      </c>
      <c r="K1923">
        <v>169</v>
      </c>
      <c r="L1923">
        <v>200</v>
      </c>
      <c r="M1923" t="s">
        <v>54</v>
      </c>
      <c r="N1923">
        <v>7</v>
      </c>
      <c r="O1923" t="s">
        <v>46</v>
      </c>
      <c r="P1923">
        <v>65.900000000000006</v>
      </c>
      <c r="Q1923">
        <v>1500</v>
      </c>
      <c r="R1923">
        <v>4</v>
      </c>
      <c r="S1923">
        <v>2</v>
      </c>
      <c r="T1923" t="s">
        <v>47</v>
      </c>
      <c r="U1923" t="s">
        <v>74</v>
      </c>
      <c r="V1923">
        <v>110913</v>
      </c>
      <c r="W1923">
        <v>3.8</v>
      </c>
      <c r="X1923">
        <v>6</v>
      </c>
      <c r="Y1923" t="s">
        <v>43</v>
      </c>
      <c r="Z1923">
        <v>3.42</v>
      </c>
      <c r="AA1923" t="s">
        <v>35</v>
      </c>
    </row>
    <row r="1924" spans="1:27" x14ac:dyDescent="0.3">
      <c r="A1924" t="s">
        <v>91</v>
      </c>
      <c r="B1924" t="s">
        <v>97</v>
      </c>
      <c r="C1924">
        <v>2025</v>
      </c>
      <c r="D1924" t="s">
        <v>68</v>
      </c>
      <c r="E1924">
        <v>104401.84</v>
      </c>
      <c r="F1924">
        <v>73.3</v>
      </c>
      <c r="G1924">
        <v>250</v>
      </c>
      <c r="H1924">
        <v>133.4</v>
      </c>
      <c r="I1924">
        <v>5.28</v>
      </c>
      <c r="J1924">
        <v>178</v>
      </c>
      <c r="K1924">
        <v>879</v>
      </c>
      <c r="L1924">
        <v>791</v>
      </c>
      <c r="M1924" t="s">
        <v>54</v>
      </c>
      <c r="N1924">
        <v>5</v>
      </c>
      <c r="O1924" t="s">
        <v>57</v>
      </c>
      <c r="P1924">
        <v>38.9</v>
      </c>
      <c r="Q1924">
        <v>1612</v>
      </c>
      <c r="R1924">
        <v>5</v>
      </c>
      <c r="S1924">
        <v>1</v>
      </c>
      <c r="T1924" t="s">
        <v>32</v>
      </c>
      <c r="U1924" t="s">
        <v>33</v>
      </c>
      <c r="V1924">
        <v>64517</v>
      </c>
      <c r="W1924">
        <v>3.6</v>
      </c>
      <c r="X1924">
        <v>5</v>
      </c>
      <c r="Y1924" t="s">
        <v>43</v>
      </c>
      <c r="Z1924">
        <v>3.41</v>
      </c>
      <c r="AA1924" t="s">
        <v>35</v>
      </c>
    </row>
    <row r="1925" spans="1:27" x14ac:dyDescent="0.3">
      <c r="A1925" t="s">
        <v>27</v>
      </c>
      <c r="B1925" t="s">
        <v>93</v>
      </c>
      <c r="C1925">
        <v>2026</v>
      </c>
      <c r="D1925" t="s">
        <v>29</v>
      </c>
      <c r="E1925">
        <v>77434.92</v>
      </c>
      <c r="F1925">
        <v>112.5</v>
      </c>
      <c r="G1925">
        <v>381</v>
      </c>
      <c r="H1925">
        <v>202</v>
      </c>
      <c r="I1925">
        <v>3.97</v>
      </c>
      <c r="J1925">
        <v>195</v>
      </c>
      <c r="K1925">
        <v>813</v>
      </c>
      <c r="L1925">
        <v>732</v>
      </c>
      <c r="M1925" t="s">
        <v>54</v>
      </c>
      <c r="N1925">
        <v>5</v>
      </c>
      <c r="O1925" t="s">
        <v>65</v>
      </c>
      <c r="P1925">
        <v>33.6</v>
      </c>
      <c r="Q1925">
        <v>1972</v>
      </c>
      <c r="R1925">
        <v>5</v>
      </c>
      <c r="S1925">
        <v>1</v>
      </c>
      <c r="T1925" t="s">
        <v>32</v>
      </c>
      <c r="U1925" t="s">
        <v>38</v>
      </c>
      <c r="V1925">
        <v>250773</v>
      </c>
      <c r="W1925">
        <v>3.8</v>
      </c>
      <c r="X1925">
        <v>3</v>
      </c>
      <c r="Y1925" t="s">
        <v>34</v>
      </c>
      <c r="Z1925">
        <v>3.39</v>
      </c>
      <c r="AA1925" t="s">
        <v>35</v>
      </c>
    </row>
    <row r="1926" spans="1:27" x14ac:dyDescent="0.3">
      <c r="A1926" t="s">
        <v>84</v>
      </c>
      <c r="B1926" t="s">
        <v>99</v>
      </c>
      <c r="C1926">
        <v>2025</v>
      </c>
      <c r="D1926" t="s">
        <v>29</v>
      </c>
      <c r="E1926">
        <v>55789.82</v>
      </c>
      <c r="F1926">
        <v>103.1</v>
      </c>
      <c r="G1926">
        <v>355</v>
      </c>
      <c r="H1926">
        <v>158</v>
      </c>
      <c r="I1926">
        <v>2.5499999999999998</v>
      </c>
      <c r="J1926">
        <v>200</v>
      </c>
      <c r="K1926">
        <v>526</v>
      </c>
      <c r="L1926">
        <v>443</v>
      </c>
      <c r="M1926" t="s">
        <v>30</v>
      </c>
      <c r="N1926">
        <v>2</v>
      </c>
      <c r="O1926" t="s">
        <v>31</v>
      </c>
      <c r="P1926">
        <v>57.8</v>
      </c>
      <c r="Q1926">
        <v>2494</v>
      </c>
      <c r="R1926">
        <v>3</v>
      </c>
      <c r="S1926">
        <v>0</v>
      </c>
      <c r="T1926" t="s">
        <v>47</v>
      </c>
      <c r="U1926" t="s">
        <v>42</v>
      </c>
      <c r="V1926">
        <v>58686</v>
      </c>
      <c r="W1926">
        <v>4</v>
      </c>
      <c r="X1926">
        <v>4</v>
      </c>
      <c r="Y1926" t="s">
        <v>34</v>
      </c>
      <c r="Z1926">
        <v>3.44</v>
      </c>
      <c r="AA1926" t="s">
        <v>35</v>
      </c>
    </row>
    <row r="1927" spans="1:27" x14ac:dyDescent="0.3">
      <c r="A1927" t="s">
        <v>52</v>
      </c>
      <c r="B1927" t="s">
        <v>55</v>
      </c>
      <c r="C1927">
        <v>2026</v>
      </c>
      <c r="D1927" t="s">
        <v>50</v>
      </c>
      <c r="E1927">
        <v>43501.07</v>
      </c>
      <c r="F1927">
        <v>92.1</v>
      </c>
      <c r="G1927">
        <v>328</v>
      </c>
      <c r="H1927">
        <v>316</v>
      </c>
      <c r="I1927">
        <v>4.82</v>
      </c>
      <c r="J1927">
        <v>177</v>
      </c>
      <c r="K1927">
        <v>282</v>
      </c>
      <c r="L1927">
        <v>240</v>
      </c>
      <c r="M1927" t="s">
        <v>39</v>
      </c>
      <c r="N1927">
        <v>7</v>
      </c>
      <c r="O1927" t="s">
        <v>56</v>
      </c>
      <c r="P1927">
        <v>28.1</v>
      </c>
      <c r="Q1927">
        <v>1575</v>
      </c>
      <c r="R1927">
        <v>4</v>
      </c>
      <c r="S1927">
        <v>2</v>
      </c>
      <c r="T1927" t="s">
        <v>47</v>
      </c>
      <c r="U1927" t="s">
        <v>42</v>
      </c>
      <c r="V1927">
        <v>417203</v>
      </c>
      <c r="W1927">
        <v>3.9</v>
      </c>
      <c r="X1927">
        <v>6</v>
      </c>
      <c r="Y1927" t="s">
        <v>43</v>
      </c>
      <c r="Z1927">
        <v>3.56</v>
      </c>
      <c r="AA1927" t="s">
        <v>35</v>
      </c>
    </row>
    <row r="1928" spans="1:27" x14ac:dyDescent="0.3">
      <c r="A1928" t="s">
        <v>48</v>
      </c>
      <c r="B1928" t="s">
        <v>88</v>
      </c>
      <c r="C1928">
        <v>2024</v>
      </c>
      <c r="D1928" t="s">
        <v>38</v>
      </c>
      <c r="E1928">
        <v>73063.27</v>
      </c>
      <c r="F1928">
        <v>55.1</v>
      </c>
      <c r="G1928">
        <v>176</v>
      </c>
      <c r="H1928">
        <v>114.3</v>
      </c>
      <c r="I1928">
        <v>7.87</v>
      </c>
      <c r="J1928">
        <v>137</v>
      </c>
      <c r="K1928">
        <v>826</v>
      </c>
      <c r="L1928">
        <v>792</v>
      </c>
      <c r="M1928" t="s">
        <v>54</v>
      </c>
      <c r="N1928">
        <v>7</v>
      </c>
      <c r="O1928" t="s">
        <v>40</v>
      </c>
      <c r="P1928">
        <v>46.4</v>
      </c>
      <c r="Q1928">
        <v>1899</v>
      </c>
      <c r="R1928">
        <v>5</v>
      </c>
      <c r="S1928">
        <v>0</v>
      </c>
      <c r="T1928" t="s">
        <v>51</v>
      </c>
      <c r="U1928" t="s">
        <v>38</v>
      </c>
      <c r="V1928">
        <v>143775</v>
      </c>
      <c r="W1928">
        <v>3.5</v>
      </c>
      <c r="X1928">
        <v>4</v>
      </c>
      <c r="Y1928" t="s">
        <v>61</v>
      </c>
      <c r="Z1928">
        <v>3.19</v>
      </c>
      <c r="AA1928" t="s">
        <v>35</v>
      </c>
    </row>
    <row r="1929" spans="1:27" x14ac:dyDescent="0.3">
      <c r="A1929" t="s">
        <v>76</v>
      </c>
      <c r="B1929" t="s">
        <v>114</v>
      </c>
      <c r="C1929">
        <v>2022</v>
      </c>
      <c r="D1929" t="s">
        <v>68</v>
      </c>
      <c r="E1929">
        <v>34455.089999999997</v>
      </c>
      <c r="F1929">
        <v>43.1</v>
      </c>
      <c r="G1929">
        <v>150</v>
      </c>
      <c r="H1929">
        <v>86.2</v>
      </c>
      <c r="I1929">
        <v>5.04</v>
      </c>
      <c r="J1929">
        <v>165</v>
      </c>
      <c r="K1929">
        <v>227</v>
      </c>
      <c r="L1929">
        <v>212</v>
      </c>
      <c r="M1929" t="s">
        <v>30</v>
      </c>
      <c r="N1929">
        <v>5</v>
      </c>
      <c r="O1929" t="s">
        <v>46</v>
      </c>
      <c r="P1929">
        <v>72</v>
      </c>
      <c r="Q1929">
        <v>1606</v>
      </c>
      <c r="R1929">
        <v>5</v>
      </c>
      <c r="S1929">
        <v>1</v>
      </c>
      <c r="T1929" t="s">
        <v>51</v>
      </c>
      <c r="U1929" t="s">
        <v>74</v>
      </c>
      <c r="V1929">
        <v>120724</v>
      </c>
      <c r="W1929">
        <v>3.1</v>
      </c>
      <c r="X1929">
        <v>5</v>
      </c>
      <c r="Y1929" t="s">
        <v>43</v>
      </c>
      <c r="Z1929">
        <v>3.48</v>
      </c>
      <c r="AA1929" t="s">
        <v>35</v>
      </c>
    </row>
    <row r="1930" spans="1:27" x14ac:dyDescent="0.3">
      <c r="A1930" t="s">
        <v>91</v>
      </c>
      <c r="B1930" t="s">
        <v>97</v>
      </c>
      <c r="C1930">
        <v>2024</v>
      </c>
      <c r="D1930" t="s">
        <v>29</v>
      </c>
      <c r="E1930">
        <v>123235.74</v>
      </c>
      <c r="F1930">
        <v>117.3</v>
      </c>
      <c r="G1930">
        <v>428</v>
      </c>
      <c r="H1930">
        <v>187.9</v>
      </c>
      <c r="I1930">
        <v>3.59</v>
      </c>
      <c r="J1930">
        <v>186</v>
      </c>
      <c r="K1930">
        <v>1000</v>
      </c>
      <c r="L1930">
        <v>922</v>
      </c>
      <c r="M1930" t="s">
        <v>30</v>
      </c>
      <c r="N1930">
        <v>7</v>
      </c>
      <c r="O1930" t="s">
        <v>31</v>
      </c>
      <c r="P1930">
        <v>54</v>
      </c>
      <c r="Q1930">
        <v>2571</v>
      </c>
      <c r="R1930">
        <v>5</v>
      </c>
      <c r="S1930">
        <v>1</v>
      </c>
      <c r="T1930" t="s">
        <v>32</v>
      </c>
      <c r="U1930" t="s">
        <v>33</v>
      </c>
      <c r="V1930">
        <v>49531</v>
      </c>
      <c r="W1930">
        <v>4</v>
      </c>
      <c r="X1930">
        <v>6</v>
      </c>
      <c r="Y1930" t="s">
        <v>34</v>
      </c>
      <c r="Z1930">
        <v>3.65</v>
      </c>
      <c r="AA1930" t="s">
        <v>35</v>
      </c>
    </row>
    <row r="1931" spans="1:27" x14ac:dyDescent="0.3">
      <c r="A1931" t="s">
        <v>52</v>
      </c>
      <c r="B1931" t="s">
        <v>80</v>
      </c>
      <c r="C1931">
        <v>2024</v>
      </c>
      <c r="D1931" t="s">
        <v>38</v>
      </c>
      <c r="E1931">
        <v>117988.5</v>
      </c>
      <c r="F1931">
        <v>65.2</v>
      </c>
      <c r="G1931">
        <v>250</v>
      </c>
      <c r="H1931">
        <v>315.7</v>
      </c>
      <c r="I1931">
        <v>5.38</v>
      </c>
      <c r="J1931">
        <v>160</v>
      </c>
      <c r="K1931">
        <v>846</v>
      </c>
      <c r="L1931">
        <v>761</v>
      </c>
      <c r="M1931" t="s">
        <v>39</v>
      </c>
      <c r="N1931">
        <v>5</v>
      </c>
      <c r="O1931" t="s">
        <v>31</v>
      </c>
      <c r="P1931">
        <v>57.5</v>
      </c>
      <c r="Q1931">
        <v>2492</v>
      </c>
      <c r="R1931">
        <v>4</v>
      </c>
      <c r="S1931">
        <v>2</v>
      </c>
      <c r="T1931" t="s">
        <v>47</v>
      </c>
      <c r="U1931" t="s">
        <v>33</v>
      </c>
      <c r="V1931">
        <v>117423</v>
      </c>
      <c r="W1931">
        <v>3.8</v>
      </c>
      <c r="X1931">
        <v>5</v>
      </c>
      <c r="Y1931" t="s">
        <v>43</v>
      </c>
      <c r="Z1931">
        <v>3.83</v>
      </c>
      <c r="AA1931" t="s">
        <v>35</v>
      </c>
    </row>
    <row r="1932" spans="1:27" x14ac:dyDescent="0.3">
      <c r="A1932" t="s">
        <v>48</v>
      </c>
      <c r="B1932" t="s">
        <v>60</v>
      </c>
      <c r="C1932">
        <v>2024</v>
      </c>
      <c r="D1932" t="s">
        <v>68</v>
      </c>
      <c r="E1932">
        <v>39013.49</v>
      </c>
      <c r="F1932">
        <v>67.3</v>
      </c>
      <c r="G1932">
        <v>235</v>
      </c>
      <c r="H1932">
        <v>97.3</v>
      </c>
      <c r="I1932">
        <v>5.22</v>
      </c>
      <c r="J1932">
        <v>171</v>
      </c>
      <c r="K1932">
        <v>263</v>
      </c>
      <c r="L1932">
        <v>250</v>
      </c>
      <c r="M1932" t="s">
        <v>54</v>
      </c>
      <c r="N1932">
        <v>7</v>
      </c>
      <c r="O1932" t="s">
        <v>46</v>
      </c>
      <c r="P1932">
        <v>60.9</v>
      </c>
      <c r="Q1932">
        <v>1500</v>
      </c>
      <c r="R1932">
        <v>4</v>
      </c>
      <c r="S1932">
        <v>1</v>
      </c>
      <c r="T1932" t="s">
        <v>51</v>
      </c>
      <c r="U1932" t="s">
        <v>42</v>
      </c>
      <c r="V1932">
        <v>124150</v>
      </c>
      <c r="W1932">
        <v>3.6</v>
      </c>
      <c r="X1932">
        <v>4</v>
      </c>
      <c r="Y1932" t="s">
        <v>43</v>
      </c>
      <c r="Z1932">
        <v>3.49</v>
      </c>
      <c r="AA1932" t="s">
        <v>35</v>
      </c>
    </row>
    <row r="1933" spans="1:27" x14ac:dyDescent="0.3">
      <c r="A1933" t="s">
        <v>48</v>
      </c>
      <c r="B1933" t="s">
        <v>79</v>
      </c>
      <c r="C1933">
        <v>2024</v>
      </c>
      <c r="D1933" t="s">
        <v>50</v>
      </c>
      <c r="E1933">
        <v>50328.06</v>
      </c>
      <c r="F1933">
        <v>106.7</v>
      </c>
      <c r="G1933">
        <v>389</v>
      </c>
      <c r="H1933">
        <v>137.5</v>
      </c>
      <c r="I1933">
        <v>5.25</v>
      </c>
      <c r="J1933">
        <v>165</v>
      </c>
      <c r="K1933">
        <v>491</v>
      </c>
      <c r="L1933">
        <v>455</v>
      </c>
      <c r="M1933" t="s">
        <v>54</v>
      </c>
      <c r="N1933">
        <v>5</v>
      </c>
      <c r="O1933" t="s">
        <v>56</v>
      </c>
      <c r="P1933">
        <v>22.9</v>
      </c>
      <c r="Q1933">
        <v>1655</v>
      </c>
      <c r="R1933">
        <v>4</v>
      </c>
      <c r="S1933">
        <v>0</v>
      </c>
      <c r="T1933" t="s">
        <v>51</v>
      </c>
      <c r="U1933" t="s">
        <v>42</v>
      </c>
      <c r="V1933">
        <v>79174</v>
      </c>
      <c r="W1933">
        <v>3.9</v>
      </c>
      <c r="X1933">
        <v>3</v>
      </c>
      <c r="Y1933" t="s">
        <v>43</v>
      </c>
      <c r="Z1933">
        <v>3.65</v>
      </c>
      <c r="AA1933" t="s">
        <v>35</v>
      </c>
    </row>
    <row r="1934" spans="1:27" x14ac:dyDescent="0.3">
      <c r="A1934" t="s">
        <v>48</v>
      </c>
      <c r="B1934" t="s">
        <v>79</v>
      </c>
      <c r="C1934">
        <v>2025</v>
      </c>
      <c r="D1934" t="s">
        <v>63</v>
      </c>
      <c r="E1934">
        <v>48934.98</v>
      </c>
      <c r="F1934">
        <v>67</v>
      </c>
      <c r="G1934">
        <v>228</v>
      </c>
      <c r="H1934">
        <v>121.3</v>
      </c>
      <c r="I1934">
        <v>6.09</v>
      </c>
      <c r="J1934">
        <v>154</v>
      </c>
      <c r="K1934">
        <v>439</v>
      </c>
      <c r="L1934">
        <v>379</v>
      </c>
      <c r="M1934" t="s">
        <v>39</v>
      </c>
      <c r="N1934">
        <v>7</v>
      </c>
      <c r="O1934" t="s">
        <v>57</v>
      </c>
      <c r="P1934">
        <v>17.899999999999999</v>
      </c>
      <c r="Q1934">
        <v>1500</v>
      </c>
      <c r="R1934">
        <v>5</v>
      </c>
      <c r="S1934">
        <v>1</v>
      </c>
      <c r="T1934" t="s">
        <v>51</v>
      </c>
      <c r="U1934" t="s">
        <v>42</v>
      </c>
      <c r="V1934">
        <v>106640</v>
      </c>
      <c r="W1934">
        <v>3.4</v>
      </c>
      <c r="X1934">
        <v>4</v>
      </c>
      <c r="Y1934" t="s">
        <v>43</v>
      </c>
      <c r="Z1934">
        <v>3.4</v>
      </c>
      <c r="AA1934" t="s">
        <v>35</v>
      </c>
    </row>
    <row r="1935" spans="1:27" x14ac:dyDescent="0.3">
      <c r="A1935" t="s">
        <v>48</v>
      </c>
      <c r="B1935" t="s">
        <v>49</v>
      </c>
      <c r="C1935">
        <v>2025</v>
      </c>
      <c r="D1935" t="s">
        <v>38</v>
      </c>
      <c r="E1935">
        <v>89200.56</v>
      </c>
      <c r="F1935">
        <v>62.2</v>
      </c>
      <c r="G1935">
        <v>211</v>
      </c>
      <c r="H1935">
        <v>64.2</v>
      </c>
      <c r="I1935">
        <v>6.77</v>
      </c>
      <c r="J1935">
        <v>149</v>
      </c>
      <c r="K1935">
        <v>1000</v>
      </c>
      <c r="L1935">
        <v>893</v>
      </c>
      <c r="M1935" t="s">
        <v>30</v>
      </c>
      <c r="N1935">
        <v>7</v>
      </c>
      <c r="O1935" t="s">
        <v>40</v>
      </c>
      <c r="P1935">
        <v>37.1</v>
      </c>
      <c r="Q1935">
        <v>2168</v>
      </c>
      <c r="R1935">
        <v>4</v>
      </c>
      <c r="S1935">
        <v>1</v>
      </c>
      <c r="T1935" t="s">
        <v>51</v>
      </c>
      <c r="U1935" t="s">
        <v>38</v>
      </c>
      <c r="V1935">
        <v>55676</v>
      </c>
      <c r="W1935">
        <v>3</v>
      </c>
      <c r="X1935">
        <v>5</v>
      </c>
      <c r="Y1935" t="s">
        <v>43</v>
      </c>
      <c r="Z1935">
        <v>3.39</v>
      </c>
      <c r="AA1935" t="s">
        <v>35</v>
      </c>
    </row>
    <row r="1936" spans="1:27" x14ac:dyDescent="0.3">
      <c r="A1936" t="s">
        <v>91</v>
      </c>
      <c r="B1936" t="s">
        <v>112</v>
      </c>
      <c r="C1936">
        <v>2025</v>
      </c>
      <c r="D1936" t="s">
        <v>50</v>
      </c>
      <c r="E1936">
        <v>133417.07</v>
      </c>
      <c r="F1936">
        <v>99.6</v>
      </c>
      <c r="G1936">
        <v>348</v>
      </c>
      <c r="H1936">
        <v>95.3</v>
      </c>
      <c r="I1936">
        <v>5.0599999999999996</v>
      </c>
      <c r="J1936">
        <v>178</v>
      </c>
      <c r="K1936">
        <v>1000</v>
      </c>
      <c r="L1936">
        <v>946</v>
      </c>
      <c r="M1936" t="s">
        <v>54</v>
      </c>
      <c r="N1936">
        <v>7</v>
      </c>
      <c r="O1936" t="s">
        <v>46</v>
      </c>
      <c r="P1936">
        <v>73.3</v>
      </c>
      <c r="Q1936">
        <v>1852</v>
      </c>
      <c r="R1936">
        <v>4</v>
      </c>
      <c r="S1936">
        <v>1</v>
      </c>
      <c r="T1936" t="s">
        <v>32</v>
      </c>
      <c r="U1936" t="s">
        <v>33</v>
      </c>
      <c r="V1936">
        <v>53580</v>
      </c>
      <c r="W1936">
        <v>3.9</v>
      </c>
      <c r="X1936">
        <v>8</v>
      </c>
      <c r="Y1936" t="s">
        <v>43</v>
      </c>
      <c r="Z1936">
        <v>3.49</v>
      </c>
      <c r="AA1936" t="s">
        <v>35</v>
      </c>
    </row>
    <row r="1937" spans="1:27" x14ac:dyDescent="0.3">
      <c r="A1937" t="s">
        <v>84</v>
      </c>
      <c r="B1937" t="s">
        <v>106</v>
      </c>
      <c r="C1937">
        <v>2025</v>
      </c>
      <c r="D1937" t="s">
        <v>29</v>
      </c>
      <c r="E1937">
        <v>63490.76</v>
      </c>
      <c r="F1937">
        <v>108</v>
      </c>
      <c r="G1937">
        <v>370</v>
      </c>
      <c r="H1937">
        <v>240.1</v>
      </c>
      <c r="I1937">
        <v>3.78</v>
      </c>
      <c r="J1937">
        <v>196</v>
      </c>
      <c r="K1937">
        <v>712</v>
      </c>
      <c r="L1937">
        <v>688</v>
      </c>
      <c r="M1937" t="s">
        <v>54</v>
      </c>
      <c r="N1937">
        <v>5</v>
      </c>
      <c r="O1937" t="s">
        <v>65</v>
      </c>
      <c r="P1937">
        <v>32.299999999999997</v>
      </c>
      <c r="Q1937">
        <v>1500</v>
      </c>
      <c r="R1937">
        <v>4</v>
      </c>
      <c r="S1937">
        <v>0</v>
      </c>
      <c r="T1937" t="s">
        <v>47</v>
      </c>
      <c r="U1937" t="s">
        <v>42</v>
      </c>
      <c r="V1937">
        <v>37708</v>
      </c>
      <c r="W1937">
        <v>3.8</v>
      </c>
      <c r="X1937">
        <v>4</v>
      </c>
      <c r="Y1937" t="s">
        <v>34</v>
      </c>
      <c r="Z1937">
        <v>3.43</v>
      </c>
      <c r="AA1937" t="s">
        <v>35</v>
      </c>
    </row>
    <row r="1938" spans="1:27" x14ac:dyDescent="0.3">
      <c r="A1938" t="s">
        <v>71</v>
      </c>
      <c r="B1938" t="s">
        <v>90</v>
      </c>
      <c r="C1938">
        <v>2025</v>
      </c>
      <c r="D1938" t="s">
        <v>38</v>
      </c>
      <c r="E1938">
        <v>109495.59</v>
      </c>
      <c r="F1938">
        <v>62.3</v>
      </c>
      <c r="G1938">
        <v>209</v>
      </c>
      <c r="H1938">
        <v>109.9</v>
      </c>
      <c r="I1938">
        <v>6.81</v>
      </c>
      <c r="J1938">
        <v>147</v>
      </c>
      <c r="K1938">
        <v>1000</v>
      </c>
      <c r="L1938">
        <v>906</v>
      </c>
      <c r="M1938" t="s">
        <v>54</v>
      </c>
      <c r="N1938">
        <v>7</v>
      </c>
      <c r="O1938" t="s">
        <v>56</v>
      </c>
      <c r="P1938">
        <v>29.5</v>
      </c>
      <c r="Q1938">
        <v>1641</v>
      </c>
      <c r="R1938">
        <v>4</v>
      </c>
      <c r="S1938">
        <v>0</v>
      </c>
      <c r="T1938" t="s">
        <v>73</v>
      </c>
      <c r="U1938" t="s">
        <v>33</v>
      </c>
      <c r="V1938">
        <v>180168</v>
      </c>
      <c r="W1938">
        <v>3.5</v>
      </c>
      <c r="X1938">
        <v>4</v>
      </c>
      <c r="Y1938" t="s">
        <v>43</v>
      </c>
      <c r="Z1938">
        <v>3.35</v>
      </c>
      <c r="AA1938" t="s">
        <v>35</v>
      </c>
    </row>
    <row r="1939" spans="1:27" x14ac:dyDescent="0.3">
      <c r="A1939" t="s">
        <v>58</v>
      </c>
      <c r="B1939" t="s">
        <v>134</v>
      </c>
      <c r="C1939">
        <v>2023</v>
      </c>
      <c r="D1939" t="s">
        <v>68</v>
      </c>
      <c r="E1939">
        <v>112177.54</v>
      </c>
      <c r="F1939">
        <v>67.5</v>
      </c>
      <c r="G1939">
        <v>236</v>
      </c>
      <c r="H1939">
        <v>115.6</v>
      </c>
      <c r="I1939">
        <v>7.88</v>
      </c>
      <c r="J1939">
        <v>128</v>
      </c>
      <c r="K1939">
        <v>598</v>
      </c>
      <c r="L1939">
        <v>509</v>
      </c>
      <c r="M1939" t="s">
        <v>54</v>
      </c>
      <c r="N1939">
        <v>7</v>
      </c>
      <c r="O1939" t="s">
        <v>46</v>
      </c>
      <c r="P1939">
        <v>76.5</v>
      </c>
      <c r="Q1939">
        <v>1500</v>
      </c>
      <c r="R1939">
        <v>4</v>
      </c>
      <c r="S1939">
        <v>1</v>
      </c>
      <c r="T1939" t="s">
        <v>32</v>
      </c>
      <c r="U1939" t="s">
        <v>33</v>
      </c>
      <c r="V1939">
        <v>38676</v>
      </c>
      <c r="W1939">
        <v>3.8</v>
      </c>
      <c r="X1939">
        <v>6</v>
      </c>
      <c r="Y1939" t="s">
        <v>61</v>
      </c>
      <c r="Z1939">
        <v>3.5</v>
      </c>
      <c r="AA1939" t="s">
        <v>35</v>
      </c>
    </row>
    <row r="1940" spans="1:27" x14ac:dyDescent="0.3">
      <c r="A1940" t="s">
        <v>76</v>
      </c>
      <c r="B1940" t="s">
        <v>87</v>
      </c>
      <c r="C1940">
        <v>2022</v>
      </c>
      <c r="D1940" t="s">
        <v>38</v>
      </c>
      <c r="E1940">
        <v>45588.01</v>
      </c>
      <c r="F1940">
        <v>53.8</v>
      </c>
      <c r="G1940">
        <v>175</v>
      </c>
      <c r="H1940">
        <v>86.1</v>
      </c>
      <c r="I1940">
        <v>5.73</v>
      </c>
      <c r="J1940">
        <v>159</v>
      </c>
      <c r="K1940">
        <v>446</v>
      </c>
      <c r="L1940">
        <v>421</v>
      </c>
      <c r="M1940" t="s">
        <v>30</v>
      </c>
      <c r="N1940">
        <v>5</v>
      </c>
      <c r="O1940" t="s">
        <v>31</v>
      </c>
      <c r="P1940">
        <v>75.2</v>
      </c>
      <c r="Q1940">
        <v>2462</v>
      </c>
      <c r="R1940">
        <v>4</v>
      </c>
      <c r="S1940">
        <v>1</v>
      </c>
      <c r="T1940" t="s">
        <v>51</v>
      </c>
      <c r="U1940" t="s">
        <v>42</v>
      </c>
      <c r="V1940">
        <v>103603</v>
      </c>
      <c r="W1940">
        <v>3.5</v>
      </c>
      <c r="X1940">
        <v>4</v>
      </c>
      <c r="Y1940" t="s">
        <v>43</v>
      </c>
      <c r="Z1940">
        <v>3.25</v>
      </c>
      <c r="AA1940" t="s">
        <v>35</v>
      </c>
    </row>
    <row r="1941" spans="1:27" x14ac:dyDescent="0.3">
      <c r="A1941" t="s">
        <v>52</v>
      </c>
      <c r="B1941" t="s">
        <v>55</v>
      </c>
      <c r="C1941">
        <v>2022</v>
      </c>
      <c r="D1941" t="s">
        <v>50</v>
      </c>
      <c r="E1941">
        <v>79776.37</v>
      </c>
      <c r="F1941">
        <v>94.5</v>
      </c>
      <c r="G1941">
        <v>332</v>
      </c>
      <c r="H1941">
        <v>311.39999999999998</v>
      </c>
      <c r="I1941">
        <v>5.72</v>
      </c>
      <c r="J1941">
        <v>163</v>
      </c>
      <c r="K1941">
        <v>586</v>
      </c>
      <c r="L1941">
        <v>542</v>
      </c>
      <c r="M1941" t="s">
        <v>39</v>
      </c>
      <c r="N1941">
        <v>5</v>
      </c>
      <c r="O1941" t="s">
        <v>31</v>
      </c>
      <c r="P1941">
        <v>51.9</v>
      </c>
      <c r="Q1941">
        <v>2482</v>
      </c>
      <c r="R1941">
        <v>3</v>
      </c>
      <c r="S1941">
        <v>2</v>
      </c>
      <c r="T1941" t="s">
        <v>47</v>
      </c>
      <c r="U1941" t="s">
        <v>38</v>
      </c>
      <c r="V1941">
        <v>488350</v>
      </c>
      <c r="W1941">
        <v>4</v>
      </c>
      <c r="X1941">
        <v>4</v>
      </c>
      <c r="Y1941" t="s">
        <v>43</v>
      </c>
      <c r="Z1941">
        <v>3.51</v>
      </c>
      <c r="AA1941" t="s">
        <v>35</v>
      </c>
    </row>
    <row r="1942" spans="1:27" x14ac:dyDescent="0.3">
      <c r="A1942" t="s">
        <v>52</v>
      </c>
      <c r="B1942" t="s">
        <v>86</v>
      </c>
      <c r="C1942">
        <v>2024</v>
      </c>
      <c r="D1942" t="s">
        <v>29</v>
      </c>
      <c r="E1942">
        <v>138879.13</v>
      </c>
      <c r="F1942">
        <v>102.3</v>
      </c>
      <c r="G1942">
        <v>358</v>
      </c>
      <c r="H1942">
        <v>284.2</v>
      </c>
      <c r="I1942">
        <v>3.61</v>
      </c>
      <c r="J1942">
        <v>197</v>
      </c>
      <c r="K1942">
        <v>1000</v>
      </c>
      <c r="L1942">
        <v>899</v>
      </c>
      <c r="M1942" t="s">
        <v>30</v>
      </c>
      <c r="N1942">
        <v>5</v>
      </c>
      <c r="O1942" t="s">
        <v>65</v>
      </c>
      <c r="P1942">
        <v>29.3</v>
      </c>
      <c r="Q1942">
        <v>1500</v>
      </c>
      <c r="R1942">
        <v>4</v>
      </c>
      <c r="S1942">
        <v>2</v>
      </c>
      <c r="T1942" t="s">
        <v>47</v>
      </c>
      <c r="U1942" t="s">
        <v>33</v>
      </c>
      <c r="V1942">
        <v>187901</v>
      </c>
      <c r="W1942">
        <v>4.2</v>
      </c>
      <c r="X1942">
        <v>5</v>
      </c>
      <c r="Y1942" t="s">
        <v>34</v>
      </c>
      <c r="Z1942">
        <v>3.5</v>
      </c>
      <c r="AA1942" t="s">
        <v>35</v>
      </c>
    </row>
    <row r="1943" spans="1:27" x14ac:dyDescent="0.3">
      <c r="A1943" t="s">
        <v>71</v>
      </c>
      <c r="B1943" t="s">
        <v>115</v>
      </c>
      <c r="C1943">
        <v>2021</v>
      </c>
      <c r="D1943" t="s">
        <v>38</v>
      </c>
      <c r="E1943">
        <v>78313.97</v>
      </c>
      <c r="F1943">
        <v>76.099999999999994</v>
      </c>
      <c r="G1943">
        <v>270</v>
      </c>
      <c r="H1943">
        <v>72.099999999999994</v>
      </c>
      <c r="I1943">
        <v>7.6</v>
      </c>
      <c r="J1943">
        <v>135</v>
      </c>
      <c r="K1943">
        <v>953</v>
      </c>
      <c r="L1943">
        <v>926</v>
      </c>
      <c r="M1943" t="s">
        <v>30</v>
      </c>
      <c r="N1943">
        <v>5</v>
      </c>
      <c r="O1943" t="s">
        <v>65</v>
      </c>
      <c r="P1943">
        <v>25.7</v>
      </c>
      <c r="Q1943">
        <v>1856</v>
      </c>
      <c r="R1943">
        <v>4</v>
      </c>
      <c r="S1943">
        <v>0</v>
      </c>
      <c r="T1943" t="s">
        <v>73</v>
      </c>
      <c r="U1943" t="s">
        <v>38</v>
      </c>
      <c r="V1943">
        <v>235914</v>
      </c>
      <c r="W1943">
        <v>3.5</v>
      </c>
      <c r="X1943">
        <v>4</v>
      </c>
      <c r="Y1943" t="s">
        <v>61</v>
      </c>
      <c r="Z1943">
        <v>3.55</v>
      </c>
      <c r="AA1943" t="s">
        <v>35</v>
      </c>
    </row>
    <row r="1944" spans="1:27" x14ac:dyDescent="0.3">
      <c r="A1944" t="s">
        <v>84</v>
      </c>
      <c r="B1944" t="s">
        <v>89</v>
      </c>
      <c r="C1944">
        <v>2024</v>
      </c>
      <c r="D1944" t="s">
        <v>68</v>
      </c>
      <c r="E1944">
        <v>81564.12</v>
      </c>
      <c r="F1944">
        <v>82.3</v>
      </c>
      <c r="G1944">
        <v>294</v>
      </c>
      <c r="H1944">
        <v>77.8</v>
      </c>
      <c r="I1944">
        <v>6.96</v>
      </c>
      <c r="J1944">
        <v>151</v>
      </c>
      <c r="K1944">
        <v>942</v>
      </c>
      <c r="L1944">
        <v>877</v>
      </c>
      <c r="M1944" t="s">
        <v>30</v>
      </c>
      <c r="N1944">
        <v>5</v>
      </c>
      <c r="O1944" t="s">
        <v>46</v>
      </c>
      <c r="P1944">
        <v>70</v>
      </c>
      <c r="Q1944">
        <v>1521</v>
      </c>
      <c r="R1944">
        <v>5</v>
      </c>
      <c r="S1944">
        <v>0</v>
      </c>
      <c r="T1944" t="s">
        <v>47</v>
      </c>
      <c r="U1944" t="s">
        <v>38</v>
      </c>
      <c r="V1944">
        <v>70445</v>
      </c>
      <c r="W1944">
        <v>3.5</v>
      </c>
      <c r="X1944">
        <v>3</v>
      </c>
      <c r="Y1944" t="s">
        <v>43</v>
      </c>
      <c r="Z1944">
        <v>3.57</v>
      </c>
      <c r="AA1944" t="s">
        <v>35</v>
      </c>
    </row>
    <row r="1945" spans="1:27" x14ac:dyDescent="0.3">
      <c r="A1945" t="s">
        <v>44</v>
      </c>
      <c r="B1945" t="s">
        <v>126</v>
      </c>
      <c r="C1945">
        <v>2025</v>
      </c>
      <c r="D1945" t="s">
        <v>63</v>
      </c>
      <c r="E1945">
        <v>62818</v>
      </c>
      <c r="F1945">
        <v>73.599999999999994</v>
      </c>
      <c r="G1945">
        <v>282</v>
      </c>
      <c r="H1945">
        <v>143.30000000000001</v>
      </c>
      <c r="I1945">
        <v>6.75</v>
      </c>
      <c r="J1945">
        <v>140</v>
      </c>
      <c r="K1945">
        <v>828</v>
      </c>
      <c r="L1945">
        <v>701</v>
      </c>
      <c r="M1945" t="s">
        <v>54</v>
      </c>
      <c r="N1945">
        <v>7</v>
      </c>
      <c r="O1945" t="s">
        <v>56</v>
      </c>
      <c r="P1945">
        <v>22.9</v>
      </c>
      <c r="Q1945">
        <v>1500</v>
      </c>
      <c r="R1945">
        <v>5</v>
      </c>
      <c r="S1945">
        <v>0</v>
      </c>
      <c r="T1945" t="s">
        <v>47</v>
      </c>
      <c r="U1945" t="s">
        <v>42</v>
      </c>
      <c r="V1945">
        <v>4921</v>
      </c>
      <c r="W1945">
        <v>3.7</v>
      </c>
      <c r="X1945">
        <v>4</v>
      </c>
      <c r="Y1945" t="s">
        <v>43</v>
      </c>
      <c r="Z1945">
        <v>3.83</v>
      </c>
      <c r="AA1945" t="s">
        <v>69</v>
      </c>
    </row>
    <row r="1946" spans="1:27" x14ac:dyDescent="0.3">
      <c r="A1946" t="s">
        <v>84</v>
      </c>
      <c r="B1946" t="s">
        <v>106</v>
      </c>
      <c r="C1946">
        <v>2026</v>
      </c>
      <c r="D1946" t="s">
        <v>38</v>
      </c>
      <c r="E1946">
        <v>99667.98</v>
      </c>
      <c r="F1946">
        <v>62.4</v>
      </c>
      <c r="G1946">
        <v>220</v>
      </c>
      <c r="H1946">
        <v>125.5</v>
      </c>
      <c r="I1946">
        <v>5.05</v>
      </c>
      <c r="J1946">
        <v>163</v>
      </c>
      <c r="K1946">
        <v>1000</v>
      </c>
      <c r="L1946">
        <v>983</v>
      </c>
      <c r="M1946" t="s">
        <v>54</v>
      </c>
      <c r="N1946">
        <v>5</v>
      </c>
      <c r="O1946" t="s">
        <v>65</v>
      </c>
      <c r="P1946">
        <v>24.7</v>
      </c>
      <c r="Q1946">
        <v>1528</v>
      </c>
      <c r="R1946">
        <v>5</v>
      </c>
      <c r="S1946">
        <v>0</v>
      </c>
      <c r="T1946" t="s">
        <v>47</v>
      </c>
      <c r="U1946" t="s">
        <v>38</v>
      </c>
      <c r="V1946">
        <v>21835</v>
      </c>
      <c r="W1946">
        <v>3.4</v>
      </c>
      <c r="X1946">
        <v>3</v>
      </c>
      <c r="Y1946" t="s">
        <v>43</v>
      </c>
      <c r="Z1946">
        <v>3.53</v>
      </c>
      <c r="AA1946" t="s">
        <v>35</v>
      </c>
    </row>
    <row r="1947" spans="1:27" x14ac:dyDescent="0.3">
      <c r="A1947" t="s">
        <v>76</v>
      </c>
      <c r="B1947" t="s">
        <v>117</v>
      </c>
      <c r="C1947">
        <v>2023</v>
      </c>
      <c r="D1947" t="s">
        <v>68</v>
      </c>
      <c r="E1947">
        <v>33062.26</v>
      </c>
      <c r="F1947">
        <v>78.5</v>
      </c>
      <c r="G1947">
        <v>266</v>
      </c>
      <c r="H1947">
        <v>67.8</v>
      </c>
      <c r="I1947">
        <v>7.78</v>
      </c>
      <c r="J1947">
        <v>128</v>
      </c>
      <c r="K1947">
        <v>260</v>
      </c>
      <c r="L1947">
        <v>262</v>
      </c>
      <c r="M1947" t="s">
        <v>30</v>
      </c>
      <c r="N1947">
        <v>5</v>
      </c>
      <c r="O1947" t="s">
        <v>46</v>
      </c>
      <c r="P1947">
        <v>72.599999999999994</v>
      </c>
      <c r="Q1947">
        <v>1627</v>
      </c>
      <c r="R1947">
        <v>5</v>
      </c>
      <c r="S1947">
        <v>0</v>
      </c>
      <c r="T1947" t="s">
        <v>51</v>
      </c>
      <c r="U1947" t="s">
        <v>74</v>
      </c>
      <c r="V1947">
        <v>88310</v>
      </c>
      <c r="W1947">
        <v>3.4</v>
      </c>
      <c r="X1947">
        <v>4</v>
      </c>
      <c r="Y1947" t="s">
        <v>61</v>
      </c>
      <c r="Z1947">
        <v>3.39</v>
      </c>
      <c r="AA1947" t="s">
        <v>35</v>
      </c>
    </row>
    <row r="1948" spans="1:27" x14ac:dyDescent="0.3">
      <c r="A1948" t="s">
        <v>27</v>
      </c>
      <c r="B1948" t="s">
        <v>93</v>
      </c>
      <c r="C1948">
        <v>2025</v>
      </c>
      <c r="D1948" t="s">
        <v>29</v>
      </c>
      <c r="E1948">
        <v>46781.599999999999</v>
      </c>
      <c r="F1948">
        <v>118.1</v>
      </c>
      <c r="G1948">
        <v>405</v>
      </c>
      <c r="H1948">
        <v>195.5</v>
      </c>
      <c r="I1948">
        <v>2.63</v>
      </c>
      <c r="J1948">
        <v>200</v>
      </c>
      <c r="K1948">
        <v>384</v>
      </c>
      <c r="L1948">
        <v>393</v>
      </c>
      <c r="M1948" t="s">
        <v>54</v>
      </c>
      <c r="N1948">
        <v>5</v>
      </c>
      <c r="O1948" t="s">
        <v>31</v>
      </c>
      <c r="P1948">
        <v>54.2</v>
      </c>
      <c r="Q1948">
        <v>2545</v>
      </c>
      <c r="R1948">
        <v>5</v>
      </c>
      <c r="S1948">
        <v>2</v>
      </c>
      <c r="T1948" t="s">
        <v>32</v>
      </c>
      <c r="U1948" t="s">
        <v>42</v>
      </c>
      <c r="V1948">
        <v>268903</v>
      </c>
      <c r="W1948">
        <v>3.9</v>
      </c>
      <c r="X1948">
        <v>5</v>
      </c>
      <c r="Y1948" t="s">
        <v>34</v>
      </c>
      <c r="Z1948">
        <v>3.43</v>
      </c>
      <c r="AA1948" t="s">
        <v>35</v>
      </c>
    </row>
    <row r="1949" spans="1:27" x14ac:dyDescent="0.3">
      <c r="A1949" t="s">
        <v>52</v>
      </c>
      <c r="B1949" t="s">
        <v>64</v>
      </c>
      <c r="C1949">
        <v>2022</v>
      </c>
      <c r="D1949" t="s">
        <v>68</v>
      </c>
      <c r="E1949">
        <v>127540.88</v>
      </c>
      <c r="F1949">
        <v>49.1</v>
      </c>
      <c r="G1949">
        <v>186</v>
      </c>
      <c r="H1949">
        <v>349.5</v>
      </c>
      <c r="I1949">
        <v>5.72</v>
      </c>
      <c r="J1949">
        <v>163</v>
      </c>
      <c r="K1949">
        <v>905</v>
      </c>
      <c r="L1949">
        <v>847</v>
      </c>
      <c r="M1949" t="s">
        <v>54</v>
      </c>
      <c r="N1949">
        <v>5</v>
      </c>
      <c r="O1949" t="s">
        <v>57</v>
      </c>
      <c r="P1949">
        <v>33.299999999999997</v>
      </c>
      <c r="Q1949">
        <v>1500</v>
      </c>
      <c r="R1949">
        <v>3</v>
      </c>
      <c r="S1949">
        <v>2</v>
      </c>
      <c r="T1949" t="s">
        <v>47</v>
      </c>
      <c r="U1949" t="s">
        <v>33</v>
      </c>
      <c r="V1949">
        <v>136670</v>
      </c>
      <c r="W1949">
        <v>3.5</v>
      </c>
      <c r="X1949">
        <v>5</v>
      </c>
      <c r="Y1949" t="s">
        <v>43</v>
      </c>
      <c r="Z1949">
        <v>3.79</v>
      </c>
      <c r="AA1949" t="s">
        <v>35</v>
      </c>
    </row>
    <row r="1950" spans="1:27" x14ac:dyDescent="0.3">
      <c r="A1950" t="s">
        <v>71</v>
      </c>
      <c r="B1950" t="s">
        <v>72</v>
      </c>
      <c r="C1950">
        <v>2024</v>
      </c>
      <c r="D1950" t="s">
        <v>68</v>
      </c>
      <c r="E1950">
        <v>53792.67</v>
      </c>
      <c r="F1950">
        <v>73.2</v>
      </c>
      <c r="G1950">
        <v>287</v>
      </c>
      <c r="H1950">
        <v>103.2</v>
      </c>
      <c r="I1950">
        <v>7.36</v>
      </c>
      <c r="J1950">
        <v>136</v>
      </c>
      <c r="K1950">
        <v>515</v>
      </c>
      <c r="L1950">
        <v>469</v>
      </c>
      <c r="M1950" t="s">
        <v>54</v>
      </c>
      <c r="N1950">
        <v>5</v>
      </c>
      <c r="O1950" t="s">
        <v>40</v>
      </c>
      <c r="P1950">
        <v>58.7</v>
      </c>
      <c r="Q1950">
        <v>1740</v>
      </c>
      <c r="R1950">
        <v>4</v>
      </c>
      <c r="S1950">
        <v>0</v>
      </c>
      <c r="T1950" t="s">
        <v>73</v>
      </c>
      <c r="U1950" t="s">
        <v>42</v>
      </c>
      <c r="V1950">
        <v>246202</v>
      </c>
      <c r="W1950">
        <v>3.6</v>
      </c>
      <c r="X1950">
        <v>5</v>
      </c>
      <c r="Y1950" t="s">
        <v>61</v>
      </c>
      <c r="Z1950">
        <v>3.92</v>
      </c>
      <c r="AA1950" t="s">
        <v>35</v>
      </c>
    </row>
    <row r="1951" spans="1:27" x14ac:dyDescent="0.3">
      <c r="A1951" t="s">
        <v>27</v>
      </c>
      <c r="B1951" t="s">
        <v>28</v>
      </c>
      <c r="C1951">
        <v>2023</v>
      </c>
      <c r="D1951" t="s">
        <v>29</v>
      </c>
      <c r="E1951">
        <v>110994.9</v>
      </c>
      <c r="F1951">
        <v>76.8</v>
      </c>
      <c r="G1951">
        <v>250</v>
      </c>
      <c r="H1951">
        <v>178.2</v>
      </c>
      <c r="I1951">
        <v>3.16</v>
      </c>
      <c r="J1951">
        <v>198</v>
      </c>
      <c r="K1951">
        <v>1000</v>
      </c>
      <c r="L1951">
        <v>854</v>
      </c>
      <c r="M1951" t="s">
        <v>54</v>
      </c>
      <c r="N1951">
        <v>5</v>
      </c>
      <c r="O1951" t="s">
        <v>40</v>
      </c>
      <c r="P1951">
        <v>64.599999999999994</v>
      </c>
      <c r="Q1951">
        <v>2041</v>
      </c>
      <c r="R1951">
        <v>5</v>
      </c>
      <c r="S1951">
        <v>2</v>
      </c>
      <c r="T1951" t="s">
        <v>32</v>
      </c>
      <c r="U1951" t="s">
        <v>33</v>
      </c>
      <c r="V1951">
        <v>225518</v>
      </c>
      <c r="W1951">
        <v>3.2</v>
      </c>
      <c r="X1951">
        <v>4</v>
      </c>
      <c r="Y1951" t="s">
        <v>34</v>
      </c>
      <c r="Z1951">
        <v>3.26</v>
      </c>
      <c r="AA1951" t="s">
        <v>35</v>
      </c>
    </row>
    <row r="1952" spans="1:27" x14ac:dyDescent="0.3">
      <c r="A1952" t="s">
        <v>52</v>
      </c>
      <c r="B1952" t="s">
        <v>86</v>
      </c>
      <c r="C1952">
        <v>2022</v>
      </c>
      <c r="D1952" t="s">
        <v>50</v>
      </c>
      <c r="E1952">
        <v>85291.7</v>
      </c>
      <c r="F1952">
        <v>102.2</v>
      </c>
      <c r="G1952">
        <v>332</v>
      </c>
      <c r="H1952">
        <v>213.5</v>
      </c>
      <c r="I1952">
        <v>4.09</v>
      </c>
      <c r="J1952">
        <v>184</v>
      </c>
      <c r="K1952">
        <v>551</v>
      </c>
      <c r="L1952">
        <v>472</v>
      </c>
      <c r="M1952" t="s">
        <v>39</v>
      </c>
      <c r="N1952">
        <v>7</v>
      </c>
      <c r="O1952" t="s">
        <v>46</v>
      </c>
      <c r="P1952">
        <v>72.400000000000006</v>
      </c>
      <c r="Q1952">
        <v>1585</v>
      </c>
      <c r="R1952">
        <v>5</v>
      </c>
      <c r="S1952">
        <v>3</v>
      </c>
      <c r="T1952" t="s">
        <v>47</v>
      </c>
      <c r="U1952" t="s">
        <v>38</v>
      </c>
      <c r="V1952">
        <v>146415</v>
      </c>
      <c r="W1952">
        <v>4</v>
      </c>
      <c r="X1952">
        <v>4</v>
      </c>
      <c r="Y1952" t="s">
        <v>43</v>
      </c>
      <c r="Z1952">
        <v>3.25</v>
      </c>
      <c r="AA1952" t="s">
        <v>35</v>
      </c>
    </row>
    <row r="1953" spans="1:27" x14ac:dyDescent="0.3">
      <c r="A1953" t="s">
        <v>71</v>
      </c>
      <c r="B1953" t="s">
        <v>72</v>
      </c>
      <c r="C1953">
        <v>2024</v>
      </c>
      <c r="D1953" t="s">
        <v>68</v>
      </c>
      <c r="E1953">
        <v>83643.929999999993</v>
      </c>
      <c r="F1953">
        <v>76.5</v>
      </c>
      <c r="G1953">
        <v>285</v>
      </c>
      <c r="H1953">
        <v>54.8</v>
      </c>
      <c r="I1953">
        <v>6.71</v>
      </c>
      <c r="J1953">
        <v>154</v>
      </c>
      <c r="K1953">
        <v>928</v>
      </c>
      <c r="L1953">
        <v>833</v>
      </c>
      <c r="M1953" t="s">
        <v>39</v>
      </c>
      <c r="N1953">
        <v>5</v>
      </c>
      <c r="O1953" t="s">
        <v>46</v>
      </c>
      <c r="P1953">
        <v>62.2</v>
      </c>
      <c r="Q1953">
        <v>1686</v>
      </c>
      <c r="R1953">
        <v>5</v>
      </c>
      <c r="S1953">
        <v>0</v>
      </c>
      <c r="T1953" t="s">
        <v>73</v>
      </c>
      <c r="U1953" t="s">
        <v>38</v>
      </c>
      <c r="V1953">
        <v>218991</v>
      </c>
      <c r="W1953">
        <v>3.8</v>
      </c>
      <c r="X1953">
        <v>4</v>
      </c>
      <c r="Y1953" t="s">
        <v>43</v>
      </c>
      <c r="Z1953">
        <v>3.73</v>
      </c>
      <c r="AA1953" t="s">
        <v>35</v>
      </c>
    </row>
    <row r="1954" spans="1:27" x14ac:dyDescent="0.3">
      <c r="A1954" t="s">
        <v>48</v>
      </c>
      <c r="B1954" t="s">
        <v>123</v>
      </c>
      <c r="C1954">
        <v>2025</v>
      </c>
      <c r="D1954" t="s">
        <v>29</v>
      </c>
      <c r="E1954">
        <v>117355.84</v>
      </c>
      <c r="F1954">
        <v>92.1</v>
      </c>
      <c r="G1954">
        <v>333</v>
      </c>
      <c r="H1954">
        <v>226.6</v>
      </c>
      <c r="I1954">
        <v>4.5</v>
      </c>
      <c r="J1954">
        <v>191</v>
      </c>
      <c r="K1954">
        <v>1000</v>
      </c>
      <c r="L1954">
        <v>877</v>
      </c>
      <c r="M1954" t="s">
        <v>30</v>
      </c>
      <c r="N1954">
        <v>5</v>
      </c>
      <c r="O1954" t="s">
        <v>57</v>
      </c>
      <c r="P1954">
        <v>17.899999999999999</v>
      </c>
      <c r="Q1954">
        <v>1599</v>
      </c>
      <c r="R1954">
        <v>4</v>
      </c>
      <c r="S1954">
        <v>2</v>
      </c>
      <c r="T1954" t="s">
        <v>51</v>
      </c>
      <c r="U1954" t="s">
        <v>33</v>
      </c>
      <c r="V1954">
        <v>136386</v>
      </c>
      <c r="W1954">
        <v>3.7</v>
      </c>
      <c r="X1954">
        <v>4</v>
      </c>
      <c r="Y1954" t="s">
        <v>43</v>
      </c>
      <c r="Z1954">
        <v>3.62</v>
      </c>
      <c r="AA1954" t="s">
        <v>35</v>
      </c>
    </row>
    <row r="1955" spans="1:27" x14ac:dyDescent="0.3">
      <c r="A1955" t="s">
        <v>44</v>
      </c>
      <c r="B1955" t="s">
        <v>126</v>
      </c>
      <c r="C1955">
        <v>2023</v>
      </c>
      <c r="D1955" t="s">
        <v>29</v>
      </c>
      <c r="E1955">
        <v>95648.05</v>
      </c>
      <c r="F1955">
        <v>112.2</v>
      </c>
      <c r="G1955">
        <v>409</v>
      </c>
      <c r="H1955">
        <v>226.3</v>
      </c>
      <c r="I1955">
        <v>2.96</v>
      </c>
      <c r="J1955">
        <v>200</v>
      </c>
      <c r="K1955">
        <v>1000</v>
      </c>
      <c r="L1955">
        <v>920</v>
      </c>
      <c r="M1955" t="s">
        <v>54</v>
      </c>
      <c r="N1955">
        <v>5</v>
      </c>
      <c r="O1955" t="s">
        <v>31</v>
      </c>
      <c r="P1955">
        <v>61.7</v>
      </c>
      <c r="Q1955">
        <v>2567</v>
      </c>
      <c r="R1955">
        <v>4</v>
      </c>
      <c r="S1955">
        <v>0</v>
      </c>
      <c r="T1955" t="s">
        <v>47</v>
      </c>
      <c r="U1955" t="s">
        <v>38</v>
      </c>
      <c r="V1955">
        <v>20948</v>
      </c>
      <c r="W1955">
        <v>3.7</v>
      </c>
      <c r="X1955">
        <v>5</v>
      </c>
      <c r="Y1955" t="s">
        <v>34</v>
      </c>
      <c r="Z1955">
        <v>3.65</v>
      </c>
      <c r="AA1955" t="s">
        <v>35</v>
      </c>
    </row>
    <row r="1956" spans="1:27" x14ac:dyDescent="0.3">
      <c r="A1956" t="s">
        <v>139</v>
      </c>
      <c r="B1956" t="s">
        <v>140</v>
      </c>
      <c r="C1956">
        <v>2025</v>
      </c>
      <c r="D1956" t="s">
        <v>63</v>
      </c>
      <c r="E1956">
        <v>55836.28</v>
      </c>
      <c r="F1956">
        <v>53.9</v>
      </c>
      <c r="G1956">
        <v>182</v>
      </c>
      <c r="H1956">
        <v>113.5</v>
      </c>
      <c r="I1956">
        <v>7.22</v>
      </c>
      <c r="J1956">
        <v>137</v>
      </c>
      <c r="K1956">
        <v>481</v>
      </c>
      <c r="L1956">
        <v>404</v>
      </c>
      <c r="M1956" t="s">
        <v>30</v>
      </c>
      <c r="N1956">
        <v>5</v>
      </c>
      <c r="O1956" t="s">
        <v>40</v>
      </c>
      <c r="P1956">
        <v>64.3</v>
      </c>
      <c r="Q1956">
        <v>2092</v>
      </c>
      <c r="R1956">
        <v>4</v>
      </c>
      <c r="S1956">
        <v>1</v>
      </c>
      <c r="T1956" t="s">
        <v>73</v>
      </c>
      <c r="U1956" t="s">
        <v>42</v>
      </c>
      <c r="V1956">
        <v>22178</v>
      </c>
      <c r="W1956">
        <v>3.6</v>
      </c>
      <c r="X1956">
        <v>5</v>
      </c>
      <c r="Y1956" t="s">
        <v>61</v>
      </c>
      <c r="Z1956">
        <v>3.38</v>
      </c>
      <c r="AA1956" t="s">
        <v>35</v>
      </c>
    </row>
    <row r="1957" spans="1:27" x14ac:dyDescent="0.3">
      <c r="A1957" t="s">
        <v>102</v>
      </c>
      <c r="B1957" t="s">
        <v>128</v>
      </c>
      <c r="C1957">
        <v>2025</v>
      </c>
      <c r="D1957" t="s">
        <v>50</v>
      </c>
      <c r="E1957">
        <v>102186.85</v>
      </c>
      <c r="F1957">
        <v>81</v>
      </c>
      <c r="G1957">
        <v>292</v>
      </c>
      <c r="H1957">
        <v>92.6</v>
      </c>
      <c r="I1957">
        <v>4.5</v>
      </c>
      <c r="J1957">
        <v>180</v>
      </c>
      <c r="K1957">
        <v>1000</v>
      </c>
      <c r="L1957">
        <v>892</v>
      </c>
      <c r="M1957" t="s">
        <v>54</v>
      </c>
      <c r="N1957">
        <v>5</v>
      </c>
      <c r="O1957" t="s">
        <v>56</v>
      </c>
      <c r="P1957">
        <v>30.2</v>
      </c>
      <c r="Q1957">
        <v>1603</v>
      </c>
      <c r="R1957">
        <v>5</v>
      </c>
      <c r="S1957">
        <v>0</v>
      </c>
      <c r="T1957" t="s">
        <v>47</v>
      </c>
      <c r="U1957" t="s">
        <v>33</v>
      </c>
      <c r="V1957">
        <v>2112</v>
      </c>
      <c r="W1957">
        <v>3.4</v>
      </c>
      <c r="X1957">
        <v>4</v>
      </c>
      <c r="Y1957" t="s">
        <v>43</v>
      </c>
      <c r="Z1957">
        <v>3.6</v>
      </c>
      <c r="AA1957" t="s">
        <v>69</v>
      </c>
    </row>
    <row r="1958" spans="1:27" x14ac:dyDescent="0.3">
      <c r="A1958" t="s">
        <v>91</v>
      </c>
      <c r="B1958" t="s">
        <v>124</v>
      </c>
      <c r="C1958">
        <v>2025</v>
      </c>
      <c r="D1958" t="s">
        <v>50</v>
      </c>
      <c r="E1958">
        <v>101731.56</v>
      </c>
      <c r="F1958">
        <v>98.6</v>
      </c>
      <c r="G1958">
        <v>360</v>
      </c>
      <c r="H1958">
        <v>120.9</v>
      </c>
      <c r="I1958">
        <v>5.12</v>
      </c>
      <c r="J1958">
        <v>183</v>
      </c>
      <c r="K1958">
        <v>853</v>
      </c>
      <c r="L1958">
        <v>812</v>
      </c>
      <c r="M1958" t="s">
        <v>39</v>
      </c>
      <c r="N1958">
        <v>5</v>
      </c>
      <c r="O1958" t="s">
        <v>31</v>
      </c>
      <c r="P1958">
        <v>55.2</v>
      </c>
      <c r="Q1958">
        <v>2234</v>
      </c>
      <c r="R1958">
        <v>4</v>
      </c>
      <c r="S1958">
        <v>1</v>
      </c>
      <c r="T1958" t="s">
        <v>32</v>
      </c>
      <c r="U1958" t="s">
        <v>33</v>
      </c>
      <c r="V1958">
        <v>41594</v>
      </c>
      <c r="W1958">
        <v>3.7</v>
      </c>
      <c r="X1958">
        <v>7</v>
      </c>
      <c r="Y1958" t="s">
        <v>43</v>
      </c>
      <c r="Z1958">
        <v>3.65</v>
      </c>
      <c r="AA1958" t="s">
        <v>35</v>
      </c>
    </row>
    <row r="1959" spans="1:27" x14ac:dyDescent="0.3">
      <c r="A1959" t="s">
        <v>27</v>
      </c>
      <c r="B1959" t="s">
        <v>83</v>
      </c>
      <c r="C1959">
        <v>2023</v>
      </c>
      <c r="D1959" t="s">
        <v>63</v>
      </c>
      <c r="E1959">
        <v>44658.67</v>
      </c>
      <c r="F1959">
        <v>73.2</v>
      </c>
      <c r="G1959">
        <v>219</v>
      </c>
      <c r="H1959">
        <v>131.4</v>
      </c>
      <c r="I1959">
        <v>7.67</v>
      </c>
      <c r="J1959">
        <v>140</v>
      </c>
      <c r="K1959">
        <v>326</v>
      </c>
      <c r="L1959">
        <v>304</v>
      </c>
      <c r="M1959" t="s">
        <v>39</v>
      </c>
      <c r="N1959">
        <v>5</v>
      </c>
      <c r="O1959" t="s">
        <v>65</v>
      </c>
      <c r="P1959">
        <v>27.4</v>
      </c>
      <c r="Q1959">
        <v>1726</v>
      </c>
      <c r="R1959">
        <v>5</v>
      </c>
      <c r="S1959">
        <v>1</v>
      </c>
      <c r="T1959" t="s">
        <v>32</v>
      </c>
      <c r="U1959" t="s">
        <v>42</v>
      </c>
      <c r="V1959">
        <v>256210</v>
      </c>
      <c r="W1959">
        <v>3.4</v>
      </c>
      <c r="X1959">
        <v>5</v>
      </c>
      <c r="Y1959" t="s">
        <v>61</v>
      </c>
      <c r="Z1959">
        <v>2.99</v>
      </c>
      <c r="AA1959" t="s">
        <v>35</v>
      </c>
    </row>
    <row r="1960" spans="1:27" x14ac:dyDescent="0.3">
      <c r="A1960" t="s">
        <v>91</v>
      </c>
      <c r="B1960" t="s">
        <v>97</v>
      </c>
      <c r="C1960">
        <v>2024</v>
      </c>
      <c r="D1960" t="s">
        <v>38</v>
      </c>
      <c r="E1960">
        <v>104797.89</v>
      </c>
      <c r="F1960">
        <v>46.5</v>
      </c>
      <c r="G1960">
        <v>162</v>
      </c>
      <c r="H1960">
        <v>73.900000000000006</v>
      </c>
      <c r="I1960">
        <v>5.75</v>
      </c>
      <c r="J1960">
        <v>160</v>
      </c>
      <c r="K1960">
        <v>916</v>
      </c>
      <c r="L1960">
        <v>795</v>
      </c>
      <c r="M1960" t="s">
        <v>30</v>
      </c>
      <c r="N1960">
        <v>7</v>
      </c>
      <c r="O1960" t="s">
        <v>56</v>
      </c>
      <c r="P1960">
        <v>17.2</v>
      </c>
      <c r="Q1960">
        <v>1658</v>
      </c>
      <c r="R1960">
        <v>5</v>
      </c>
      <c r="S1960">
        <v>2</v>
      </c>
      <c r="T1960" t="s">
        <v>32</v>
      </c>
      <c r="U1960" t="s">
        <v>33</v>
      </c>
      <c r="V1960">
        <v>26942</v>
      </c>
      <c r="W1960">
        <v>3.2</v>
      </c>
      <c r="X1960">
        <v>7</v>
      </c>
      <c r="Y1960" t="s">
        <v>43</v>
      </c>
      <c r="Z1960">
        <v>3.48</v>
      </c>
      <c r="AA1960" t="s">
        <v>35</v>
      </c>
    </row>
    <row r="1961" spans="1:27" x14ac:dyDescent="0.3">
      <c r="A1961" t="s">
        <v>84</v>
      </c>
      <c r="B1961" t="s">
        <v>99</v>
      </c>
      <c r="C1961">
        <v>2025</v>
      </c>
      <c r="D1961" t="s">
        <v>38</v>
      </c>
      <c r="E1961">
        <v>53246.45</v>
      </c>
      <c r="F1961">
        <v>42.9</v>
      </c>
      <c r="G1961">
        <v>171</v>
      </c>
      <c r="H1961">
        <v>69.900000000000006</v>
      </c>
      <c r="I1961">
        <v>8</v>
      </c>
      <c r="J1961">
        <v>137</v>
      </c>
      <c r="K1961">
        <v>543</v>
      </c>
      <c r="L1961">
        <v>481</v>
      </c>
      <c r="M1961" t="s">
        <v>54</v>
      </c>
      <c r="N1961">
        <v>2</v>
      </c>
      <c r="O1961" t="s">
        <v>31</v>
      </c>
      <c r="P1961">
        <v>66.599999999999994</v>
      </c>
      <c r="Q1961">
        <v>2253</v>
      </c>
      <c r="R1961">
        <v>4</v>
      </c>
      <c r="S1961">
        <v>2</v>
      </c>
      <c r="T1961" t="s">
        <v>47</v>
      </c>
      <c r="U1961" t="s">
        <v>42</v>
      </c>
      <c r="V1961">
        <v>30016</v>
      </c>
      <c r="W1961">
        <v>3.3</v>
      </c>
      <c r="X1961">
        <v>3</v>
      </c>
      <c r="Y1961" t="s">
        <v>61</v>
      </c>
      <c r="Z1961">
        <v>3.99</v>
      </c>
      <c r="AA1961" t="s">
        <v>35</v>
      </c>
    </row>
    <row r="1962" spans="1:27" x14ac:dyDescent="0.3">
      <c r="A1962" t="s">
        <v>52</v>
      </c>
      <c r="B1962" t="s">
        <v>64</v>
      </c>
      <c r="C1962">
        <v>2025</v>
      </c>
      <c r="D1962" t="s">
        <v>38</v>
      </c>
      <c r="E1962">
        <v>176582.51</v>
      </c>
      <c r="F1962">
        <v>50.4</v>
      </c>
      <c r="G1962">
        <v>188</v>
      </c>
      <c r="H1962">
        <v>237.2</v>
      </c>
      <c r="I1962">
        <v>6.19</v>
      </c>
      <c r="J1962">
        <v>153</v>
      </c>
      <c r="K1962">
        <v>1000</v>
      </c>
      <c r="L1962">
        <v>901</v>
      </c>
      <c r="M1962" t="s">
        <v>54</v>
      </c>
      <c r="N1962">
        <v>5</v>
      </c>
      <c r="O1962" t="s">
        <v>40</v>
      </c>
      <c r="P1962">
        <v>49.2</v>
      </c>
      <c r="Q1962">
        <v>1951</v>
      </c>
      <c r="R1962">
        <v>4</v>
      </c>
      <c r="S1962">
        <v>2</v>
      </c>
      <c r="T1962" t="s">
        <v>47</v>
      </c>
      <c r="U1962" t="s">
        <v>33</v>
      </c>
      <c r="V1962">
        <v>199834</v>
      </c>
      <c r="W1962">
        <v>3.7</v>
      </c>
      <c r="X1962">
        <v>4</v>
      </c>
      <c r="Y1962" t="s">
        <v>43</v>
      </c>
      <c r="Z1962">
        <v>3.73</v>
      </c>
      <c r="AA1962" t="s">
        <v>35</v>
      </c>
    </row>
    <row r="1963" spans="1:27" x14ac:dyDescent="0.3">
      <c r="A1963" t="s">
        <v>27</v>
      </c>
      <c r="B1963" t="s">
        <v>78</v>
      </c>
      <c r="C1963">
        <v>2023</v>
      </c>
      <c r="D1963" t="s">
        <v>50</v>
      </c>
      <c r="E1963">
        <v>78653.83</v>
      </c>
      <c r="F1963">
        <v>94.4</v>
      </c>
      <c r="G1963">
        <v>350</v>
      </c>
      <c r="H1963">
        <v>75.5</v>
      </c>
      <c r="I1963">
        <v>4.49</v>
      </c>
      <c r="J1963">
        <v>189</v>
      </c>
      <c r="K1963">
        <v>818</v>
      </c>
      <c r="L1963">
        <v>716</v>
      </c>
      <c r="M1963" t="s">
        <v>39</v>
      </c>
      <c r="N1963">
        <v>7</v>
      </c>
      <c r="O1963" t="s">
        <v>57</v>
      </c>
      <c r="P1963">
        <v>25</v>
      </c>
      <c r="Q1963">
        <v>1665</v>
      </c>
      <c r="R1963">
        <v>5</v>
      </c>
      <c r="S1963">
        <v>0</v>
      </c>
      <c r="T1963" t="s">
        <v>32</v>
      </c>
      <c r="U1963" t="s">
        <v>38</v>
      </c>
      <c r="V1963">
        <v>204287</v>
      </c>
      <c r="W1963">
        <v>4</v>
      </c>
      <c r="X1963">
        <v>4</v>
      </c>
      <c r="Y1963" t="s">
        <v>43</v>
      </c>
      <c r="Z1963">
        <v>3.71</v>
      </c>
      <c r="AA1963" t="s">
        <v>35</v>
      </c>
    </row>
    <row r="1964" spans="1:27" x14ac:dyDescent="0.3">
      <c r="A1964" t="s">
        <v>58</v>
      </c>
      <c r="B1964" t="s">
        <v>105</v>
      </c>
      <c r="C1964">
        <v>2024</v>
      </c>
      <c r="D1964" t="s">
        <v>68</v>
      </c>
      <c r="E1964">
        <v>113687.69</v>
      </c>
      <c r="F1964">
        <v>81.5</v>
      </c>
      <c r="G1964">
        <v>274</v>
      </c>
      <c r="H1964">
        <v>139.1</v>
      </c>
      <c r="I1964">
        <v>7.69</v>
      </c>
      <c r="J1964">
        <v>128</v>
      </c>
      <c r="K1964">
        <v>650</v>
      </c>
      <c r="L1964">
        <v>556</v>
      </c>
      <c r="M1964" t="s">
        <v>39</v>
      </c>
      <c r="N1964">
        <v>7</v>
      </c>
      <c r="O1964" t="s">
        <v>46</v>
      </c>
      <c r="P1964">
        <v>60.8</v>
      </c>
      <c r="Q1964">
        <v>1500</v>
      </c>
      <c r="R1964">
        <v>4</v>
      </c>
      <c r="S1964">
        <v>2</v>
      </c>
      <c r="T1964" t="s">
        <v>32</v>
      </c>
      <c r="U1964" t="s">
        <v>33</v>
      </c>
      <c r="V1964">
        <v>59376</v>
      </c>
      <c r="W1964">
        <v>3.8</v>
      </c>
      <c r="X1964">
        <v>8</v>
      </c>
      <c r="Y1964" t="s">
        <v>61</v>
      </c>
      <c r="Z1964">
        <v>3.36</v>
      </c>
      <c r="AA1964" t="s">
        <v>35</v>
      </c>
    </row>
    <row r="1965" spans="1:27" x14ac:dyDescent="0.3">
      <c r="A1965" t="s">
        <v>27</v>
      </c>
      <c r="B1965" t="s">
        <v>78</v>
      </c>
      <c r="C1965">
        <v>2024</v>
      </c>
      <c r="D1965" t="s">
        <v>29</v>
      </c>
      <c r="E1965">
        <v>61036.31</v>
      </c>
      <c r="F1965">
        <v>77.7</v>
      </c>
      <c r="G1965">
        <v>243</v>
      </c>
      <c r="H1965">
        <v>248</v>
      </c>
      <c r="I1965">
        <v>3.41</v>
      </c>
      <c r="J1965">
        <v>193</v>
      </c>
      <c r="K1965">
        <v>616</v>
      </c>
      <c r="L1965">
        <v>531</v>
      </c>
      <c r="M1965" t="s">
        <v>30</v>
      </c>
      <c r="N1965">
        <v>5</v>
      </c>
      <c r="O1965" t="s">
        <v>57</v>
      </c>
      <c r="P1965">
        <v>36</v>
      </c>
      <c r="Q1965">
        <v>1750</v>
      </c>
      <c r="R1965">
        <v>4</v>
      </c>
      <c r="S1965">
        <v>1</v>
      </c>
      <c r="T1965" t="s">
        <v>32</v>
      </c>
      <c r="U1965" t="s">
        <v>42</v>
      </c>
      <c r="V1965">
        <v>274419</v>
      </c>
      <c r="W1965">
        <v>3.2</v>
      </c>
      <c r="X1965">
        <v>4</v>
      </c>
      <c r="Y1965" t="s">
        <v>34</v>
      </c>
      <c r="Z1965">
        <v>3.13</v>
      </c>
      <c r="AA1965" t="s">
        <v>35</v>
      </c>
    </row>
    <row r="1966" spans="1:27" x14ac:dyDescent="0.3">
      <c r="A1966" t="s">
        <v>48</v>
      </c>
      <c r="B1966" t="s">
        <v>123</v>
      </c>
      <c r="C1966">
        <v>2026</v>
      </c>
      <c r="D1966" t="s">
        <v>29</v>
      </c>
      <c r="E1966">
        <v>46823.3</v>
      </c>
      <c r="F1966">
        <v>98.4</v>
      </c>
      <c r="G1966">
        <v>366</v>
      </c>
      <c r="H1966">
        <v>151.69999999999999</v>
      </c>
      <c r="I1966">
        <v>3.16</v>
      </c>
      <c r="J1966">
        <v>198</v>
      </c>
      <c r="K1966">
        <v>473</v>
      </c>
      <c r="L1966">
        <v>442</v>
      </c>
      <c r="M1966" t="s">
        <v>54</v>
      </c>
      <c r="N1966">
        <v>5</v>
      </c>
      <c r="O1966" t="s">
        <v>65</v>
      </c>
      <c r="P1966">
        <v>34.700000000000003</v>
      </c>
      <c r="Q1966">
        <v>1581</v>
      </c>
      <c r="R1966">
        <v>3</v>
      </c>
      <c r="S1966">
        <v>0</v>
      </c>
      <c r="T1966" t="s">
        <v>51</v>
      </c>
      <c r="U1966" t="s">
        <v>42</v>
      </c>
      <c r="V1966">
        <v>141318</v>
      </c>
      <c r="W1966">
        <v>3.8</v>
      </c>
      <c r="X1966">
        <v>3</v>
      </c>
      <c r="Y1966" t="s">
        <v>34</v>
      </c>
      <c r="Z1966">
        <v>3.72</v>
      </c>
      <c r="AA1966" t="s">
        <v>35</v>
      </c>
    </row>
    <row r="1967" spans="1:27" x14ac:dyDescent="0.3">
      <c r="A1967" t="s">
        <v>48</v>
      </c>
      <c r="B1967" t="s">
        <v>79</v>
      </c>
      <c r="C1967">
        <v>2022</v>
      </c>
      <c r="D1967" t="s">
        <v>50</v>
      </c>
      <c r="E1967">
        <v>73622.080000000002</v>
      </c>
      <c r="F1967">
        <v>94.4</v>
      </c>
      <c r="G1967">
        <v>291</v>
      </c>
      <c r="H1967">
        <v>141.69999999999999</v>
      </c>
      <c r="I1967">
        <v>4.0199999999999996</v>
      </c>
      <c r="J1967">
        <v>187</v>
      </c>
      <c r="K1967">
        <v>852</v>
      </c>
      <c r="L1967">
        <v>746</v>
      </c>
      <c r="M1967" t="s">
        <v>39</v>
      </c>
      <c r="N1967">
        <v>5</v>
      </c>
      <c r="O1967" t="s">
        <v>40</v>
      </c>
      <c r="P1967">
        <v>41.4</v>
      </c>
      <c r="Q1967">
        <v>1901</v>
      </c>
      <c r="R1967">
        <v>5</v>
      </c>
      <c r="S1967">
        <v>2</v>
      </c>
      <c r="T1967" t="s">
        <v>51</v>
      </c>
      <c r="U1967" t="s">
        <v>38</v>
      </c>
      <c r="V1967">
        <v>128389</v>
      </c>
      <c r="W1967">
        <v>3.4</v>
      </c>
      <c r="X1967">
        <v>4</v>
      </c>
      <c r="Y1967" t="s">
        <v>43</v>
      </c>
      <c r="Z1967">
        <v>3.08</v>
      </c>
      <c r="AA1967" t="s">
        <v>35</v>
      </c>
    </row>
    <row r="1968" spans="1:27" x14ac:dyDescent="0.3">
      <c r="A1968" t="s">
        <v>52</v>
      </c>
      <c r="B1968" t="s">
        <v>80</v>
      </c>
      <c r="C1968">
        <v>2026</v>
      </c>
      <c r="D1968" t="s">
        <v>29</v>
      </c>
      <c r="E1968">
        <v>70200.56</v>
      </c>
      <c r="F1968">
        <v>85</v>
      </c>
      <c r="G1968">
        <v>286</v>
      </c>
      <c r="H1968">
        <v>209.3</v>
      </c>
      <c r="I1968">
        <v>3.65</v>
      </c>
      <c r="J1968">
        <v>189</v>
      </c>
      <c r="K1968">
        <v>498</v>
      </c>
      <c r="L1968">
        <v>438</v>
      </c>
      <c r="M1968" t="s">
        <v>54</v>
      </c>
      <c r="N1968">
        <v>5</v>
      </c>
      <c r="O1968" t="s">
        <v>31</v>
      </c>
      <c r="P1968">
        <v>73.400000000000006</v>
      </c>
      <c r="Q1968">
        <v>2486</v>
      </c>
      <c r="R1968">
        <v>5</v>
      </c>
      <c r="S1968">
        <v>2</v>
      </c>
      <c r="T1968" t="s">
        <v>47</v>
      </c>
      <c r="U1968" t="s">
        <v>38</v>
      </c>
      <c r="V1968">
        <v>166507</v>
      </c>
      <c r="W1968">
        <v>3.9</v>
      </c>
      <c r="X1968">
        <v>4</v>
      </c>
      <c r="Y1968" t="s">
        <v>34</v>
      </c>
      <c r="Z1968">
        <v>3.36</v>
      </c>
      <c r="AA1968" t="s">
        <v>35</v>
      </c>
    </row>
    <row r="1969" spans="1:27" x14ac:dyDescent="0.3">
      <c r="A1969" t="s">
        <v>27</v>
      </c>
      <c r="B1969" t="s">
        <v>83</v>
      </c>
      <c r="C1969">
        <v>2025</v>
      </c>
      <c r="D1969" t="s">
        <v>29</v>
      </c>
      <c r="E1969">
        <v>86735.2</v>
      </c>
      <c r="F1969">
        <v>77.5</v>
      </c>
      <c r="G1969">
        <v>296</v>
      </c>
      <c r="H1969">
        <v>203.5</v>
      </c>
      <c r="I1969">
        <v>4.3099999999999996</v>
      </c>
      <c r="J1969">
        <v>188</v>
      </c>
      <c r="K1969">
        <v>975</v>
      </c>
      <c r="L1969">
        <v>841</v>
      </c>
      <c r="M1969" t="s">
        <v>30</v>
      </c>
      <c r="N1969">
        <v>7</v>
      </c>
      <c r="O1969" t="s">
        <v>46</v>
      </c>
      <c r="P1969">
        <v>72.5</v>
      </c>
      <c r="Q1969">
        <v>1665</v>
      </c>
      <c r="R1969">
        <v>5</v>
      </c>
      <c r="S1969">
        <v>0</v>
      </c>
      <c r="T1969" t="s">
        <v>32</v>
      </c>
      <c r="U1969" t="s">
        <v>38</v>
      </c>
      <c r="V1969">
        <v>261533</v>
      </c>
      <c r="W1969">
        <v>3.2</v>
      </c>
      <c r="X1969">
        <v>3</v>
      </c>
      <c r="Y1969" t="s">
        <v>43</v>
      </c>
      <c r="Z1969">
        <v>3.82</v>
      </c>
      <c r="AA1969" t="s">
        <v>35</v>
      </c>
    </row>
    <row r="1970" spans="1:27" x14ac:dyDescent="0.3">
      <c r="A1970" t="s">
        <v>71</v>
      </c>
      <c r="B1970" t="s">
        <v>96</v>
      </c>
      <c r="C1970">
        <v>2024</v>
      </c>
      <c r="D1970" t="s">
        <v>38</v>
      </c>
      <c r="E1970">
        <v>105441.86</v>
      </c>
      <c r="F1970">
        <v>57.2</v>
      </c>
      <c r="G1970">
        <v>209</v>
      </c>
      <c r="H1970">
        <v>54.8</v>
      </c>
      <c r="I1970">
        <v>6.44</v>
      </c>
      <c r="J1970">
        <v>152</v>
      </c>
      <c r="K1970">
        <v>1000</v>
      </c>
      <c r="L1970">
        <v>896</v>
      </c>
      <c r="M1970" t="s">
        <v>30</v>
      </c>
      <c r="N1970">
        <v>7</v>
      </c>
      <c r="O1970" t="s">
        <v>31</v>
      </c>
      <c r="P1970">
        <v>53.1</v>
      </c>
      <c r="Q1970">
        <v>2431</v>
      </c>
      <c r="R1970">
        <v>5</v>
      </c>
      <c r="S1970">
        <v>0</v>
      </c>
      <c r="T1970" t="s">
        <v>73</v>
      </c>
      <c r="U1970" t="s">
        <v>33</v>
      </c>
      <c r="V1970">
        <v>226549</v>
      </c>
      <c r="W1970">
        <v>3.3</v>
      </c>
      <c r="X1970">
        <v>5</v>
      </c>
      <c r="Y1970" t="s">
        <v>43</v>
      </c>
      <c r="Z1970">
        <v>3.65</v>
      </c>
      <c r="AA1970" t="s">
        <v>35</v>
      </c>
    </row>
    <row r="1971" spans="1:27" x14ac:dyDescent="0.3">
      <c r="A1971" t="s">
        <v>52</v>
      </c>
      <c r="B1971" t="s">
        <v>80</v>
      </c>
      <c r="C1971">
        <v>2025</v>
      </c>
      <c r="D1971" t="s">
        <v>63</v>
      </c>
      <c r="E1971">
        <v>98106.32</v>
      </c>
      <c r="F1971">
        <v>49.7</v>
      </c>
      <c r="G1971">
        <v>172</v>
      </c>
      <c r="H1971">
        <v>224.2</v>
      </c>
      <c r="I1971">
        <v>7.4</v>
      </c>
      <c r="J1971">
        <v>143</v>
      </c>
      <c r="K1971">
        <v>674</v>
      </c>
      <c r="L1971">
        <v>592</v>
      </c>
      <c r="M1971" t="s">
        <v>30</v>
      </c>
      <c r="N1971">
        <v>5</v>
      </c>
      <c r="O1971" t="s">
        <v>31</v>
      </c>
      <c r="P1971">
        <v>52.7</v>
      </c>
      <c r="Q1971">
        <v>2705</v>
      </c>
      <c r="R1971">
        <v>4</v>
      </c>
      <c r="S1971">
        <v>2</v>
      </c>
      <c r="T1971" t="s">
        <v>47</v>
      </c>
      <c r="U1971" t="s">
        <v>38</v>
      </c>
      <c r="V1971">
        <v>221459</v>
      </c>
      <c r="W1971">
        <v>3.6</v>
      </c>
      <c r="X1971">
        <v>5</v>
      </c>
      <c r="Y1971" t="s">
        <v>61</v>
      </c>
      <c r="Z1971">
        <v>3.46</v>
      </c>
      <c r="AA1971" t="s">
        <v>35</v>
      </c>
    </row>
    <row r="1972" spans="1:27" x14ac:dyDescent="0.3">
      <c r="A1972" t="s">
        <v>52</v>
      </c>
      <c r="B1972" t="s">
        <v>53</v>
      </c>
      <c r="C1972">
        <v>2024</v>
      </c>
      <c r="D1972" t="s">
        <v>38</v>
      </c>
      <c r="E1972">
        <v>128470.34</v>
      </c>
      <c r="F1972">
        <v>75.7</v>
      </c>
      <c r="G1972">
        <v>268</v>
      </c>
      <c r="H1972">
        <v>263.7</v>
      </c>
      <c r="I1972">
        <v>7.17</v>
      </c>
      <c r="J1972">
        <v>140</v>
      </c>
      <c r="K1972">
        <v>913</v>
      </c>
      <c r="L1972">
        <v>812</v>
      </c>
      <c r="M1972" t="s">
        <v>54</v>
      </c>
      <c r="N1972">
        <v>7</v>
      </c>
      <c r="O1972" t="s">
        <v>31</v>
      </c>
      <c r="P1972">
        <v>77.7</v>
      </c>
      <c r="Q1972">
        <v>2712</v>
      </c>
      <c r="R1972">
        <v>3</v>
      </c>
      <c r="S1972">
        <v>2</v>
      </c>
      <c r="T1972" t="s">
        <v>47</v>
      </c>
      <c r="U1972" t="s">
        <v>33</v>
      </c>
      <c r="V1972">
        <v>244654</v>
      </c>
      <c r="W1972">
        <v>3.6</v>
      </c>
      <c r="X1972">
        <v>6</v>
      </c>
      <c r="Y1972" t="s">
        <v>61</v>
      </c>
      <c r="Z1972">
        <v>3.54</v>
      </c>
      <c r="AA1972" t="s">
        <v>35</v>
      </c>
    </row>
    <row r="1973" spans="1:27" x14ac:dyDescent="0.3">
      <c r="A1973" t="s">
        <v>58</v>
      </c>
      <c r="B1973" t="s">
        <v>111</v>
      </c>
      <c r="C1973">
        <v>2025</v>
      </c>
      <c r="D1973" t="s">
        <v>38</v>
      </c>
      <c r="E1973">
        <v>92407.64</v>
      </c>
      <c r="F1973">
        <v>58</v>
      </c>
      <c r="G1973">
        <v>199</v>
      </c>
      <c r="H1973">
        <v>90.5</v>
      </c>
      <c r="I1973">
        <v>6.1</v>
      </c>
      <c r="J1973">
        <v>167</v>
      </c>
      <c r="K1973">
        <v>380</v>
      </c>
      <c r="L1973">
        <v>329</v>
      </c>
      <c r="M1973" t="s">
        <v>54</v>
      </c>
      <c r="N1973">
        <v>5</v>
      </c>
      <c r="O1973" t="s">
        <v>65</v>
      </c>
      <c r="P1973">
        <v>21.4</v>
      </c>
      <c r="Q1973">
        <v>1500</v>
      </c>
      <c r="R1973">
        <v>4</v>
      </c>
      <c r="S1973">
        <v>1</v>
      </c>
      <c r="T1973" t="s">
        <v>32</v>
      </c>
      <c r="U1973" t="s">
        <v>38</v>
      </c>
      <c r="V1973">
        <v>22464</v>
      </c>
      <c r="W1973">
        <v>3.5</v>
      </c>
      <c r="X1973">
        <v>5</v>
      </c>
      <c r="Y1973" t="s">
        <v>43</v>
      </c>
      <c r="Z1973">
        <v>3.43</v>
      </c>
      <c r="AA1973" t="s">
        <v>35</v>
      </c>
    </row>
    <row r="1974" spans="1:27" x14ac:dyDescent="0.3">
      <c r="A1974" t="s">
        <v>71</v>
      </c>
      <c r="B1974" t="s">
        <v>104</v>
      </c>
      <c r="C1974">
        <v>2022</v>
      </c>
      <c r="D1974" t="s">
        <v>63</v>
      </c>
      <c r="E1974">
        <v>71011.58</v>
      </c>
      <c r="F1974">
        <v>47.4</v>
      </c>
      <c r="G1974">
        <v>159</v>
      </c>
      <c r="H1974">
        <v>97</v>
      </c>
      <c r="I1974">
        <v>7.76</v>
      </c>
      <c r="J1974">
        <v>132</v>
      </c>
      <c r="K1974">
        <v>792</v>
      </c>
      <c r="L1974">
        <v>662</v>
      </c>
      <c r="M1974" t="s">
        <v>39</v>
      </c>
      <c r="N1974">
        <v>5</v>
      </c>
      <c r="O1974" t="s">
        <v>40</v>
      </c>
      <c r="P1974">
        <v>45.2</v>
      </c>
      <c r="Q1974">
        <v>2283</v>
      </c>
      <c r="R1974">
        <v>4</v>
      </c>
      <c r="S1974">
        <v>0</v>
      </c>
      <c r="T1974" t="s">
        <v>73</v>
      </c>
      <c r="U1974" t="s">
        <v>38</v>
      </c>
      <c r="V1974">
        <v>210658</v>
      </c>
      <c r="W1974">
        <v>3.1</v>
      </c>
      <c r="X1974">
        <v>4</v>
      </c>
      <c r="Y1974" t="s">
        <v>61</v>
      </c>
      <c r="Z1974">
        <v>3.35</v>
      </c>
      <c r="AA1974" t="s">
        <v>35</v>
      </c>
    </row>
    <row r="1975" spans="1:27" x14ac:dyDescent="0.3">
      <c r="A1975" t="s">
        <v>76</v>
      </c>
      <c r="B1975" t="s">
        <v>77</v>
      </c>
      <c r="C1975">
        <v>2025</v>
      </c>
      <c r="D1975" t="s">
        <v>50</v>
      </c>
      <c r="E1975">
        <v>92989.48</v>
      </c>
      <c r="F1975">
        <v>91</v>
      </c>
      <c r="G1975">
        <v>315</v>
      </c>
      <c r="H1975">
        <v>115.3</v>
      </c>
      <c r="I1975">
        <v>5.49</v>
      </c>
      <c r="J1975">
        <v>166</v>
      </c>
      <c r="K1975">
        <v>1000</v>
      </c>
      <c r="L1975">
        <v>954</v>
      </c>
      <c r="M1975" t="s">
        <v>54</v>
      </c>
      <c r="N1975">
        <v>7</v>
      </c>
      <c r="O1975" t="s">
        <v>40</v>
      </c>
      <c r="P1975">
        <v>50.4</v>
      </c>
      <c r="Q1975">
        <v>1766</v>
      </c>
      <c r="R1975">
        <v>5</v>
      </c>
      <c r="S1975">
        <v>2</v>
      </c>
      <c r="T1975" t="s">
        <v>51</v>
      </c>
      <c r="U1975" t="s">
        <v>38</v>
      </c>
      <c r="V1975">
        <v>132728</v>
      </c>
      <c r="W1975">
        <v>3.6</v>
      </c>
      <c r="X1975">
        <v>4</v>
      </c>
      <c r="Y1975" t="s">
        <v>43</v>
      </c>
      <c r="Z1975">
        <v>3.46</v>
      </c>
      <c r="AA1975" t="s">
        <v>35</v>
      </c>
    </row>
    <row r="1976" spans="1:27" x14ac:dyDescent="0.3">
      <c r="A1976" t="s">
        <v>71</v>
      </c>
      <c r="B1976" t="s">
        <v>90</v>
      </c>
      <c r="C1976">
        <v>2023</v>
      </c>
      <c r="D1976" t="s">
        <v>68</v>
      </c>
      <c r="E1976">
        <v>74284.45</v>
      </c>
      <c r="F1976">
        <v>84.2</v>
      </c>
      <c r="G1976">
        <v>286</v>
      </c>
      <c r="H1976">
        <v>132.1</v>
      </c>
      <c r="I1976">
        <v>6.13</v>
      </c>
      <c r="J1976">
        <v>162</v>
      </c>
      <c r="K1976">
        <v>865</v>
      </c>
      <c r="L1976">
        <v>781</v>
      </c>
      <c r="M1976" t="s">
        <v>39</v>
      </c>
      <c r="N1976">
        <v>5</v>
      </c>
      <c r="O1976" t="s">
        <v>31</v>
      </c>
      <c r="P1976">
        <v>57.8</v>
      </c>
      <c r="Q1976">
        <v>2198</v>
      </c>
      <c r="R1976">
        <v>5</v>
      </c>
      <c r="S1976">
        <v>1</v>
      </c>
      <c r="T1976" t="s">
        <v>73</v>
      </c>
      <c r="U1976" t="s">
        <v>38</v>
      </c>
      <c r="V1976">
        <v>128075</v>
      </c>
      <c r="W1976">
        <v>3.8</v>
      </c>
      <c r="X1976">
        <v>5</v>
      </c>
      <c r="Y1976" t="s">
        <v>43</v>
      </c>
      <c r="Z1976">
        <v>3.4</v>
      </c>
      <c r="AA1976" t="s">
        <v>35</v>
      </c>
    </row>
    <row r="1977" spans="1:27" x14ac:dyDescent="0.3">
      <c r="A1977" t="s">
        <v>100</v>
      </c>
      <c r="B1977" t="s">
        <v>101</v>
      </c>
      <c r="C1977">
        <v>2024</v>
      </c>
      <c r="D1977" t="s">
        <v>68</v>
      </c>
      <c r="E1977">
        <v>78059.06</v>
      </c>
      <c r="F1977">
        <v>66.599999999999994</v>
      </c>
      <c r="G1977">
        <v>252</v>
      </c>
      <c r="H1977">
        <v>118.3</v>
      </c>
      <c r="I1977">
        <v>6.02</v>
      </c>
      <c r="J1977">
        <v>157</v>
      </c>
      <c r="K1977">
        <v>657</v>
      </c>
      <c r="L1977">
        <v>597</v>
      </c>
      <c r="M1977" t="s">
        <v>39</v>
      </c>
      <c r="N1977">
        <v>7</v>
      </c>
      <c r="O1977" t="s">
        <v>40</v>
      </c>
      <c r="P1977">
        <v>36.6</v>
      </c>
      <c r="Q1977">
        <v>2102</v>
      </c>
      <c r="R1977">
        <v>5</v>
      </c>
      <c r="S1977">
        <v>0</v>
      </c>
      <c r="T1977" t="s">
        <v>73</v>
      </c>
      <c r="U1977" t="s">
        <v>38</v>
      </c>
      <c r="V1977">
        <v>24158</v>
      </c>
      <c r="W1977">
        <v>3.3</v>
      </c>
      <c r="X1977">
        <v>5</v>
      </c>
      <c r="Y1977" t="s">
        <v>43</v>
      </c>
      <c r="Z1977">
        <v>3.78</v>
      </c>
      <c r="AA1977" t="s">
        <v>35</v>
      </c>
    </row>
    <row r="1978" spans="1:27" x14ac:dyDescent="0.3">
      <c r="A1978" t="s">
        <v>71</v>
      </c>
      <c r="B1978" t="s">
        <v>72</v>
      </c>
      <c r="C1978">
        <v>2023</v>
      </c>
      <c r="D1978" t="s">
        <v>38</v>
      </c>
      <c r="E1978">
        <v>109450.6</v>
      </c>
      <c r="F1978">
        <v>64.2</v>
      </c>
      <c r="G1978">
        <v>232</v>
      </c>
      <c r="H1978">
        <v>67.3</v>
      </c>
      <c r="I1978">
        <v>7.02</v>
      </c>
      <c r="J1978">
        <v>143</v>
      </c>
      <c r="K1978">
        <v>1000</v>
      </c>
      <c r="L1978">
        <v>898</v>
      </c>
      <c r="M1978" t="s">
        <v>30</v>
      </c>
      <c r="N1978">
        <v>5</v>
      </c>
      <c r="O1978" t="s">
        <v>65</v>
      </c>
      <c r="P1978">
        <v>31</v>
      </c>
      <c r="Q1978">
        <v>1504</v>
      </c>
      <c r="R1978">
        <v>5</v>
      </c>
      <c r="S1978">
        <v>2</v>
      </c>
      <c r="T1978" t="s">
        <v>73</v>
      </c>
      <c r="U1978" t="s">
        <v>33</v>
      </c>
      <c r="V1978">
        <v>128508</v>
      </c>
      <c r="W1978">
        <v>3.6</v>
      </c>
      <c r="X1978">
        <v>4</v>
      </c>
      <c r="Y1978" t="s">
        <v>61</v>
      </c>
      <c r="Z1978">
        <v>3.61</v>
      </c>
      <c r="AA1978" t="s">
        <v>35</v>
      </c>
    </row>
    <row r="1979" spans="1:27" x14ac:dyDescent="0.3">
      <c r="A1979" t="s">
        <v>27</v>
      </c>
      <c r="B1979" t="s">
        <v>93</v>
      </c>
      <c r="C1979">
        <v>2024</v>
      </c>
      <c r="D1979" t="s">
        <v>38</v>
      </c>
      <c r="E1979">
        <v>49550.91</v>
      </c>
      <c r="F1979">
        <v>41.8</v>
      </c>
      <c r="G1979">
        <v>150</v>
      </c>
      <c r="H1979">
        <v>143.1</v>
      </c>
      <c r="I1979">
        <v>6.85</v>
      </c>
      <c r="J1979">
        <v>153</v>
      </c>
      <c r="K1979">
        <v>490</v>
      </c>
      <c r="L1979">
        <v>386</v>
      </c>
      <c r="M1979" t="s">
        <v>30</v>
      </c>
      <c r="N1979">
        <v>7</v>
      </c>
      <c r="O1979" t="s">
        <v>57</v>
      </c>
      <c r="P1979">
        <v>32</v>
      </c>
      <c r="Q1979">
        <v>1737</v>
      </c>
      <c r="R1979">
        <v>3</v>
      </c>
      <c r="S1979">
        <v>1</v>
      </c>
      <c r="T1979" t="s">
        <v>32</v>
      </c>
      <c r="U1979" t="s">
        <v>42</v>
      </c>
      <c r="V1979">
        <v>222078</v>
      </c>
      <c r="W1979">
        <v>3.5</v>
      </c>
      <c r="X1979">
        <v>4</v>
      </c>
      <c r="Y1979" t="s">
        <v>43</v>
      </c>
      <c r="Z1979">
        <v>3.59</v>
      </c>
      <c r="AA1979" t="s">
        <v>35</v>
      </c>
    </row>
    <row r="1980" spans="1:27" x14ac:dyDescent="0.3">
      <c r="A1980" t="s">
        <v>58</v>
      </c>
      <c r="B1980" t="s">
        <v>70</v>
      </c>
      <c r="C1980">
        <v>2025</v>
      </c>
      <c r="D1980" t="s">
        <v>50</v>
      </c>
      <c r="E1980">
        <v>102050.83</v>
      </c>
      <c r="F1980">
        <v>92.4</v>
      </c>
      <c r="G1980">
        <v>312</v>
      </c>
      <c r="H1980">
        <v>53.2</v>
      </c>
      <c r="I1980">
        <v>4.32</v>
      </c>
      <c r="J1980">
        <v>178</v>
      </c>
      <c r="K1980">
        <v>474</v>
      </c>
      <c r="L1980">
        <v>389</v>
      </c>
      <c r="M1980" t="s">
        <v>30</v>
      </c>
      <c r="N1980">
        <v>5</v>
      </c>
      <c r="O1980" t="s">
        <v>57</v>
      </c>
      <c r="P1980">
        <v>24.1</v>
      </c>
      <c r="Q1980">
        <v>1700</v>
      </c>
      <c r="R1980">
        <v>5</v>
      </c>
      <c r="S1980">
        <v>1</v>
      </c>
      <c r="T1980" t="s">
        <v>32</v>
      </c>
      <c r="U1980" t="s">
        <v>33</v>
      </c>
      <c r="V1980">
        <v>26785</v>
      </c>
      <c r="W1980">
        <v>3.9</v>
      </c>
      <c r="X1980">
        <v>7</v>
      </c>
      <c r="Y1980" t="s">
        <v>43</v>
      </c>
      <c r="Z1980">
        <v>3.38</v>
      </c>
      <c r="AA1980" t="s">
        <v>35</v>
      </c>
    </row>
    <row r="1981" spans="1:27" x14ac:dyDescent="0.3">
      <c r="A1981" t="s">
        <v>58</v>
      </c>
      <c r="B1981" t="s">
        <v>134</v>
      </c>
      <c r="C1981">
        <v>2026</v>
      </c>
      <c r="D1981" t="s">
        <v>38</v>
      </c>
      <c r="E1981">
        <v>93286.78</v>
      </c>
      <c r="F1981">
        <v>82.1</v>
      </c>
      <c r="G1981">
        <v>282</v>
      </c>
      <c r="H1981">
        <v>142.9</v>
      </c>
      <c r="I1981">
        <v>7.41</v>
      </c>
      <c r="J1981">
        <v>136</v>
      </c>
      <c r="K1981">
        <v>457</v>
      </c>
      <c r="L1981">
        <v>407</v>
      </c>
      <c r="M1981" t="s">
        <v>39</v>
      </c>
      <c r="N1981">
        <v>5</v>
      </c>
      <c r="O1981" t="s">
        <v>56</v>
      </c>
      <c r="P1981">
        <v>37.5</v>
      </c>
      <c r="Q1981">
        <v>1500</v>
      </c>
      <c r="R1981">
        <v>3</v>
      </c>
      <c r="S1981">
        <v>1</v>
      </c>
      <c r="T1981" t="s">
        <v>32</v>
      </c>
      <c r="U1981" t="s">
        <v>38</v>
      </c>
      <c r="V1981">
        <v>49781</v>
      </c>
      <c r="W1981">
        <v>3.7</v>
      </c>
      <c r="X1981">
        <v>8</v>
      </c>
      <c r="Y1981" t="s">
        <v>61</v>
      </c>
      <c r="Z1981">
        <v>3.43</v>
      </c>
      <c r="AA1981" t="s">
        <v>35</v>
      </c>
    </row>
    <row r="1982" spans="1:27" x14ac:dyDescent="0.3">
      <c r="A1982" t="s">
        <v>52</v>
      </c>
      <c r="B1982" t="s">
        <v>86</v>
      </c>
      <c r="C1982">
        <v>2023</v>
      </c>
      <c r="D1982" t="s">
        <v>29</v>
      </c>
      <c r="E1982">
        <v>164467.67000000001</v>
      </c>
      <c r="F1982">
        <v>113.9</v>
      </c>
      <c r="G1982">
        <v>371</v>
      </c>
      <c r="H1982">
        <v>279.39999999999998</v>
      </c>
      <c r="I1982">
        <v>3.22</v>
      </c>
      <c r="J1982">
        <v>200</v>
      </c>
      <c r="K1982">
        <v>1000</v>
      </c>
      <c r="L1982">
        <v>848</v>
      </c>
      <c r="M1982" t="s">
        <v>54</v>
      </c>
      <c r="N1982">
        <v>5</v>
      </c>
      <c r="O1982" t="s">
        <v>46</v>
      </c>
      <c r="P1982">
        <v>66</v>
      </c>
      <c r="Q1982">
        <v>1822</v>
      </c>
      <c r="R1982">
        <v>5</v>
      </c>
      <c r="S1982">
        <v>2</v>
      </c>
      <c r="T1982" t="s">
        <v>47</v>
      </c>
      <c r="U1982" t="s">
        <v>33</v>
      </c>
      <c r="V1982">
        <v>146842</v>
      </c>
      <c r="W1982">
        <v>3.9</v>
      </c>
      <c r="X1982">
        <v>4</v>
      </c>
      <c r="Y1982" t="s">
        <v>34</v>
      </c>
      <c r="Z1982">
        <v>3.26</v>
      </c>
      <c r="AA1982" t="s">
        <v>35</v>
      </c>
    </row>
    <row r="1983" spans="1:27" x14ac:dyDescent="0.3">
      <c r="A1983" t="s">
        <v>84</v>
      </c>
      <c r="B1983" t="s">
        <v>85</v>
      </c>
      <c r="C1983">
        <v>2025</v>
      </c>
      <c r="D1983" t="s">
        <v>50</v>
      </c>
      <c r="E1983">
        <v>62237.09</v>
      </c>
      <c r="F1983">
        <v>86.7</v>
      </c>
      <c r="G1983">
        <v>299</v>
      </c>
      <c r="H1983">
        <v>97</v>
      </c>
      <c r="I1983">
        <v>5.35</v>
      </c>
      <c r="J1983">
        <v>166</v>
      </c>
      <c r="K1983">
        <v>680</v>
      </c>
      <c r="L1983">
        <v>604</v>
      </c>
      <c r="M1983" t="s">
        <v>39</v>
      </c>
      <c r="N1983">
        <v>5</v>
      </c>
      <c r="O1983" t="s">
        <v>65</v>
      </c>
      <c r="P1983">
        <v>25.1</v>
      </c>
      <c r="Q1983">
        <v>1557</v>
      </c>
      <c r="R1983">
        <v>5</v>
      </c>
      <c r="S1983">
        <v>1</v>
      </c>
      <c r="T1983" t="s">
        <v>47</v>
      </c>
      <c r="U1983" t="s">
        <v>42</v>
      </c>
      <c r="V1983">
        <v>34572</v>
      </c>
      <c r="W1983">
        <v>3.5</v>
      </c>
      <c r="X1983">
        <v>4</v>
      </c>
      <c r="Y1983" t="s">
        <v>43</v>
      </c>
      <c r="Z1983">
        <v>3.45</v>
      </c>
      <c r="AA1983" t="s">
        <v>35</v>
      </c>
    </row>
    <row r="1984" spans="1:27" x14ac:dyDescent="0.3">
      <c r="A1984" t="s">
        <v>76</v>
      </c>
      <c r="B1984" t="s">
        <v>114</v>
      </c>
      <c r="C1984">
        <v>2023</v>
      </c>
      <c r="D1984" t="s">
        <v>68</v>
      </c>
      <c r="E1984">
        <v>55335.519999999997</v>
      </c>
      <c r="F1984">
        <v>51.9</v>
      </c>
      <c r="G1984">
        <v>156</v>
      </c>
      <c r="H1984">
        <v>87.3</v>
      </c>
      <c r="I1984">
        <v>5.55</v>
      </c>
      <c r="J1984">
        <v>176</v>
      </c>
      <c r="K1984">
        <v>665</v>
      </c>
      <c r="L1984">
        <v>612</v>
      </c>
      <c r="M1984" t="s">
        <v>39</v>
      </c>
      <c r="N1984">
        <v>5</v>
      </c>
      <c r="O1984" t="s">
        <v>46</v>
      </c>
      <c r="P1984">
        <v>60.1</v>
      </c>
      <c r="Q1984">
        <v>1644</v>
      </c>
      <c r="R1984">
        <v>3</v>
      </c>
      <c r="S1984">
        <v>0</v>
      </c>
      <c r="T1984" t="s">
        <v>51</v>
      </c>
      <c r="U1984" t="s">
        <v>42</v>
      </c>
      <c r="V1984">
        <v>84896</v>
      </c>
      <c r="W1984">
        <v>3.3</v>
      </c>
      <c r="X1984">
        <v>5</v>
      </c>
      <c r="Y1984" t="s">
        <v>43</v>
      </c>
      <c r="Z1984">
        <v>3.01</v>
      </c>
      <c r="AA1984" t="s">
        <v>35</v>
      </c>
    </row>
    <row r="1985" spans="1:27" x14ac:dyDescent="0.3">
      <c r="A1985" t="s">
        <v>76</v>
      </c>
      <c r="B1985" t="s">
        <v>98</v>
      </c>
      <c r="C1985">
        <v>2026</v>
      </c>
      <c r="D1985" t="s">
        <v>68</v>
      </c>
      <c r="E1985">
        <v>37257.29</v>
      </c>
      <c r="F1985">
        <v>52.5</v>
      </c>
      <c r="G1985">
        <v>164</v>
      </c>
      <c r="H1985">
        <v>104.7</v>
      </c>
      <c r="I1985">
        <v>5.96</v>
      </c>
      <c r="J1985">
        <v>160</v>
      </c>
      <c r="K1985">
        <v>257</v>
      </c>
      <c r="L1985">
        <v>213</v>
      </c>
      <c r="M1985" t="s">
        <v>30</v>
      </c>
      <c r="N1985">
        <v>5</v>
      </c>
      <c r="O1985" t="s">
        <v>40</v>
      </c>
      <c r="P1985">
        <v>43</v>
      </c>
      <c r="Q1985">
        <v>2264</v>
      </c>
      <c r="R1985">
        <v>3</v>
      </c>
      <c r="S1985">
        <v>1</v>
      </c>
      <c r="T1985" t="s">
        <v>51</v>
      </c>
      <c r="U1985" t="s">
        <v>42</v>
      </c>
      <c r="V1985">
        <v>64933</v>
      </c>
      <c r="W1985">
        <v>3.2</v>
      </c>
      <c r="X1985">
        <v>5</v>
      </c>
      <c r="Y1985" t="s">
        <v>43</v>
      </c>
      <c r="Z1985">
        <v>3.12</v>
      </c>
      <c r="AA1985" t="s">
        <v>35</v>
      </c>
    </row>
    <row r="1986" spans="1:27" x14ac:dyDescent="0.3">
      <c r="A1986" t="s">
        <v>52</v>
      </c>
      <c r="B1986" t="s">
        <v>80</v>
      </c>
      <c r="C1986">
        <v>2025</v>
      </c>
      <c r="D1986" t="s">
        <v>50</v>
      </c>
      <c r="E1986">
        <v>45726.22</v>
      </c>
      <c r="F1986">
        <v>92.1</v>
      </c>
      <c r="G1986">
        <v>327</v>
      </c>
      <c r="H1986">
        <v>234.9</v>
      </c>
      <c r="I1986">
        <v>5.54</v>
      </c>
      <c r="J1986">
        <v>161</v>
      </c>
      <c r="K1986">
        <v>336</v>
      </c>
      <c r="L1986">
        <v>360</v>
      </c>
      <c r="M1986" t="s">
        <v>54</v>
      </c>
      <c r="N1986">
        <v>5</v>
      </c>
      <c r="O1986" t="s">
        <v>31</v>
      </c>
      <c r="P1986">
        <v>58.1</v>
      </c>
      <c r="Q1986">
        <v>2592</v>
      </c>
      <c r="R1986">
        <v>5</v>
      </c>
      <c r="S1986">
        <v>2</v>
      </c>
      <c r="T1986" t="s">
        <v>47</v>
      </c>
      <c r="U1986" t="s">
        <v>42</v>
      </c>
      <c r="V1986">
        <v>240212</v>
      </c>
      <c r="W1986">
        <v>4</v>
      </c>
      <c r="X1986">
        <v>5</v>
      </c>
      <c r="Y1986" t="s">
        <v>43</v>
      </c>
      <c r="Z1986">
        <v>3.55</v>
      </c>
      <c r="AA1986" t="s">
        <v>35</v>
      </c>
    </row>
    <row r="1987" spans="1:27" x14ac:dyDescent="0.3">
      <c r="A1987" t="s">
        <v>52</v>
      </c>
      <c r="B1987" t="s">
        <v>55</v>
      </c>
      <c r="C1987">
        <v>2025</v>
      </c>
      <c r="D1987" t="s">
        <v>50</v>
      </c>
      <c r="E1987">
        <v>107944.96000000001</v>
      </c>
      <c r="F1987">
        <v>81</v>
      </c>
      <c r="G1987">
        <v>289</v>
      </c>
      <c r="H1987">
        <v>219.3</v>
      </c>
      <c r="I1987">
        <v>5.45</v>
      </c>
      <c r="J1987">
        <v>162</v>
      </c>
      <c r="K1987">
        <v>773</v>
      </c>
      <c r="L1987">
        <v>713</v>
      </c>
      <c r="M1987" t="s">
        <v>30</v>
      </c>
      <c r="N1987">
        <v>7</v>
      </c>
      <c r="O1987" t="s">
        <v>56</v>
      </c>
      <c r="P1987">
        <v>37.4</v>
      </c>
      <c r="Q1987">
        <v>1644</v>
      </c>
      <c r="R1987">
        <v>4</v>
      </c>
      <c r="S1987">
        <v>2</v>
      </c>
      <c r="T1987" t="s">
        <v>47</v>
      </c>
      <c r="U1987" t="s">
        <v>33</v>
      </c>
      <c r="V1987">
        <v>410789</v>
      </c>
      <c r="W1987">
        <v>3.9</v>
      </c>
      <c r="X1987">
        <v>5</v>
      </c>
      <c r="Y1987" t="s">
        <v>43</v>
      </c>
      <c r="Z1987">
        <v>3.57</v>
      </c>
      <c r="AA1987" t="s">
        <v>35</v>
      </c>
    </row>
    <row r="1988" spans="1:27" x14ac:dyDescent="0.3">
      <c r="A1988" t="s">
        <v>44</v>
      </c>
      <c r="B1988" t="s">
        <v>126</v>
      </c>
      <c r="C1988">
        <v>2020</v>
      </c>
      <c r="D1988" t="s">
        <v>50</v>
      </c>
      <c r="E1988">
        <v>45327.78</v>
      </c>
      <c r="F1988">
        <v>86.2</v>
      </c>
      <c r="G1988">
        <v>305</v>
      </c>
      <c r="H1988">
        <v>77.599999999999994</v>
      </c>
      <c r="I1988">
        <v>4.96</v>
      </c>
      <c r="J1988">
        <v>174</v>
      </c>
      <c r="K1988">
        <v>493</v>
      </c>
      <c r="L1988">
        <v>447</v>
      </c>
      <c r="M1988" t="s">
        <v>30</v>
      </c>
      <c r="N1988">
        <v>5</v>
      </c>
      <c r="O1988" t="s">
        <v>57</v>
      </c>
      <c r="P1988">
        <v>35.5</v>
      </c>
      <c r="Q1988">
        <v>1796</v>
      </c>
      <c r="R1988">
        <v>4</v>
      </c>
      <c r="S1988">
        <v>0</v>
      </c>
      <c r="T1988" t="s">
        <v>47</v>
      </c>
      <c r="U1988" t="s">
        <v>42</v>
      </c>
      <c r="V1988">
        <v>20824</v>
      </c>
      <c r="W1988">
        <v>3.6</v>
      </c>
      <c r="X1988">
        <v>3</v>
      </c>
      <c r="Y1988" t="s">
        <v>43</v>
      </c>
      <c r="Z1988">
        <v>3.54</v>
      </c>
      <c r="AA1988" t="s">
        <v>35</v>
      </c>
    </row>
    <row r="1989" spans="1:27" x14ac:dyDescent="0.3">
      <c r="A1989" t="s">
        <v>76</v>
      </c>
      <c r="B1989" t="s">
        <v>114</v>
      </c>
      <c r="C1989">
        <v>2023</v>
      </c>
      <c r="D1989" t="s">
        <v>50</v>
      </c>
      <c r="E1989">
        <v>41738.1</v>
      </c>
      <c r="F1989">
        <v>88.1</v>
      </c>
      <c r="G1989">
        <v>330</v>
      </c>
      <c r="H1989">
        <v>140.9</v>
      </c>
      <c r="I1989">
        <v>5.47</v>
      </c>
      <c r="J1989">
        <v>167</v>
      </c>
      <c r="K1989">
        <v>392</v>
      </c>
      <c r="L1989">
        <v>339</v>
      </c>
      <c r="M1989" t="s">
        <v>54</v>
      </c>
      <c r="N1989">
        <v>7</v>
      </c>
      <c r="O1989" t="s">
        <v>56</v>
      </c>
      <c r="P1989">
        <v>36.5</v>
      </c>
      <c r="Q1989">
        <v>1697</v>
      </c>
      <c r="R1989">
        <v>5</v>
      </c>
      <c r="S1989">
        <v>0</v>
      </c>
      <c r="T1989" t="s">
        <v>51</v>
      </c>
      <c r="U1989" t="s">
        <v>42</v>
      </c>
      <c r="V1989">
        <v>92151</v>
      </c>
      <c r="W1989">
        <v>3.7</v>
      </c>
      <c r="X1989">
        <v>4</v>
      </c>
      <c r="Y1989" t="s">
        <v>43</v>
      </c>
      <c r="Z1989">
        <v>3.75</v>
      </c>
      <c r="AA1989" t="s">
        <v>35</v>
      </c>
    </row>
    <row r="1990" spans="1:27" x14ac:dyDescent="0.3">
      <c r="A1990" t="s">
        <v>27</v>
      </c>
      <c r="B1990" t="s">
        <v>83</v>
      </c>
      <c r="C1990">
        <v>2026</v>
      </c>
      <c r="D1990" t="s">
        <v>63</v>
      </c>
      <c r="E1990">
        <v>69452.44</v>
      </c>
      <c r="F1990">
        <v>63.6</v>
      </c>
      <c r="G1990">
        <v>224</v>
      </c>
      <c r="H1990">
        <v>70.099999999999994</v>
      </c>
      <c r="I1990">
        <v>6.86</v>
      </c>
      <c r="J1990">
        <v>148</v>
      </c>
      <c r="K1990">
        <v>732</v>
      </c>
      <c r="L1990">
        <v>617</v>
      </c>
      <c r="M1990" t="s">
        <v>54</v>
      </c>
      <c r="N1990">
        <v>7</v>
      </c>
      <c r="O1990" t="s">
        <v>46</v>
      </c>
      <c r="P1990">
        <v>65.3</v>
      </c>
      <c r="Q1990">
        <v>1614</v>
      </c>
      <c r="R1990">
        <v>4</v>
      </c>
      <c r="S1990">
        <v>0</v>
      </c>
      <c r="T1990" t="s">
        <v>32</v>
      </c>
      <c r="U1990" t="s">
        <v>38</v>
      </c>
      <c r="V1990">
        <v>260693</v>
      </c>
      <c r="W1990">
        <v>3.7</v>
      </c>
      <c r="X1990">
        <v>5</v>
      </c>
      <c r="Y1990" t="s">
        <v>43</v>
      </c>
      <c r="Z1990">
        <v>3.52</v>
      </c>
      <c r="AA1990" t="s">
        <v>35</v>
      </c>
    </row>
    <row r="1991" spans="1:27" x14ac:dyDescent="0.3">
      <c r="A1991" t="s">
        <v>44</v>
      </c>
      <c r="B1991" t="s">
        <v>110</v>
      </c>
      <c r="C1991">
        <v>2021</v>
      </c>
      <c r="D1991" t="s">
        <v>29</v>
      </c>
      <c r="E1991">
        <v>65656.759999999995</v>
      </c>
      <c r="F1991">
        <v>86.5</v>
      </c>
      <c r="G1991">
        <v>340</v>
      </c>
      <c r="H1991">
        <v>170</v>
      </c>
      <c r="I1991">
        <v>4.0599999999999996</v>
      </c>
      <c r="J1991">
        <v>190</v>
      </c>
      <c r="K1991">
        <v>876</v>
      </c>
      <c r="L1991">
        <v>788</v>
      </c>
      <c r="M1991" t="s">
        <v>30</v>
      </c>
      <c r="N1991">
        <v>5</v>
      </c>
      <c r="O1991" t="s">
        <v>40</v>
      </c>
      <c r="P1991">
        <v>59.1</v>
      </c>
      <c r="Q1991">
        <v>2129</v>
      </c>
      <c r="R1991">
        <v>5</v>
      </c>
      <c r="S1991">
        <v>0</v>
      </c>
      <c r="T1991" t="s">
        <v>47</v>
      </c>
      <c r="U1991" t="s">
        <v>38</v>
      </c>
      <c r="V1991">
        <v>12802</v>
      </c>
      <c r="W1991">
        <v>4</v>
      </c>
      <c r="X1991">
        <v>5</v>
      </c>
      <c r="Y1991" t="s">
        <v>43</v>
      </c>
      <c r="Z1991">
        <v>3.93</v>
      </c>
      <c r="AA1991" t="s">
        <v>43</v>
      </c>
    </row>
    <row r="1992" spans="1:27" x14ac:dyDescent="0.3">
      <c r="A1992" t="s">
        <v>84</v>
      </c>
      <c r="B1992" t="s">
        <v>89</v>
      </c>
      <c r="C1992">
        <v>2025</v>
      </c>
      <c r="D1992" t="s">
        <v>63</v>
      </c>
      <c r="E1992">
        <v>61660.35</v>
      </c>
      <c r="F1992">
        <v>67.900000000000006</v>
      </c>
      <c r="G1992">
        <v>221</v>
      </c>
      <c r="H1992">
        <v>89.6</v>
      </c>
      <c r="I1992">
        <v>5.21</v>
      </c>
      <c r="J1992">
        <v>167</v>
      </c>
      <c r="K1992">
        <v>673</v>
      </c>
      <c r="L1992">
        <v>572</v>
      </c>
      <c r="M1992" t="s">
        <v>54</v>
      </c>
      <c r="N1992">
        <v>7</v>
      </c>
      <c r="O1992" t="s">
        <v>57</v>
      </c>
      <c r="P1992">
        <v>27.1</v>
      </c>
      <c r="Q1992">
        <v>1660</v>
      </c>
      <c r="R1992">
        <v>4</v>
      </c>
      <c r="S1992">
        <v>2</v>
      </c>
      <c r="T1992" t="s">
        <v>47</v>
      </c>
      <c r="U1992" t="s">
        <v>42</v>
      </c>
      <c r="V1992">
        <v>27087</v>
      </c>
      <c r="W1992">
        <v>3.6</v>
      </c>
      <c r="X1992">
        <v>5</v>
      </c>
      <c r="Y1992" t="s">
        <v>43</v>
      </c>
      <c r="Z1992">
        <v>3.25</v>
      </c>
      <c r="AA1992" t="s">
        <v>35</v>
      </c>
    </row>
    <row r="1993" spans="1:27" x14ac:dyDescent="0.3">
      <c r="A1993" t="s">
        <v>52</v>
      </c>
      <c r="B1993" t="s">
        <v>53</v>
      </c>
      <c r="C1993">
        <v>2025</v>
      </c>
      <c r="D1993" t="s">
        <v>68</v>
      </c>
      <c r="E1993">
        <v>72436.36</v>
      </c>
      <c r="F1993">
        <v>83</v>
      </c>
      <c r="G1993">
        <v>289</v>
      </c>
      <c r="H1993">
        <v>317.2</v>
      </c>
      <c r="I1993">
        <v>5.85</v>
      </c>
      <c r="J1993">
        <v>147</v>
      </c>
      <c r="K1993">
        <v>541</v>
      </c>
      <c r="L1993">
        <v>464</v>
      </c>
      <c r="M1993" t="s">
        <v>30</v>
      </c>
      <c r="N1993">
        <v>7</v>
      </c>
      <c r="O1993" t="s">
        <v>46</v>
      </c>
      <c r="P1993">
        <v>64.400000000000006</v>
      </c>
      <c r="Q1993">
        <v>1777</v>
      </c>
      <c r="R1993">
        <v>3</v>
      </c>
      <c r="S1993">
        <v>3</v>
      </c>
      <c r="T1993" t="s">
        <v>47</v>
      </c>
      <c r="U1993" t="s">
        <v>38</v>
      </c>
      <c r="V1993">
        <v>139369</v>
      </c>
      <c r="W1993">
        <v>3.7</v>
      </c>
      <c r="X1993">
        <v>5</v>
      </c>
      <c r="Y1993" t="s">
        <v>43</v>
      </c>
      <c r="Z1993">
        <v>3.48</v>
      </c>
      <c r="AA1993" t="s">
        <v>35</v>
      </c>
    </row>
    <row r="1994" spans="1:27" x14ac:dyDescent="0.3">
      <c r="A1994" t="s">
        <v>48</v>
      </c>
      <c r="B1994" t="s">
        <v>88</v>
      </c>
      <c r="C1994">
        <v>2025</v>
      </c>
      <c r="D1994" t="s">
        <v>50</v>
      </c>
      <c r="E1994">
        <v>49012.19</v>
      </c>
      <c r="F1994">
        <v>102.8</v>
      </c>
      <c r="G1994">
        <v>368</v>
      </c>
      <c r="H1994">
        <v>149.19999999999999</v>
      </c>
      <c r="I1994">
        <v>4.4800000000000004</v>
      </c>
      <c r="J1994">
        <v>185</v>
      </c>
      <c r="K1994">
        <v>484</v>
      </c>
      <c r="L1994">
        <v>432</v>
      </c>
      <c r="M1994" t="s">
        <v>30</v>
      </c>
      <c r="N1994">
        <v>5</v>
      </c>
      <c r="O1994" t="s">
        <v>40</v>
      </c>
      <c r="P1994">
        <v>52.7</v>
      </c>
      <c r="Q1994">
        <v>1708</v>
      </c>
      <c r="R1994">
        <v>5</v>
      </c>
      <c r="S1994">
        <v>0</v>
      </c>
      <c r="T1994" t="s">
        <v>51</v>
      </c>
      <c r="U1994" t="s">
        <v>42</v>
      </c>
      <c r="V1994">
        <v>114969</v>
      </c>
      <c r="W1994">
        <v>3.9</v>
      </c>
      <c r="X1994">
        <v>4</v>
      </c>
      <c r="Y1994" t="s">
        <v>43</v>
      </c>
      <c r="Z1994">
        <v>3.58</v>
      </c>
      <c r="AA1994" t="s">
        <v>35</v>
      </c>
    </row>
    <row r="1995" spans="1:27" x14ac:dyDescent="0.3">
      <c r="A1995" t="s">
        <v>52</v>
      </c>
      <c r="B1995" t="s">
        <v>64</v>
      </c>
      <c r="C1995">
        <v>2026</v>
      </c>
      <c r="D1995" t="s">
        <v>63</v>
      </c>
      <c r="E1995">
        <v>119417.95</v>
      </c>
      <c r="F1995">
        <v>65.3</v>
      </c>
      <c r="G1995">
        <v>248</v>
      </c>
      <c r="H1995">
        <v>212.2</v>
      </c>
      <c r="I1995">
        <v>7.14</v>
      </c>
      <c r="J1995">
        <v>145</v>
      </c>
      <c r="K1995">
        <v>885</v>
      </c>
      <c r="L1995">
        <v>775</v>
      </c>
      <c r="M1995" t="s">
        <v>30</v>
      </c>
      <c r="N1995">
        <v>7</v>
      </c>
      <c r="O1995" t="s">
        <v>65</v>
      </c>
      <c r="P1995">
        <v>24.6</v>
      </c>
      <c r="Q1995">
        <v>1500</v>
      </c>
      <c r="R1995">
        <v>5</v>
      </c>
      <c r="S1995">
        <v>2</v>
      </c>
      <c r="T1995" t="s">
        <v>47</v>
      </c>
      <c r="U1995" t="s">
        <v>33</v>
      </c>
      <c r="V1995">
        <v>170811</v>
      </c>
      <c r="W1995">
        <v>3.7</v>
      </c>
      <c r="X1995">
        <v>4</v>
      </c>
      <c r="Y1995" t="s">
        <v>61</v>
      </c>
      <c r="Z1995">
        <v>3.8</v>
      </c>
      <c r="AA1995" t="s">
        <v>35</v>
      </c>
    </row>
    <row r="1996" spans="1:27" x14ac:dyDescent="0.3">
      <c r="A1996" t="s">
        <v>44</v>
      </c>
      <c r="B1996" t="s">
        <v>110</v>
      </c>
      <c r="C1996">
        <v>2024</v>
      </c>
      <c r="D1996" t="s">
        <v>68</v>
      </c>
      <c r="E1996">
        <v>34301.370000000003</v>
      </c>
      <c r="F1996">
        <v>70</v>
      </c>
      <c r="G1996">
        <v>218</v>
      </c>
      <c r="H1996">
        <v>59.2</v>
      </c>
      <c r="I1996">
        <v>5.68</v>
      </c>
      <c r="J1996">
        <v>163</v>
      </c>
      <c r="K1996">
        <v>333</v>
      </c>
      <c r="L1996">
        <v>310</v>
      </c>
      <c r="M1996" t="s">
        <v>54</v>
      </c>
      <c r="N1996">
        <v>7</v>
      </c>
      <c r="O1996" t="s">
        <v>40</v>
      </c>
      <c r="P1996">
        <v>39.4</v>
      </c>
      <c r="Q1996">
        <v>2077</v>
      </c>
      <c r="R1996">
        <v>4</v>
      </c>
      <c r="S1996">
        <v>1</v>
      </c>
      <c r="T1996" t="s">
        <v>47</v>
      </c>
      <c r="U1996" t="s">
        <v>74</v>
      </c>
      <c r="V1996">
        <v>738</v>
      </c>
      <c r="W1996">
        <v>3.6</v>
      </c>
      <c r="X1996">
        <v>3</v>
      </c>
      <c r="Y1996" t="s">
        <v>43</v>
      </c>
      <c r="Z1996">
        <v>3.11</v>
      </c>
      <c r="AA1996" t="s">
        <v>69</v>
      </c>
    </row>
    <row r="1997" spans="1:27" x14ac:dyDescent="0.3">
      <c r="A1997" t="s">
        <v>91</v>
      </c>
      <c r="B1997" t="s">
        <v>97</v>
      </c>
      <c r="C1997">
        <v>2023</v>
      </c>
      <c r="D1997" t="s">
        <v>50</v>
      </c>
      <c r="E1997">
        <v>122665.71</v>
      </c>
      <c r="F1997">
        <v>102.1</v>
      </c>
      <c r="G1997">
        <v>360</v>
      </c>
      <c r="H1997">
        <v>92</v>
      </c>
      <c r="I1997">
        <v>4.21</v>
      </c>
      <c r="J1997">
        <v>190</v>
      </c>
      <c r="K1997">
        <v>1000</v>
      </c>
      <c r="L1997">
        <v>935</v>
      </c>
      <c r="M1997" t="s">
        <v>39</v>
      </c>
      <c r="N1997">
        <v>5</v>
      </c>
      <c r="O1997" t="s">
        <v>56</v>
      </c>
      <c r="P1997">
        <v>38.299999999999997</v>
      </c>
      <c r="Q1997">
        <v>1500</v>
      </c>
      <c r="R1997">
        <v>5</v>
      </c>
      <c r="S1997">
        <v>2</v>
      </c>
      <c r="T1997" t="s">
        <v>32</v>
      </c>
      <c r="U1997" t="s">
        <v>33</v>
      </c>
      <c r="V1997">
        <v>66187</v>
      </c>
      <c r="W1997">
        <v>3.8</v>
      </c>
      <c r="X1997">
        <v>7</v>
      </c>
      <c r="Y1997" t="s">
        <v>43</v>
      </c>
      <c r="Z1997">
        <v>3.53</v>
      </c>
      <c r="AA1997" t="s">
        <v>35</v>
      </c>
    </row>
    <row r="1998" spans="1:27" x14ac:dyDescent="0.3">
      <c r="A1998" t="s">
        <v>36</v>
      </c>
      <c r="B1998" t="s">
        <v>120</v>
      </c>
      <c r="C1998">
        <v>2024</v>
      </c>
      <c r="D1998" t="s">
        <v>29</v>
      </c>
      <c r="E1998">
        <v>66816.55</v>
      </c>
      <c r="F1998">
        <v>110.6</v>
      </c>
      <c r="G1998">
        <v>367</v>
      </c>
      <c r="H1998">
        <v>236.3</v>
      </c>
      <c r="I1998">
        <v>4.25</v>
      </c>
      <c r="J1998">
        <v>181</v>
      </c>
      <c r="K1998">
        <v>783</v>
      </c>
      <c r="L1998">
        <v>733</v>
      </c>
      <c r="M1998" t="s">
        <v>30</v>
      </c>
      <c r="N1998">
        <v>5</v>
      </c>
      <c r="O1998" t="s">
        <v>56</v>
      </c>
      <c r="P1998">
        <v>23.1</v>
      </c>
      <c r="Q1998">
        <v>1863</v>
      </c>
      <c r="R1998">
        <v>4</v>
      </c>
      <c r="S1998">
        <v>0</v>
      </c>
      <c r="T1998" t="s">
        <v>41</v>
      </c>
      <c r="U1998" t="s">
        <v>38</v>
      </c>
      <c r="V1998">
        <v>11062</v>
      </c>
      <c r="W1998">
        <v>3.8</v>
      </c>
      <c r="X1998">
        <v>4</v>
      </c>
      <c r="Y1998" t="s">
        <v>43</v>
      </c>
      <c r="Z1998">
        <v>3.32</v>
      </c>
      <c r="AA1998" t="s">
        <v>43</v>
      </c>
    </row>
    <row r="1999" spans="1:27" x14ac:dyDescent="0.3">
      <c r="A1999" t="s">
        <v>52</v>
      </c>
      <c r="B1999" t="s">
        <v>53</v>
      </c>
      <c r="C1999">
        <v>2025</v>
      </c>
      <c r="D1999" t="s">
        <v>50</v>
      </c>
      <c r="E1999">
        <v>49281.26</v>
      </c>
      <c r="F1999">
        <v>90.6</v>
      </c>
      <c r="G1999">
        <v>325</v>
      </c>
      <c r="H1999">
        <v>325.60000000000002</v>
      </c>
      <c r="I1999">
        <v>5.55</v>
      </c>
      <c r="J1999">
        <v>167</v>
      </c>
      <c r="K1999">
        <v>351</v>
      </c>
      <c r="L1999">
        <v>324</v>
      </c>
      <c r="M1999" t="s">
        <v>54</v>
      </c>
      <c r="N1999">
        <v>7</v>
      </c>
      <c r="O1999" t="s">
        <v>31</v>
      </c>
      <c r="P1999">
        <v>74.599999999999994</v>
      </c>
      <c r="Q1999">
        <v>2920</v>
      </c>
      <c r="R1999">
        <v>3</v>
      </c>
      <c r="S1999">
        <v>3</v>
      </c>
      <c r="T1999" t="s">
        <v>47</v>
      </c>
      <c r="U1999" t="s">
        <v>42</v>
      </c>
      <c r="V1999">
        <v>224804</v>
      </c>
      <c r="W1999">
        <v>4.0999999999999996</v>
      </c>
      <c r="X1999">
        <v>6</v>
      </c>
      <c r="Y1999" t="s">
        <v>43</v>
      </c>
      <c r="Z1999">
        <v>3.59</v>
      </c>
      <c r="AA1999" t="s">
        <v>35</v>
      </c>
    </row>
    <row r="2000" spans="1:27" x14ac:dyDescent="0.3">
      <c r="A2000" t="s">
        <v>52</v>
      </c>
      <c r="B2000" t="s">
        <v>86</v>
      </c>
      <c r="C2000">
        <v>2026</v>
      </c>
      <c r="D2000" t="s">
        <v>38</v>
      </c>
      <c r="E2000">
        <v>139665.73000000001</v>
      </c>
      <c r="F2000">
        <v>70.7</v>
      </c>
      <c r="G2000">
        <v>248</v>
      </c>
      <c r="H2000">
        <v>330.7</v>
      </c>
      <c r="I2000">
        <v>5.07</v>
      </c>
      <c r="J2000">
        <v>175</v>
      </c>
      <c r="K2000">
        <v>1000</v>
      </c>
      <c r="L2000">
        <v>875</v>
      </c>
      <c r="M2000" t="s">
        <v>54</v>
      </c>
      <c r="N2000">
        <v>5</v>
      </c>
      <c r="O2000" t="s">
        <v>57</v>
      </c>
      <c r="P2000">
        <v>34.799999999999997</v>
      </c>
      <c r="Q2000">
        <v>1500</v>
      </c>
      <c r="R2000">
        <v>3</v>
      </c>
      <c r="S2000">
        <v>2</v>
      </c>
      <c r="T2000" t="s">
        <v>47</v>
      </c>
      <c r="U2000" t="s">
        <v>33</v>
      </c>
      <c r="V2000">
        <v>165373</v>
      </c>
      <c r="W2000">
        <v>3.7</v>
      </c>
      <c r="X2000">
        <v>4</v>
      </c>
      <c r="Y2000" t="s">
        <v>43</v>
      </c>
      <c r="Z2000">
        <v>3.51</v>
      </c>
      <c r="AA2000" t="s">
        <v>35</v>
      </c>
    </row>
    <row r="2001" spans="1:27" x14ac:dyDescent="0.3">
      <c r="A2001" t="s">
        <v>71</v>
      </c>
      <c r="B2001" t="s">
        <v>115</v>
      </c>
      <c r="C2001">
        <v>2025</v>
      </c>
      <c r="D2001" t="s">
        <v>38</v>
      </c>
      <c r="E2001">
        <v>47547.88</v>
      </c>
      <c r="F2001">
        <v>67.400000000000006</v>
      </c>
      <c r="G2001">
        <v>246</v>
      </c>
      <c r="H2001">
        <v>67.2</v>
      </c>
      <c r="I2001">
        <v>6.76</v>
      </c>
      <c r="J2001">
        <v>156</v>
      </c>
      <c r="K2001">
        <v>522</v>
      </c>
      <c r="L2001">
        <v>494</v>
      </c>
      <c r="M2001" t="s">
        <v>54</v>
      </c>
      <c r="N2001">
        <v>5</v>
      </c>
      <c r="O2001" t="s">
        <v>57</v>
      </c>
      <c r="P2001">
        <v>28.5</v>
      </c>
      <c r="Q2001">
        <v>1512</v>
      </c>
      <c r="R2001">
        <v>4</v>
      </c>
      <c r="S2001">
        <v>0</v>
      </c>
      <c r="T2001" t="s">
        <v>73</v>
      </c>
      <c r="U2001" t="s">
        <v>42</v>
      </c>
      <c r="V2001">
        <v>214113</v>
      </c>
      <c r="W2001">
        <v>3.4</v>
      </c>
      <c r="X2001">
        <v>4</v>
      </c>
      <c r="Y2001" t="s">
        <v>43</v>
      </c>
      <c r="Z2001">
        <v>3.65</v>
      </c>
      <c r="AA2001" t="s">
        <v>35</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FD3DDC-EA80-4A0B-985A-B8CEE3D4B420}">
  <sheetPr>
    <tabColor rgb="FF00B050"/>
  </sheetPr>
  <dimension ref="A3:F7"/>
  <sheetViews>
    <sheetView workbookViewId="0">
      <selection activeCell="B7" sqref="B7"/>
    </sheetView>
  </sheetViews>
  <sheetFormatPr defaultRowHeight="14.4" x14ac:dyDescent="0.3"/>
  <cols>
    <col min="1" max="1" width="19.21875" bestFit="1" customWidth="1"/>
    <col min="2" max="2" width="12.5546875" bestFit="1" customWidth="1"/>
  </cols>
  <sheetData>
    <row r="3" spans="1:6" x14ac:dyDescent="0.3">
      <c r="A3" s="1" t="s">
        <v>158</v>
      </c>
      <c r="B3" t="s">
        <v>153</v>
      </c>
    </row>
    <row r="4" spans="1:6" x14ac:dyDescent="0.3">
      <c r="A4" s="2" t="s">
        <v>61</v>
      </c>
      <c r="B4">
        <v>413</v>
      </c>
    </row>
    <row r="5" spans="1:6" x14ac:dyDescent="0.3">
      <c r="A5" s="2" t="s">
        <v>43</v>
      </c>
      <c r="B5">
        <v>1302</v>
      </c>
    </row>
    <row r="6" spans="1:6" x14ac:dyDescent="0.3">
      <c r="A6" s="2" t="s">
        <v>34</v>
      </c>
      <c r="B6">
        <v>285</v>
      </c>
    </row>
    <row r="7" spans="1:6" x14ac:dyDescent="0.3">
      <c r="A7" s="2" t="s">
        <v>157</v>
      </c>
      <c r="B7">
        <v>2000</v>
      </c>
      <c r="D7">
        <f>GETPIVOTDATA("brand",$A$3)</f>
        <v>2000</v>
      </c>
      <c r="F7">
        <v>2000</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F5A3C6-BAD1-4E26-A70D-EFADCA1677C1}">
  <sheetPr>
    <tabColor rgb="FF00B050"/>
  </sheetPr>
  <dimension ref="A3:C4"/>
  <sheetViews>
    <sheetView workbookViewId="0">
      <selection activeCell="I32" sqref="I32"/>
    </sheetView>
  </sheetViews>
  <sheetFormatPr defaultRowHeight="14.4" x14ac:dyDescent="0.3"/>
  <cols>
    <col min="1" max="1" width="24.6640625" bestFit="1" customWidth="1"/>
  </cols>
  <sheetData>
    <row r="3" spans="1:3" x14ac:dyDescent="0.3">
      <c r="A3" t="s">
        <v>166</v>
      </c>
    </row>
    <row r="4" spans="1:3" x14ac:dyDescent="0.3">
      <c r="A4" s="7">
        <v>3.5762000000000058</v>
      </c>
      <c r="C4" s="7">
        <v>3.5762000000000058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452D46-58B9-4702-9DC2-C91BC1042E02}">
  <sheetPr>
    <tabColor rgb="FF00B050"/>
  </sheetPr>
  <dimension ref="A3:D10"/>
  <sheetViews>
    <sheetView workbookViewId="0">
      <selection activeCell="L31" sqref="L31"/>
    </sheetView>
  </sheetViews>
  <sheetFormatPr defaultRowHeight="14.4" x14ac:dyDescent="0.3"/>
  <cols>
    <col min="1" max="1" width="10.88671875" bestFit="1" customWidth="1"/>
    <col min="2" max="2" width="12.109375" bestFit="1" customWidth="1"/>
    <col min="4" max="4" width="10" bestFit="1" customWidth="1"/>
  </cols>
  <sheetData>
    <row r="3" spans="1:4" x14ac:dyDescent="0.3">
      <c r="A3" s="1" t="s">
        <v>161</v>
      </c>
      <c r="B3" t="s">
        <v>160</v>
      </c>
    </row>
    <row r="4" spans="1:4" x14ac:dyDescent="0.3">
      <c r="A4" s="2" t="s">
        <v>47</v>
      </c>
      <c r="B4" s="3">
        <v>110893602</v>
      </c>
    </row>
    <row r="5" spans="1:4" x14ac:dyDescent="0.3">
      <c r="A5" s="2" t="s">
        <v>32</v>
      </c>
      <c r="B5" s="3">
        <v>64652058</v>
      </c>
    </row>
    <row r="6" spans="1:4" x14ac:dyDescent="0.3">
      <c r="A6" s="2" t="s">
        <v>73</v>
      </c>
      <c r="B6" s="3">
        <v>51034721</v>
      </c>
    </row>
    <row r="7" spans="1:4" x14ac:dyDescent="0.3">
      <c r="A7" s="2" t="s">
        <v>51</v>
      </c>
      <c r="B7" s="3">
        <v>31835174</v>
      </c>
    </row>
    <row r="8" spans="1:4" x14ac:dyDescent="0.3">
      <c r="A8" s="2" t="s">
        <v>41</v>
      </c>
      <c r="B8" s="3">
        <v>621044</v>
      </c>
    </row>
    <row r="9" spans="1:4" x14ac:dyDescent="0.3">
      <c r="A9" s="2" t="s">
        <v>131</v>
      </c>
      <c r="B9" s="3">
        <v>270585</v>
      </c>
    </row>
    <row r="10" spans="1:4" x14ac:dyDescent="0.3">
      <c r="A10" s="2" t="s">
        <v>157</v>
      </c>
      <c r="B10" s="3">
        <v>259307184</v>
      </c>
      <c r="D10" s="3">
        <v>259307184</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FF4C8A-7BB0-49E1-AF5F-83B715A8CDFD}">
  <sheetPr>
    <tabColor rgb="FF00B050"/>
  </sheetPr>
  <dimension ref="A3:E4"/>
  <sheetViews>
    <sheetView workbookViewId="0">
      <selection activeCell="H26" sqref="H26"/>
    </sheetView>
  </sheetViews>
  <sheetFormatPr defaultRowHeight="14.4" x14ac:dyDescent="0.3"/>
  <cols>
    <col min="1" max="1" width="30.21875" bestFit="1" customWidth="1"/>
  </cols>
  <sheetData>
    <row r="3" spans="1:5" x14ac:dyDescent="0.3">
      <c r="A3" t="s">
        <v>165</v>
      </c>
    </row>
    <row r="4" spans="1:5" x14ac:dyDescent="0.3">
      <c r="A4" s="4">
        <v>74.662800000000004</v>
      </c>
      <c r="C4">
        <f>GETPIVOTDATA("Battery Capacity (kwh)",$A$3)</f>
        <v>74.662800000000004</v>
      </c>
      <c r="E4" s="4">
        <v>74.662800000000004</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1E93E3-48AB-405D-A41A-A335A6AB91ED}">
  <sheetPr>
    <tabColor rgb="FF00B050"/>
  </sheetPr>
  <dimension ref="A3:E4"/>
  <sheetViews>
    <sheetView workbookViewId="0">
      <selection activeCell="E12" sqref="E12"/>
    </sheetView>
  </sheetViews>
  <sheetFormatPr defaultRowHeight="14.4" x14ac:dyDescent="0.3"/>
  <cols>
    <col min="1" max="1" width="20.88671875" bestFit="1" customWidth="1"/>
  </cols>
  <sheetData>
    <row r="3" spans="1:5" x14ac:dyDescent="0.3">
      <c r="A3" t="s">
        <v>164</v>
      </c>
    </row>
    <row r="4" spans="1:5" x14ac:dyDescent="0.3">
      <c r="A4" s="4">
        <v>261.82549999999998</v>
      </c>
      <c r="C4">
        <f>GETPIVOTDATA("range_miles",$A$3)</f>
        <v>261.82549999999998</v>
      </c>
      <c r="E4" s="4">
        <v>261.82549999999998</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A3F385-2C68-4D8E-B0A3-7FD507CE6DE3}">
  <sheetPr>
    <tabColor rgb="FF00B050"/>
  </sheetPr>
  <dimension ref="A3:B13"/>
  <sheetViews>
    <sheetView workbookViewId="0">
      <selection activeCell="C17" sqref="C17"/>
    </sheetView>
  </sheetViews>
  <sheetFormatPr defaultRowHeight="14.4" x14ac:dyDescent="0.3"/>
  <cols>
    <col min="1" max="1" width="12.5546875" bestFit="1" customWidth="1"/>
    <col min="2" max="2" width="18.88671875" bestFit="1" customWidth="1"/>
  </cols>
  <sheetData>
    <row r="3" spans="1:2" x14ac:dyDescent="0.3">
      <c r="A3" s="1" t="s">
        <v>149</v>
      </c>
      <c r="B3" t="s">
        <v>155</v>
      </c>
    </row>
    <row r="4" spans="1:2" x14ac:dyDescent="0.3">
      <c r="A4" s="2" t="s">
        <v>132</v>
      </c>
      <c r="B4" s="4">
        <v>3.6716666666666664</v>
      </c>
    </row>
    <row r="5" spans="1:2" x14ac:dyDescent="0.3">
      <c r="A5" s="2" t="s">
        <v>142</v>
      </c>
      <c r="B5" s="4">
        <v>3.6244444444444444</v>
      </c>
    </row>
    <row r="6" spans="1:2" x14ac:dyDescent="0.3">
      <c r="A6" s="2" t="s">
        <v>129</v>
      </c>
      <c r="B6" s="4">
        <v>3.5675000000000003</v>
      </c>
    </row>
    <row r="7" spans="1:2" x14ac:dyDescent="0.3">
      <c r="A7" s="2" t="s">
        <v>66</v>
      </c>
      <c r="B7" s="4">
        <v>3.5672000000000001</v>
      </c>
    </row>
    <row r="8" spans="1:2" x14ac:dyDescent="0.3">
      <c r="A8" s="2" t="s">
        <v>107</v>
      </c>
      <c r="B8" s="4">
        <v>3.5428571428571423</v>
      </c>
    </row>
    <row r="9" spans="1:2" x14ac:dyDescent="0.3">
      <c r="A9" s="2" t="s">
        <v>44</v>
      </c>
      <c r="B9" s="4">
        <v>3.5379020979020974</v>
      </c>
    </row>
    <row r="10" spans="1:2" x14ac:dyDescent="0.3">
      <c r="A10" s="2" t="s">
        <v>137</v>
      </c>
      <c r="B10" s="4">
        <v>3.5300000000000002</v>
      </c>
    </row>
    <row r="11" spans="1:2" x14ac:dyDescent="0.3">
      <c r="A11" s="2" t="s">
        <v>100</v>
      </c>
      <c r="B11" s="4">
        <v>3.5239130434782608</v>
      </c>
    </row>
    <row r="12" spans="1:2" x14ac:dyDescent="0.3">
      <c r="A12" s="2" t="s">
        <v>71</v>
      </c>
      <c r="B12" s="4">
        <v>3.523297872340426</v>
      </c>
    </row>
    <row r="13" spans="1:2" x14ac:dyDescent="0.3">
      <c r="A13" s="2" t="s">
        <v>84</v>
      </c>
      <c r="B13" s="4">
        <v>3.5166666666666662</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398287-1F92-483E-83FD-C9B4004EBC1F}">
  <sheetPr>
    <tabColor rgb="FF00B050"/>
  </sheetPr>
  <dimension ref="A3:G10"/>
  <sheetViews>
    <sheetView workbookViewId="0">
      <selection activeCell="J18" sqref="J18"/>
    </sheetView>
  </sheetViews>
  <sheetFormatPr defaultRowHeight="14.4" x14ac:dyDescent="0.3"/>
  <cols>
    <col min="1" max="1" width="18.88671875" bestFit="1" customWidth="1"/>
  </cols>
  <sheetData>
    <row r="3" spans="1:7" x14ac:dyDescent="0.3">
      <c r="A3" s="5" t="s">
        <v>163</v>
      </c>
    </row>
    <row r="4" spans="1:7" x14ac:dyDescent="0.3">
      <c r="A4" s="6">
        <v>78873.907149999883</v>
      </c>
      <c r="C4">
        <f>GETPIVOTDATA("Price USD",$A$3)</f>
        <v>78873.907149999883</v>
      </c>
      <c r="E4" s="6">
        <v>78873.907149999883</v>
      </c>
    </row>
    <row r="10" spans="1:7" x14ac:dyDescent="0.3">
      <c r="G10" s="6"/>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204BCB-6174-4990-B60C-A2B10E339312}">
  <sheetPr>
    <tabColor rgb="FF00B050"/>
  </sheetPr>
  <dimension ref="A3:B7"/>
  <sheetViews>
    <sheetView workbookViewId="0">
      <selection activeCell="AC18" sqref="AC18"/>
    </sheetView>
  </sheetViews>
  <sheetFormatPr defaultRowHeight="14.4" x14ac:dyDescent="0.3"/>
  <cols>
    <col min="1" max="1" width="17.33203125" bestFit="1" customWidth="1"/>
    <col min="2" max="2" width="12.5546875" bestFit="1" customWidth="1"/>
  </cols>
  <sheetData>
    <row r="3" spans="1:2" x14ac:dyDescent="0.3">
      <c r="A3" s="1" t="s">
        <v>152</v>
      </c>
      <c r="B3" t="s">
        <v>153</v>
      </c>
    </row>
    <row r="4" spans="1:2" x14ac:dyDescent="0.3">
      <c r="A4" s="2" t="s">
        <v>74</v>
      </c>
      <c r="B4">
        <v>151</v>
      </c>
    </row>
    <row r="5" spans="1:2" x14ac:dyDescent="0.3">
      <c r="A5" s="2" t="s">
        <v>33</v>
      </c>
      <c r="B5">
        <v>495</v>
      </c>
    </row>
    <row r="6" spans="1:2" x14ac:dyDescent="0.3">
      <c r="A6" s="2" t="s">
        <v>42</v>
      </c>
      <c r="B6">
        <v>642</v>
      </c>
    </row>
    <row r="7" spans="1:2" x14ac:dyDescent="0.3">
      <c r="A7" s="2" t="s">
        <v>38</v>
      </c>
      <c r="B7">
        <v>712</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B45619-F672-4FAD-A08D-B1581DB87A10}">
  <sheetPr>
    <tabColor rgb="FF00B050"/>
  </sheetPr>
  <dimension ref="A3:B13"/>
  <sheetViews>
    <sheetView workbookViewId="0">
      <selection activeCell="C31" sqref="C31"/>
    </sheetView>
  </sheetViews>
  <sheetFormatPr defaultRowHeight="14.4" x14ac:dyDescent="0.3"/>
  <cols>
    <col min="1" max="1" width="12.5546875" bestFit="1" customWidth="1"/>
    <col min="2" max="2" width="9.88671875" bestFit="1" customWidth="1"/>
  </cols>
  <sheetData>
    <row r="3" spans="1:2" x14ac:dyDescent="0.3">
      <c r="A3" s="1" t="s">
        <v>149</v>
      </c>
      <c r="B3" t="s">
        <v>150</v>
      </c>
    </row>
    <row r="4" spans="1:2" x14ac:dyDescent="0.3">
      <c r="A4" s="2" t="s">
        <v>52</v>
      </c>
      <c r="B4" s="3">
        <v>101459482</v>
      </c>
    </row>
    <row r="5" spans="1:2" x14ac:dyDescent="0.3">
      <c r="A5" s="2" t="s">
        <v>71</v>
      </c>
      <c r="B5" s="3">
        <v>50472617</v>
      </c>
    </row>
    <row r="6" spans="1:2" x14ac:dyDescent="0.3">
      <c r="A6" s="2" t="s">
        <v>27</v>
      </c>
      <c r="B6" s="3">
        <v>48186657</v>
      </c>
    </row>
    <row r="7" spans="1:2" x14ac:dyDescent="0.3">
      <c r="A7" s="2" t="s">
        <v>48</v>
      </c>
      <c r="B7" s="3">
        <v>16612129</v>
      </c>
    </row>
    <row r="8" spans="1:2" x14ac:dyDescent="0.3">
      <c r="A8" s="2" t="s">
        <v>76</v>
      </c>
      <c r="B8" s="3">
        <v>15223045</v>
      </c>
    </row>
    <row r="9" spans="1:2" x14ac:dyDescent="0.3">
      <c r="A9" s="2" t="s">
        <v>91</v>
      </c>
      <c r="B9" s="3">
        <v>7445149</v>
      </c>
    </row>
    <row r="10" spans="1:2" x14ac:dyDescent="0.3">
      <c r="A10" s="2" t="s">
        <v>84</v>
      </c>
      <c r="B10" s="3">
        <v>6057329</v>
      </c>
    </row>
    <row r="11" spans="1:2" x14ac:dyDescent="0.3">
      <c r="A11" s="2" t="s">
        <v>58</v>
      </c>
      <c r="B11" s="3">
        <v>4982856</v>
      </c>
    </row>
    <row r="12" spans="1:2" x14ac:dyDescent="0.3">
      <c r="A12" s="2" t="s">
        <v>94</v>
      </c>
      <c r="B12" s="3">
        <v>3811099</v>
      </c>
    </row>
    <row r="13" spans="1:2" x14ac:dyDescent="0.3">
      <c r="A13" s="2" t="s">
        <v>44</v>
      </c>
      <c r="B13" s="3">
        <v>2292030</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Dashboard </vt:lpstr>
      <vt:lpstr>Pivot Table </vt:lpstr>
      <vt:lpstr>EV Market 2026 Dataset</vt:lpstr>
      <vt:lpstr>Performance Type Distribution</vt:lpstr>
      <vt:lpstr>Average Rating</vt:lpstr>
      <vt:lpstr>Country Wise Sales</vt:lpstr>
      <vt:lpstr>Average Battery</vt:lpstr>
      <vt:lpstr>Average Range</vt:lpstr>
      <vt:lpstr>Efficiency By Brand </vt:lpstr>
      <vt:lpstr>Average Price </vt:lpstr>
      <vt:lpstr>Market Segment Distribution</vt:lpstr>
      <vt:lpstr>Top 10 Brand vs Total Sales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Sangeet Pandit</dc:creator>
  <cp:lastModifiedBy>Sangeet Pandit</cp:lastModifiedBy>
  <dcterms:created xsi:type="dcterms:W3CDTF">2026-05-22T18:36:34Z</dcterms:created>
  <dcterms:modified xsi:type="dcterms:W3CDTF">2026-05-24T16:52:31Z</dcterms:modified>
</cp:coreProperties>
</file>